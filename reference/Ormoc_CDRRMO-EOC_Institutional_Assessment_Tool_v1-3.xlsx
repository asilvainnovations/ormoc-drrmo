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sheetId="1" r:id="rId4"/>
    <sheet state="visible" name="Dashboard" sheetId="2" r:id="rId5"/>
    <sheet state="visible" name="Profile" sheetId="3" r:id="rId6"/>
    <sheet state="visible" name="A_CDRRMO" sheetId="4" r:id="rId7"/>
    <sheet state="visible" name="B_EOC" sheetId="5" r:id="rId8"/>
    <sheet state="visible" name="C_Interface" sheetId="6" r:id="rId9"/>
    <sheet state="visible" name="Action_Plan" sheetId="7" r:id="rId10"/>
    <sheet state="visible" name="References" sheetId="8" r:id="rId11"/>
    <sheet state="visible" name="Crosswalk" sheetId="9" r:id="rId12"/>
  </sheets>
  <definedNames>
    <definedName hidden="1" localSheetId="3" name="_xlnm._FilterDatabase">A_CDRRMO!$A$4:$P$81</definedName>
    <definedName hidden="1" localSheetId="4" name="_xlnm._FilterDatabase">B_EOC!$A$4:$P$52</definedName>
    <definedName hidden="1" localSheetId="6" name="_xlnm._FilterDatabase">Action_Plan!$A$3:$L$143</definedName>
  </definedNames>
  <calcPr fullCalcOnLoad="1"/>
  <extLst>
    <ext uri="GoogleSheetsCustomDataVersion2">
      <go:sheetsCustomData xmlns:go="http://customooxmlschemas.google.com/" r:id="rId13" roundtripDataChecksum="TA/uvb836xthMb8M5OpXnQrzzKBqWCTegK/1rJbOZtY="/>
    </ext>
  </extLst>
</workbook>
</file>

<file path=xl/sharedStrings.xml><?xml version="1.0" encoding="utf-8"?>
<sst xmlns="http://schemas.openxmlformats.org/spreadsheetml/2006/main" count="2772" uniqueCount="1599">
  <si>
    <t>CITY GOVERNMENT OF ORMOC</t>
  </si>
  <si>
    <t>Institutional Assessment Tool (IAT) for the CDRRMO and Emergency Operations Center</t>
  </si>
  <si>
    <t>Scoring workbook - companion to the IAT Standards, Policy &amp; Methodology document. Version 1.1 (October 2026), draft for validation with CDRRMO Ormoc. v1.1 adds RA 12287 IRR (signed 14 Sep 2026) requirements and selected UNDRR Scorecard indicators.</t>
  </si>
  <si>
    <t>HOW TO USE</t>
  </si>
  <si>
    <t>1. Fill in the Profile sheet (assessment date, team, informants).</t>
  </si>
  <si>
    <t>2. In A_CDRRMO and B_EOC, score each indicator in the yellow 'Score' column using the 0-4 rubric below, or NA if it truly does not apply to Ormoc.</t>
  </si>
  <si>
    <t>3. Record the evidence actually seen (document title/date, site observation) in 'Evidence Observed'. No evidence = score of 2 or lower.</t>
  </si>
  <si>
    <t>4. Write the gap and recommended action. Priority and compliance status calculate automatically.</t>
  </si>
  <si>
    <t>5. Review the Dashboard (domain maturity, mandatory compliance, priority gaps), then complete the Action_Plan sheet for High-priority items.</t>
  </si>
  <si>
    <t>6. Validate scores with CDRRMO management in the validation workshop before finalizing. Change only yellow cells; grey/white cells are formulas or reference text.</t>
  </si>
  <si>
    <t>SCORING RUBRIC (per indicator)</t>
  </si>
  <si>
    <t>Score</t>
  </si>
  <si>
    <t>Maturity level</t>
  </si>
  <si>
    <t>What it looks like</t>
  </si>
  <si>
    <t>Minimum evidence required</t>
  </si>
  <si>
    <t>0</t>
  </si>
  <si>
    <t>Absent</t>
  </si>
  <si>
    <t>Not in place; no plan to establish.</t>
  </si>
  <si>
    <t>None</t>
  </si>
  <si>
    <t>1</t>
  </si>
  <si>
    <t>Initial / Ad hoc</t>
  </si>
  <si>
    <t>Done informally, depends on individuals; not documented.</t>
  </si>
  <si>
    <t>Verbal account (KII/FGD) only</t>
  </si>
  <si>
    <t>2</t>
  </si>
  <si>
    <t>Developing</t>
  </si>
  <si>
    <t>Exists but incomplete, outdated, unapproved or not consistently applied.</t>
  </si>
  <si>
    <t>Draft or partial document, or observation of partial practice</t>
  </si>
  <si>
    <t>3</t>
  </si>
  <si>
    <t>Compliant / Established</t>
  </si>
  <si>
    <t>Meets the legal/policy standard; documented, approved, applied.</t>
  </si>
  <si>
    <t>Approved document AND proof of use (records, logs, reports)</t>
  </si>
  <si>
    <t>4</t>
  </si>
  <si>
    <t>Advanced / Institutionalized</t>
  </si>
  <si>
    <t>Exceeds standard; tested, reviewed and improved regularly; a model for others.</t>
  </si>
  <si>
    <t>Level 3 evidence PLUS test/exercise/AAR showing review and improvement</t>
  </si>
  <si>
    <t>NA</t>
  </si>
  <si>
    <t>Not applicable</t>
  </si>
  <si>
    <t>Indicator does not apply to Ormoc's context. Excluded from computation.</t>
  </si>
  <si>
    <t>Written justification in Remarks</t>
  </si>
  <si>
    <t>AUTOMATIC CALCULATIONS</t>
  </si>
  <si>
    <t>Domain Maturity Index (0-4)</t>
  </si>
  <si>
    <t>Weighted average of scored indicators: sum(score x weight) / sum(weight). NA and blanks excluded.</t>
  </si>
  <si>
    <t>Maturity band</t>
  </si>
  <si>
    <t>&lt;0.5 Absent | 0.5-1.49 Initial | 1.5-2.49 Developing | 2.5-3.49 Compliant | &gt;=3.5 Advanced</t>
  </si>
  <si>
    <t>Mandatory Compliance Rate</t>
  </si>
  <si>
    <t>Share of scored Mandatory (M) indicators rated 3 or 4. Target: 100%.</t>
  </si>
  <si>
    <t>Gap Priority Score</t>
  </si>
  <si>
    <t>(4 - score) x weight x 1.5 if Mandatory (x1.0 if Good Practice). High &gt;= 9; Medium 4-8.9; Low &lt; 4.</t>
  </si>
  <si>
    <t>Weight</t>
  </si>
  <si>
    <t>3 = critical to life-safety or legal compliance; 2 = important to effectiveness; 1 = supportive/good practice.</t>
  </si>
  <si>
    <t>CELL LEGEND</t>
  </si>
  <si>
    <t>Yellow</t>
  </si>
  <si>
    <t>Input - assessor fills in</t>
  </si>
  <si>
    <t>Grey</t>
  </si>
  <si>
    <t>Formula - do not edit</t>
  </si>
  <si>
    <t>EXAMPLE OF A COMPLETED ROW (illustrative only)</t>
  </si>
  <si>
    <t>Indicator</t>
  </si>
  <si>
    <t>Evidence Observed</t>
  </si>
  <si>
    <t>Gap / Remarks</t>
  </si>
  <si>
    <t>Recommended Action</t>
  </si>
  <si>
    <t>A2.6 24/7 operations capability with documented shift roster</t>
  </si>
  <si>
    <t>Roster for Jul-Sep 2026 seen; night shift covered by 1 staff only; logbook gaps on 3 dates.</t>
  </si>
  <si>
    <t>Night shift below minimum; no handover form.</t>
  </si>
  <si>
    <t>Adopt 3-shift roster with min. 2 duty officers/shift; introduce handover form (MOO Ch.4).</t>
  </si>
  <si>
    <t>WHAT CHANGED IN VERSION 1.1</t>
  </si>
  <si>
    <t>Totals</t>
  </si>
  <si>
    <t>125 indicators in Parts A and B (82 CDRRMO, 43 EOC); 79 Mandatory, 46 Good Practice. Up from 108 (73 M / 35 GP).</t>
  </si>
  <si>
    <t>RA 12287 IRR</t>
  </si>
  <si>
    <t>6 new Mandatory indicators (A1.8, A2.9, A6.7, A8.8, A8.9, A10.8) and 6 revised (A1.6, A2.8, A4.6, A6.2, A8.6, B1.2). A4.6 now follows IRR Rule V: AA is charged to up to 10% of the 70% LDRRMF, not to the QRF.</t>
  </si>
  <si>
    <t>UNDRR Scorecard</t>
  </si>
  <si>
    <t>11 new Good Practice indicators adapted from the Detailed Level Scorecard (A2.10, A4.9, A5.7, A5.8, A5.9, A7.8, A7.9, A9.5, A10.9, B5.7, B6.6); A7.6 and A10.2 widened. The DRSC reference sits in the Standard column.</t>
  </si>
  <si>
    <t>Part C</t>
  </si>
  <si>
    <t>New C_Interface sheet: 15 indicators owned by other offices (planning, engineering, utilities, environment, health, education, agriculture). Same rubric; separate index on the Dashboard; not counted in the IMI or the Mandatory Compliance Rate.</t>
  </si>
  <si>
    <t>Crosswalk</t>
  </si>
  <si>
    <t>The Crosswalk sheet shows how every Scorecard criterion and every IRR provision is treated: New, Modified, Covered, Interface or Deferred to the city-wide Scorecard workshop.</t>
  </si>
  <si>
    <t>INSTITUTIONAL ASSESSMENT DASHBOARD - CDRRMO &amp; EOC, CITY OF ORMOC</t>
  </si>
  <si>
    <t>All values compute from the A_CDRRMO and B_EOC sheets. Maturity Index scale 0-4.</t>
  </si>
  <si>
    <t>Code</t>
  </si>
  <si>
    <t>Domain</t>
  </si>
  <si>
    <t>Indicators</t>
  </si>
  <si>
    <t>Scored</t>
  </si>
  <si>
    <t>Maturity Index (0-4)</t>
  </si>
  <si>
    <t>Maturity Band</t>
  </si>
  <si>
    <t>Mandatory Compliance</t>
  </si>
  <si>
    <t>High-priority gaps</t>
  </si>
  <si>
    <t>Index %</t>
  </si>
  <si>
    <t>A1</t>
  </si>
  <si>
    <t>Legal Mandate &amp; DRRM Governance</t>
  </si>
  <si>
    <t>A2</t>
  </si>
  <si>
    <t>Organization, Staffing &amp; Human Resources</t>
  </si>
  <si>
    <t>A3</t>
  </si>
  <si>
    <t>DRRM &amp; Contingency Planning</t>
  </si>
  <si>
    <t>A4</t>
  </si>
  <si>
    <t>DRRM Financing &amp; Fund Management</t>
  </si>
  <si>
    <t>A5</t>
  </si>
  <si>
    <t>Risk Assessment, Data &amp; Knowledge Management</t>
  </si>
  <si>
    <t>A6</t>
  </si>
  <si>
    <t>Early Warning &amp; Risk Communication</t>
  </si>
  <si>
    <t>A7</t>
  </si>
  <si>
    <t>Preparedness &amp; Community Capacity</t>
  </si>
  <si>
    <t>A8</t>
  </si>
  <si>
    <t>Response Capability</t>
  </si>
  <si>
    <t>A9</t>
  </si>
  <si>
    <t>Rehabilitation &amp; Recovery</t>
  </si>
  <si>
    <t>A10</t>
  </si>
  <si>
    <t>Partnerships, M&amp;E &amp; Accountability</t>
  </si>
  <si>
    <t>B1</t>
  </si>
  <si>
    <t>EOC Legal Basis &amp; Concept of Operations</t>
  </si>
  <si>
    <t>B2</t>
  </si>
  <si>
    <t>EOC Facility, Site &amp; Resilience</t>
  </si>
  <si>
    <t>B3</t>
  </si>
  <si>
    <t>EOC Communications &amp; ICT</t>
  </si>
  <si>
    <t>B4</t>
  </si>
  <si>
    <t>EOC Organization &amp; Staffing</t>
  </si>
  <si>
    <t>B5</t>
  </si>
  <si>
    <t>Information Management &amp; Reporting</t>
  </si>
  <si>
    <t>B6</t>
  </si>
  <si>
    <t>Coordination &amp; Resource Management</t>
  </si>
  <si>
    <t>B7</t>
  </si>
  <si>
    <t>EOC SOPs, Training, Exercises &amp; Continuity</t>
  </si>
  <si>
    <t>PART A - CDRRMO OVERALL</t>
  </si>
  <si>
    <t>PART B - EOC OVERALL</t>
  </si>
  <si>
    <t>INSTITUTIONAL MATURITY INDEX (A+B)</t>
  </si>
  <si>
    <t>PART C - INTERFACE INDEX (separate; not in IMI)</t>
  </si>
  <si>
    <t>n/a</t>
  </si>
  <si>
    <t>Notes: 'Indicators' counts all indicators in the domain; 'Scored' excludes NA and blank. Mandatory Compliance = share of scored Mandatory indicators rated 3-4. A domain is considered compliant only when Mandatory Compliance is 100%. Part C (interface) is scored with the same rubric but reported separately because the items are owned by other offices.</t>
  </si>
  <si>
    <t>ASSESSMENT PROFILE</t>
  </si>
  <si>
    <t>LGU</t>
  </si>
  <si>
    <t>City of Ormoc</t>
  </si>
  <si>
    <t>Province / Region</t>
  </si>
  <si>
    <t>Leyte / Region VIII (Eastern Visayas)</t>
  </si>
  <si>
    <t>Income class / LGU type</t>
  </si>
  <si>
    <t>1st-class independent component city (ICC)</t>
  </si>
  <si>
    <t>Number of barangays</t>
  </si>
  <si>
    <t>85 (PSA PSGC since 4Q 2022; City Ord. No. 052 s.2021, plebiscite 8 Oct 2022). The DRRM 10-Year Plan still shows 110.</t>
  </si>
  <si>
    <t>Office assessed</t>
  </si>
  <si>
    <t>City DRRM Office and City Emergency Operations Center</t>
  </si>
  <si>
    <t>CDRRMO Head</t>
  </si>
  <si>
    <t>Ciriaco Tolibao</t>
  </si>
  <si>
    <t>Assessment period (from - to)</t>
  </si>
  <si>
    <t>October 2026 (field scoring by the CDRRMO team; desk review completed 30 Oct 2026)</t>
  </si>
  <si>
    <t>Lead assessor</t>
  </si>
  <si>
    <t>Alvin M. Silva, Development of MOP on EOC and DRRM Consultant</t>
  </si>
  <si>
    <t>Assessment team members</t>
  </si>
  <si>
    <t>CDRRMO Planning, Operations and Admin section staff (names to be entered by the City)</t>
  </si>
  <si>
    <t>Key informants interviewed (names/positions)</t>
  </si>
  <si>
    <t>Positions only, per RA 10173: CDRRMO section staff (FGDs). CPDO KII pending (A5.5, A5.6). Names kept in the lead assessor's field notes, not in this workbook.</t>
  </si>
  <si>
    <t>FGD groups conducted</t>
  </si>
  <si>
    <t>3 FGDs: CDRRMO Planning Section, Operations Section, Admin Section</t>
  </si>
  <si>
    <t>Sites inspected</t>
  </si>
  <si>
    <t>None yet. Pending: EOC/OpCen facility, warehouse, sampled evacuation centers (Part B OBS/TST)</t>
  </si>
  <si>
    <t>Documents reviewed (count)</t>
  </si>
  <si>
    <t>13 listed; 10 reviewed (DRRM 10-Year Plan 2023-2032 to p.80; NDRRMC Memo 131 s.2018; RA 12287 IRR; DILG VIII memo 26 Feb 2025 with RDRRMC8 Res. 12-006 SOP; PSCP Guidebook; EOC Capability Assessment Checklist; UNDRR Scorecard deck; CREST toolkit; Ready to Rebuild workbook; field assessment workbook). 3 could not be opened (CDRA, CLUP, RDRRMOC SOPG: over 10 MB).</t>
  </si>
  <si>
    <t>Validation workshop date</t>
  </si>
  <si>
    <t>Pending (to be scheduled)</t>
  </si>
  <si>
    <t>Validated by (name/position)</t>
  </si>
  <si>
    <t>Pending</t>
  </si>
  <si>
    <t>Pre-filled values come from the consultancy scope; confirm or correct them with CDRRMO.</t>
  </si>
  <si>
    <t>PART A - CDRRMO INSTITUTIONAL CAPACITY ASSESSMENT</t>
  </si>
  <si>
    <t>Score in yellow cells only. Type: M = Mandatory (legal/policy compliance), GP = Good practice. Methods: DR document review, KII interview, FGD focus group, OBS observation, TST test/demonstration.</t>
  </si>
  <si>
    <t>ID</t>
  </si>
  <si>
    <t>Standard / Policy Reference</t>
  </si>
  <si>
    <t>Type
(M/GP)</t>
  </si>
  <si>
    <t>Means of Verification</t>
  </si>
  <si>
    <t>Method</t>
  </si>
  <si>
    <t>Score
(0-4/NA)</t>
  </si>
  <si>
    <t>Priority</t>
  </si>
  <si>
    <t>Compliance Status</t>
  </si>
  <si>
    <t>Feeds Manual Chapter</t>
  </si>
  <si>
    <t>w*score</t>
  </si>
  <si>
    <t>w*4</t>
  </si>
  <si>
    <t>M scored</t>
  </si>
  <si>
    <t>M compliant</t>
  </si>
  <si>
    <t>A1  LEGAL MANDATE &amp; DRRM GOVERNANCE  -  CDRRMC/CDRRMO legal basis, council functionality, policy instruments</t>
  </si>
  <si>
    <t>A1.1</t>
  </si>
  <si>
    <t>City ordinance/EO creating the CDRRMO as a regular office (not ad hoc), with defined functions mirroring RA 10121 Sec. 12(c)</t>
  </si>
  <si>
    <t>RA 10121 Sec. 12; IRR Rule 6; JMC 2014-1</t>
  </si>
  <si>
    <t>M</t>
  </si>
  <si>
    <t>Ordinance/EO; Sangguniang Panlungsod records</t>
  </si>
  <si>
    <t>DR</t>
  </si>
  <si>
    <t>F: EO covers both the CDRRMO and BDRRMOs and follows minimum requirements; amended, but no ordinance on BDRRMOs. DR: 10-Yr Plan lists hiring of 4+4+2 CDRRMO plantilla positions, so the office is not yet staffed as a full department.</t>
  </si>
  <si>
    <t>No ordinance establishing the CDRRMO as a regular department with JMC 2014-1 divisions; the EO is the only basis. (Field FGD notes formerly typed here were moved to A2.4, A2.6, A2.10 and B6.1.)</t>
  </si>
  <si>
    <t>Draft an ordinance creating the CDRRMO as a regular department with Admin &amp; Training, Research &amp; Planning and Operations &amp; Warning divisions and their functions (RA 10121 Sec. 12(c); JMC 2014-1). Attach the organogram and staffing pattern from MOO Ch.2.</t>
  </si>
  <si>
    <t>MOO Ch.1 Legal &amp; Institutional Framework</t>
  </si>
  <si>
    <t>A1.2</t>
  </si>
  <si>
    <t>CDRRMC constituted with complete membership per RA 10121 Sec. 11 (incl. CSO and private sector reps)</t>
  </si>
  <si>
    <t>RA 10121 Sec. 11</t>
  </si>
  <si>
    <t>EO on CDRRMC composition; list of members</t>
  </si>
  <si>
    <t>F: CDRRMC EO needs updating to cover the mandated representations; minimum of 4 CSO seats not yet met.</t>
  </si>
  <si>
    <t>Composition incomplete against RA 10121 Sec. 11 (incl. CSO and private-sector seats). (Operations FGD notes formerly here were moved to B6.1 and B7.1.)</t>
  </si>
  <si>
    <t>Issue an updated EO on CDRRMC composition listing every RA 10121 Sec. 11 seat by office, with at least 4 accredited CSOs and a private-sector seat (e.g., EDC). Record the roster as an MOO Ch.1 annex and review it yearly.</t>
  </si>
  <si>
    <t>MOO Ch.1</t>
  </si>
  <si>
    <t>A1.3</t>
  </si>
  <si>
    <t>CDRRMC meets at least quarterly (and as needed); minutes and resolutions on file</t>
  </si>
  <si>
    <t>RA 10121 Sec. 11; GKS/SGLG functionality criteria</t>
  </si>
  <si>
    <t>Minutes, attendance, resolutions (last 4 quarters)</t>
  </si>
  <si>
    <t>DR, KII</t>
  </si>
  <si>
    <t>F: scored 4 (quarterly meetings, minutes and resolutions on file). DR: CDRRMC Res. No. 1 s.2023 approved the 10-Yr Plan.</t>
  </si>
  <si>
    <t>Validate with the last 4 quarters of minutes and attendance. (Admin FGD notes formerly here were moved to A2.4, A2.6 and A2.10.)</t>
  </si>
  <si>
    <t>Keep the quarterly schedule; add a standing agenda item on RA 12287 readiness and the action plan from this assessment. Use the minutes template in MOO Ch.1.</t>
  </si>
  <si>
    <t>A1.4</t>
  </si>
  <si>
    <t>CDRRMO serves as CDRRMC secretariat with documented secretariat procedures</t>
  </si>
  <si>
    <t>RA 10121 Sec. 12(c)(17)</t>
  </si>
  <si>
    <t>Secretariat SOP; agenda/minutes templates</t>
  </si>
  <si>
    <t>F: scored 4; CDRRMO serves as secretariat.</t>
  </si>
  <si>
    <t>Validate: secretariat SOP and agenda/minutes templates to be sighted in the workshop.</t>
  </si>
  <si>
    <t>Write the secretariat procedure (notice, agenda, quorum, minutes, resolutions, tracking) into MOO Ch.2.</t>
  </si>
  <si>
    <t>MOO Ch.2 Office Organization</t>
  </si>
  <si>
    <t>A1.5</t>
  </si>
  <si>
    <t>Local DRRM-related ordinances in force (e.g., pre-emptive/forced evacuation, no-build zones, hazard-based zoning)</t>
  </si>
  <si>
    <t>RA 10121 Sec. 12(c)(19); RA 7160; CLUP/ZO</t>
  </si>
  <si>
    <t>GP</t>
  </si>
  <si>
    <t>Ordinances; ZO; enforcement records</t>
  </si>
  <si>
    <t>F: pre-emptive/forced evacuation ordinance in force but needs amendment; granular class suspension needed. CLUP is being updated. DR: 10-Yr Plan cites an approved Shelter Plan, CLUP and Zoning Ordinance.</t>
  </si>
  <si>
    <t>Evacuation ordinance lacks procedural steps (who orders, triggers, enforcement); class-suspension rules not barangay-specific.</t>
  </si>
  <si>
    <t>Amend the evacuation ordinance to add procedural statements: triggers tied to the warning-action matrix (A6.2), authority to order, assistance to PWD/elderly, livestock and pets (RA 12287 IRR Rule IV), and enforcement. Add granular (barangay/school-level) class and work suspension.</t>
  </si>
  <si>
    <t>A1.6</t>
  </si>
  <si>
    <t>Protocol for declaring a State of Calamity, incl. CDRRMC recommendation steps and post-declaration measures (State of Imminent Disaster now assessed separately under A1.8)</t>
  </si>
  <si>
    <t>RA 10121 Sec. 16</t>
  </si>
  <si>
    <t>Protocol/SOP; past CDRRMC resolutions</t>
  </si>
  <si>
    <t>F: scored 4, 'innate in the policy'; confusion noted on national declarations (e.g., San Juanico Bridge closure). DR: 10-Yr Plan records a State of Calamity declaration (Res. No. 354) for TS Urduja 2017.</t>
  </si>
  <si>
    <t>Assessor adjustment 4 -&gt; 3: past use is shown, but no stand-alone written protocol and no test/AAR showing improvement were cited, which a 4 requires. v1.1 limits this item to State of Calamity; the State of Imminent Disaster is now A1.8.</t>
  </si>
  <si>
    <t>Write a State of Calamity protocol in MOO Ch.1: criteria (NDRRMC Memo on SoC criteria), RDANA/PDNA basis, CDRRMC recommendation, SP resolution template, post-declaration measures (price freeze, QRF use, reporting). Add a note on how to read national/regional declarations that affect Ormoc.</t>
  </si>
  <si>
    <t>A1.7</t>
  </si>
  <si>
    <t>DRRM is represented in City Development Council and Local Finance Committee deliberations</t>
  </si>
  <si>
    <t>RA 7160; JMC 2013-1</t>
  </si>
  <si>
    <t>Minutes; LDC/LFC membership</t>
  </si>
  <si>
    <t>F: scored 4; DRRM represented in CDC and LFC.</t>
  </si>
  <si>
    <t>Validate with CDC/LFC minutes.</t>
  </si>
  <si>
    <t>Keep representation; use the LFC seat to secure the AA line (A4.6) and the EOC budget (B7.5) in the FY2028 budget call.</t>
  </si>
  <si>
    <t>A1.8</t>
  </si>
  <si>
    <t>State of Imminent Disaster procedure: CDRRMC coordinates with RDRRMC VIII when the pre-disaster risk assessment shows reasonable certainty of severe impact; request format to RDRRMC (24-hour reply); Mayor's EO template; adoption rule when the Region (or Province, applicability to an ICC to be confirmed) is declared; lifting grounds and authority</t>
  </si>
  <si>
    <t>RA 12287; RA 12287 IRR (2026) Rule II Sec. 6; Rule III Secs. 2-4</t>
  </si>
  <si>
    <t>SOP; EO template; CDRRMC resolution and RDRRMC request templates</t>
  </si>
  <si>
    <t>DR: RA 12287 IRR signed 14 Sep 2026; F (A4.6): AA arrangements 'not in place yet at local level, IRR for cascading'. No local SID SOP, EO template or RDRRMC request template found.</t>
  </si>
  <si>
    <t>Mandatory new requirement not yet in place: request to RDRRMC VIII (24-h reply), Mayor's EO, adoption rule, lifting grounds.</t>
  </si>
  <si>
    <t>Draft the State of Imminent Disaster procedure (IRR Rule II Sec. 6; Rule III Secs. 2-4): PDRA trigger, CDRRMC resolution, request to RDRRMC VIII, Mayor's EO template, adoption rule, lifting and the 45-day report (A10.8). Confirm with OCD VIII whether a Provincial declaration applies to an ICC. Walk it through in a tabletop to reach score 3.</t>
  </si>
  <si>
    <t>MOO Ch.1 / EOC Ch.2</t>
  </si>
  <si>
    <t>A2  ORGANIZATION, STAFFING &amp; HUMAN RESOURCES  -  JMC 2014-1 structure, plantilla, 24/7 capacity, competencies</t>
  </si>
  <si>
    <t>A2.1</t>
  </si>
  <si>
    <t>Organizational structure follows JMC 2014-1: Head + Administration &amp; Training, Research &amp; Planning, and Operations &amp; Warning divisions</t>
  </si>
  <si>
    <t>NDRRMC-DILG-DBM-CSC JMC 2014-1</t>
  </si>
  <si>
    <t>Approved organogram; plantilla</t>
  </si>
  <si>
    <t>F: scored 2. DR: 10-Yr Plan SWOC says required CDRRMO positions exist but are not filled; FGDs show Planning, Operations and Admin sections exist.</t>
  </si>
  <si>
    <t>Divisions exist as sections, but not as an approved JMC 2014-1 structure; normal-operations tasks and response tasks are mixed (Planning FGD).</t>
  </si>
  <si>
    <t>Adopt the JMC 2014-1 organogram (Head + 3 divisions) with separate normal-operations and response (EOC) roles, through the ordinance in A1.1 and MOO Ch.2.</t>
  </si>
  <si>
    <t>A2.2</t>
  </si>
  <si>
    <t>CDRRMO Head is a permanent plantilla position filled by a qualified appointee</t>
  </si>
  <si>
    <t>RA 10121 Sec. 12(b); JMC 2014-1</t>
  </si>
  <si>
    <t>Appointment; PDS vs CSC QS</t>
  </si>
  <si>
    <t>F: scored 4; permanent Head appointed. DR: 10-Yr Plan names the CDRRMO Head (Ciriaco Tolibao).</t>
  </si>
  <si>
    <t>Validate appointment papers vs CSC QS.</t>
  </si>
  <si>
    <t>Maintain; document succession (OIC order of precedence) in MOO Ch.2.</t>
  </si>
  <si>
    <t>MOO Ch.2</t>
  </si>
  <si>
    <t>A2.3</t>
  </si>
  <si>
    <t>Minimum plantilla positions per JMC 2014-1 created and filled (ratio of filled/required)</t>
  </si>
  <si>
    <t>JMC 2014-1; CSC QS</t>
  </si>
  <si>
    <t>Plantilla of Personnel; vacancy list</t>
  </si>
  <si>
    <t>F: scored 4. DR: 10-Yr Plan SWOC says required positions are not filled and its PPAs include hiring 4+4+2 plantilla items plus a maintenance engineer and property custodian.</t>
  </si>
  <si>
    <t>Assessor adjustment 4 -&gt; 2 under the conflicting-evidence rule (take the lower). Restore if the current Plantilla of Personnel shows all JMC 2014-1 minimum positions filled.</t>
  </si>
  <si>
    <t>Get the Plantilla of Personnel and vacancy list; compute filled/required. Request creation and funding of the 10 planned items in the FY2028 budget, prioritising Operations &amp; Warning (24/7 OpCen) and Research &amp; Planning (GIS).</t>
  </si>
  <si>
    <t>A2.4</t>
  </si>
  <si>
    <t>Job descriptions/position descriptions defined for every position, aligned to RA 10121 functions</t>
  </si>
  <si>
    <t>CSC rules; JMC 2014-1</t>
  </si>
  <si>
    <t>JDs/PDFs; IPCR/OPCR</t>
  </si>
  <si>
    <t>F: scored 2. Admin FGD: 'clearer job description per staff'; no monitoring tool for individual performance.</t>
  </si>
  <si>
    <t>JDs not defined per position; Admin functions bypassed in some activities.</t>
  </si>
  <si>
    <t>Write position descriptions for every CDRRMO and EOC role (MOO annex), aligned to RA 10121 functions; link them to IPCR/OPCR targets.</t>
  </si>
  <si>
    <t>MOO Ch.2 / Annex JDs</t>
  </si>
  <si>
    <t>A2.5</t>
  </si>
  <si>
    <t>24/7 operations capability with documented shift roster (Operations Center/Duty officers)</t>
  </si>
  <si>
    <t>RA 10121 Sec. 12(c)(16); EOC guidelines</t>
  </si>
  <si>
    <t>Duty roster (last 3 months); logbook</t>
  </si>
  <si>
    <t>DR, OBS</t>
  </si>
  <si>
    <t>F: attached SOP covers EOC activation only, not an SP-approved OpCen SOP for normal operations. DR: 10-Yr Plan says the Operations Center runs 24/7 with trained personnel, but operations need a manual/SOP; 'Operations Center SOP/Manual' is a 2023-24 PPA.</t>
  </si>
  <si>
    <t>24/7 operation exists in practice but no approved normal-operations (White) SOP and roster.</t>
  </si>
  <si>
    <t>Write the OpCen normal-operations SOP (shifts, handover, monitoring, logbook, reporting times 6AM/6PM per RDRRMC8 Res. 12-006) as EOC Manual Ch.4/Ch.5; have it approved and keep 3 months of rosters as proof of use.</t>
  </si>
  <si>
    <t>MOO Ch.4 Operations / EOC Ch.4</t>
  </si>
  <si>
    <t>A2.6</t>
  </si>
  <si>
    <t>Training needs analysis done and competency-based training plan for staff (ICS, BLS/SFA, WASAR, CSSR, MOSAR, EOC, PDNA, GIS)</t>
  </si>
  <si>
    <t>RA 10121 Sec. 14; OCD/DRRM Training Institute curricula</t>
  </si>
  <si>
    <t>TNA; training plan; certificates</t>
  </si>
  <si>
    <t>F: scored 1. Planning FGD: no training needs assessment plan; Admin FGD: TNA proposals not routed to Planning. DR: 10-Yr Plan lists ICS all levels, EOC Management, MDM, CCCM, RDANA and PDNA training.</t>
  </si>
  <si>
    <t>No TNA or competency-based training plan.</t>
  </si>
  <si>
    <t>Run a TNA for all CDRRMO/EOC staff against the competency list (ICS, BLS/SFA, WASAR, CSSR, EOC, PDNA, GIS); produce a 3-year training plan with OCD VIII courses in MOO Ch.6.</t>
  </si>
  <si>
    <t>MOO Ch.6 Capacity Development</t>
  </si>
  <si>
    <t>A2.7</t>
  </si>
  <si>
    <t>Personnel welfare and safety: insurance, hazard pay, PPE, psychosocial support for responders</t>
  </si>
  <si>
    <t>RA 10121 Sec. 12; RA 11036 (MHPSS); CSC rules</t>
  </si>
  <si>
    <t>Insurance policy; PPE inventory; MHPSS program</t>
  </si>
  <si>
    <t>F: scored 1. DR: 10-Yr Plan lists responder care and insurance for ACDVs as planned PPAs.</t>
  </si>
  <si>
    <t>No insurance, hazard pay, PPE or MHPSS programme documented for responders.</t>
  </si>
  <si>
    <t>Adopt a responder welfare policy: group accident insurance (staff and accredited volunteers), PPE issue list, rest cycles, MHPSS referral with CHO (RA 11036). Memo 131 also requires EOC personnel welfare.</t>
  </si>
  <si>
    <t>MOO Ch.2 / Ch.4</t>
  </si>
  <si>
    <t>A2.8</t>
  </si>
  <si>
    <t>Volunteer/auxiliary responder management system (accreditation, registry, deployment, insurance), incl. mobilization of ACDVs for anticipatory action</t>
  </si>
  <si>
    <t>RA 10121 Sec. 13; NDRRMC volunteer guidelines; RA 12287 IRR (2026) Rule IV Sec. 5</t>
  </si>
  <si>
    <t>Volunteer registry; MOAs; accreditation</t>
  </si>
  <si>
    <t>F: scored 3. DR: 10-Yr Plan SWOC says the volunteer roster is not institutionalised; ACDV roster/accreditation is a planned PPA.</t>
  </si>
  <si>
    <t>Validate: registry and accreditation records. ACDV mobilisation for AA (IRR Rule IV Sec. 5) not yet covered.</t>
  </si>
  <si>
    <t>Formalise the ACDV registry with accreditation, insurance and deployment rules, and add AA tasks for ACDVs.</t>
  </si>
  <si>
    <t>MOO Ch.6</t>
  </si>
  <si>
    <t>A2.9</t>
  </si>
  <si>
    <t>Anticipatory action focal person designated in the CDRRMO, with AA training for staff, BDRRMCs, ACDVs and partner CSOs (incl. community-based early warning and early action)</t>
  </si>
  <si>
    <t>RA 12287 IRR (2026) Rule IV Sec. 1; Rule VII</t>
  </si>
  <si>
    <t>Designation memo; training records</t>
  </si>
  <si>
    <t>DR: no AA focal-person designation found in the documents reviewed; F (A4.6): AA not yet in place locally.</t>
  </si>
  <si>
    <t>New mandatory item (IRR Rule IV Sec. 1; Rule VII).</t>
  </si>
  <si>
    <t>Designate an AA focal person by office order and enrol them, BDRRMC officers, ACDVs and partner CSOs in AA training when OCD VIII cascades the IRR.</t>
  </si>
  <si>
    <t>MOO Ch.2 / Ch.6</t>
  </si>
  <si>
    <t>A2.10</t>
  </si>
  <si>
    <t>Inventory of DRRM-relevant skills across the CDRRMO, partner offices and barangays (SAR, engineering, logistics, GIS, PDNA, MHPSS) updated within the last 12 months</t>
  </si>
  <si>
    <t>UNDRR DRSC 6.1.1</t>
  </si>
  <si>
    <t>Skills inventory with date</t>
  </si>
  <si>
    <t>F (Admin FGD, formerly under A1.3): lack of a database on personnel. DR: 10-Yr Plan volunteer roster not institutionalised.</t>
  </si>
  <si>
    <t>No skills inventory across CDRRMO, partner offices and barangays.</t>
  </si>
  <si>
    <t>Build a skills inventory (SAR, engineering, logistics, GIS, PDNA, MHPSS) covering CDRRMO, CDRRMC offices and BDRRMCs; update it every 12 months (UNDRR DRSC 6.1.1).</t>
  </si>
  <si>
    <t>A3  DRRM &amp; CONTINGENCY PLANNING  -  LDRRMP, CPs, PSCP, mainstreaming in CDP/CLUP/LCCAP</t>
  </si>
  <si>
    <t>A3.1</t>
  </si>
  <si>
    <t>Local DRRM Plan (LDRRMP) current, approved by Sanggunian, aligned with NDRRMP 2020-2030 and Sendai Framework</t>
  </si>
  <si>
    <t>RA 10121 Sec. 12(c)(6); NDRRMP 2020-2030</t>
  </si>
  <si>
    <t>LDRRMP; SP resolution</t>
  </si>
  <si>
    <t>F: scored 4. DR: 10-Yr Plan adopted by SP Res. 2023-112, prepared with the NDRRMC 2022 LDRRMP guidebook.</t>
  </si>
  <si>
    <t>Validate the alignment table to NDRRMP 2020-2030 and Sendai. Barangay count in the plan (110) predates the 2022 merger; use 85.</t>
  </si>
  <si>
    <t>Maintain; in the next update correct the barangay count to 85 and add RA 12287 anticipatory action PPAs.</t>
  </si>
  <si>
    <t>MOO Ch.3 Planning</t>
  </si>
  <si>
    <t>A3.2</t>
  </si>
  <si>
    <t>DRR-CCA mainstreamed in CDP, CLUP, ELA and LCCAP (hazard data used in land use and investment decisions)</t>
  </si>
  <si>
    <t>RA 10121 Sec. 2; RA 9729 as amended by RA 10174; HLURB/DHSUD CLUP guidelines</t>
  </si>
  <si>
    <t>CDP, CLUP, LCCAP; LDIP/AIP tagging</t>
  </si>
  <si>
    <t>F: plans mainstreaming and provisions need review. DR: approved CLUP and ZO cited in 10-Yr Plan; CLUP under update (A1.5).</t>
  </si>
  <si>
    <t>CLUP update is the opportunity to use the updated CDRA (A5.2).</t>
  </si>
  <si>
    <t>Review mainstreaming in CDP, CLUP, ELA and LCCAP during the CLUP update; check that CDRA results drive land-use and AIP decisions (see C1.1-C1.4).</t>
  </si>
  <si>
    <t>MOO Ch.3</t>
  </si>
  <si>
    <t>A3.3</t>
  </si>
  <si>
    <t>Hazard-specific Contingency Plans for priority hazards (flood/flash flood, landslide, earthquake/tsunami, tropical cyclone, industrial/geothermal), updated and tested</t>
  </si>
  <si>
    <t>NDRRMC CP guidelines; OCD CP Manual</t>
  </si>
  <si>
    <t>CPs; simulation reports</t>
  </si>
  <si>
    <t>F: CPs updated but tested only for earthquake and flooding. DR: 10-Yr Plan says CPs exist but need updating; new CPs are planned.</t>
  </si>
  <si>
    <t>No CPs for other top hazards (landslide, tsunami, tropical cyclone, geothermal/industrial); untested CPs.</t>
  </si>
  <si>
    <t>Prepare CPs for the remaining priority hazards and test each by tabletop; add AA annexes (A8.8) and pre-disaster recovery annex (A9.5).</t>
  </si>
  <si>
    <t>MOO Ch.3 / EOC Ch.3</t>
  </si>
  <si>
    <t>A3.4</t>
  </si>
  <si>
    <t>Public Service Continuity Plan (PSCP) prepared covering CDRRMO and essential city services</t>
  </si>
  <si>
    <t>NDRRMC/OCD PSCP Guidebook</t>
  </si>
  <si>
    <t>PSCP; BIA; essential functions list</t>
  </si>
  <si>
    <t>F: scored 2. DR: PSCP formulation is a 2023 PPA in 10-Yr Plan; NDRRMC/OCD PSCP Guidebook available.</t>
  </si>
  <si>
    <t>PSCP not completed; no BIA or essential-functions list sighted.</t>
  </si>
  <si>
    <t>Complete the PSCP using the PSCP Guidebook: essential functions, BIA, alternate site (links to B2.7), orders of succession, vital records. Exercise it once.</t>
  </si>
  <si>
    <t>MOO Ch.3 / EOC Ch.7</t>
  </si>
  <si>
    <t>A3.5</t>
  </si>
  <si>
    <t>Annual LDRRMF Investment Plan (LDRRMFIP) prepared, approved and consistent with LDRRMP</t>
  </si>
  <si>
    <t>JMC 2013-1</t>
  </si>
  <si>
    <t>LDRRMFIP; CDRRMC resolution</t>
  </si>
  <si>
    <t>F: scored 4; LDRRMFIP prepared and approved.</t>
  </si>
  <si>
    <t>Validate the CDRRMC resolution and link to LDRRMP PPAs.</t>
  </si>
  <si>
    <t>Maintain; add the AA line (A4.6) and EOC operations line (B7.5) explicitly.</t>
  </si>
  <si>
    <t>MOO Ch.5 Financing</t>
  </si>
  <si>
    <t>A3.6</t>
  </si>
  <si>
    <t>Evacuation plan with mapped routes, safe zones, centers and pre-emptive evacuation triggers per barangay</t>
  </si>
  <si>
    <t>RA 10121; RA 12076; DILG Operation L!sto</t>
  </si>
  <si>
    <t>Evacuation maps; plans per barangay</t>
  </si>
  <si>
    <t>F: incomplete. DR: 10-Yr Plan lists EC database/geotagging and Operation L!sto manual as PPAs; 46 barangays are critical flood barangays.</t>
  </si>
  <si>
    <t>Routes, maps and safe zones not aligned with SOPs; pre-emptive evacuation triggers per barangay missing.</t>
  </si>
  <si>
    <t>Produce barangay evacuation maps (routes, safe zones, ECs) for all 85 barangays, starting with the 46 critical flood barangays, and link triggers to the warning-action matrix (A6.2).</t>
  </si>
  <si>
    <t>MOO Ch.4 / EOC Ch.3</t>
  </si>
  <si>
    <t>A3.7</t>
  </si>
  <si>
    <t>Barangay DRRM plans (85 barangays) reviewed/consolidated by CDRRMO</t>
  </si>
  <si>
    <t>RA 10121 Sec. 12(c)(6); DILG MC on BDRRM</t>
  </si>
  <si>
    <t>Consolidated BDRRMP status matrix</t>
  </si>
  <si>
    <t>F: SGLG-type compliance with good practice.</t>
  </si>
  <si>
    <t>Validate the consolidated BDRRMP status matrix for 85 barangays.</t>
  </si>
  <si>
    <t>Maintain; add AA and evacuation-map status columns to the matrix.</t>
  </si>
  <si>
    <t>A4  DRRM FINANCING &amp; FUND MANAGEMENT  -  LDRRMF allocation, utilization, QRF, trust fund, procurement</t>
  </si>
  <si>
    <t>A4.1</t>
  </si>
  <si>
    <t>LDRRMF set at not less than 5% of estimated revenue from regular sources</t>
  </si>
  <si>
    <t>RA 10121 Sec. 21; JMC 2013-1</t>
  </si>
  <si>
    <t>Annual budget; LDRRMF computation</t>
  </si>
  <si>
    <t>F: scored 4.</t>
  </si>
  <si>
    <t>Validate the LDRRMF computation (5% of estimated regular revenue).</t>
  </si>
  <si>
    <t>Maintain; keep the computation sheet with the budget.</t>
  </si>
  <si>
    <t>A4.2</t>
  </si>
  <si>
    <t>70% Mitigation/Preparedness and 30% Quick Response Fund (QRF) allocation observed</t>
  </si>
  <si>
    <t>Appropriation ordinance; LDRRMFIP</t>
  </si>
  <si>
    <t>Validate the appropriation ordinance.</t>
  </si>
  <si>
    <t>Maintain the 70/30 split; show the AA sub-allocation inside the 70% (A4.6).</t>
  </si>
  <si>
    <t>MOO Ch.5</t>
  </si>
  <si>
    <t>A4.3</t>
  </si>
  <si>
    <t>Unexpended LDRRMF transferred to Special Trust Fund and used within 5 years</t>
  </si>
  <si>
    <t>RA 10121 Sec. 21; COA Circular 2012-002</t>
  </si>
  <si>
    <t>STF ledger; COA reports</t>
  </si>
  <si>
    <t>Validate the STF ledger and 5-year use.</t>
  </si>
  <si>
    <t>Maintain; list STF balances as an AA fund source (A4.6).</t>
  </si>
  <si>
    <t>A4.4</t>
  </si>
  <si>
    <t>LDRRMF utilization rate monitored and reported (target &gt;= 80% of current-year 70% fund)</t>
  </si>
  <si>
    <t>JMC 2013-1; COA AAR findings</t>
  </si>
  <si>
    <t>Utilization reports; COA AAR</t>
  </si>
  <si>
    <t>F: 80% utilisation not yet met; monitoring needed. DR: 10-Yr Plan SWOC notes QRF utilisation/accessibility is a challenge.</t>
  </si>
  <si>
    <t>Utilisation below target.</t>
  </si>
  <si>
    <t>Track LDRRMF utilisation quarterly in the CDRRMC meeting; flag PPAs at risk by Q3.</t>
  </si>
  <si>
    <t>A4.5</t>
  </si>
  <si>
    <t>Emergency procurement procedures (negotiated procurement - emergency cases) documented and pre-arranged (framework agreements, pre-qualified suppliers)</t>
  </si>
  <si>
    <t>RA 12009 (New Government Procurement Act) &amp; IRR</t>
  </si>
  <si>
    <t>Procurement SOP; framework agreements</t>
  </si>
  <si>
    <t>F: local suppliers' capability needs regular updating.</t>
  </si>
  <si>
    <t>Supplier list not refreshed; framework agreements to be confirmed.</t>
  </si>
  <si>
    <t>Keep a pre-qualified supplier list updated each year; set framework agreements for relief goods, fuel and heavy equipment under RA 12009 IRR, usable for AA (B6.6).</t>
  </si>
  <si>
    <t>MOO Ch.5 / EOC Ch.6</t>
  </si>
  <si>
    <t>A4.6</t>
  </si>
  <si>
    <t>Anticipatory action funding pathway: LDRRMFIP sets an AA line within the cap of 10% of the 70% LDRRMF; other sources mapped (Special Trust Fund balances, donations, ODA); Budget, Accounting and BAC procedures allow immediate disbursement and observe the 30%/70% tranche rule around the 3-day lead time</t>
  </si>
  <si>
    <t>RA 12287; RA 12287 IRR (2026) Rule V Secs. 1-3; RA 10121 Sec. 21; RA 12009</t>
  </si>
  <si>
    <t>LDRRMFIP AA line; Budget/Accounting guidance; disbursement and procurement SOP</t>
  </si>
  <si>
    <t>F: not in place locally; awaiting IRR cascading. DR: IRR Rule V allows up to 10% of the 70% LDRRMF for AA; &lt;=30% more than 3 days before impact, up to 70% within 3 days. DBM-COA guidelines pending.</t>
  </si>
  <si>
    <t>No AA line, no disbursement guidance.</t>
  </si>
  <si>
    <t>Put an AA line (up to 10% of the 70% LDRRMF) in the FY2028 LDRRMFIP; map other sources (STF, donations, ODA); write Budget/Accounting/BAC steps for immediate disbursement with the 30%/70% tranche rule. Revisit when DBM-COA guidelines issue.</t>
  </si>
  <si>
    <t>A4.7</t>
  </si>
  <si>
    <t>Risk transfer/financing instruments explored (indemnity insurance of public assets, PSF access, partnerships)</t>
  </si>
  <si>
    <t>NDRRMP; RA 10174 (People's Survival Fund); DOF-BTr NIP</t>
  </si>
  <si>
    <t>GSIS insurance; PSF proposals</t>
  </si>
  <si>
    <t>F: scored 3.</t>
  </si>
  <si>
    <t>Validate GSIS insurance coverage of public assets and PSF proposals.</t>
  </si>
  <si>
    <t>Maintain; check EOC and ECs are on the GSIS indemnity schedule.</t>
  </si>
  <si>
    <t>A4.8</t>
  </si>
  <si>
    <t>Clean COA findings on LDRRMF in last audit year (or findings addressed)</t>
  </si>
  <si>
    <t>COA Circular 2012-002</t>
  </si>
  <si>
    <t>COA Annual Audit Report; action plan</t>
  </si>
  <si>
    <t>F: internal audit to be ensured.</t>
  </si>
  <si>
    <t>Confirm the latest COA AAR has no unaddressed LDRRMF findings.</t>
  </si>
  <si>
    <t>Set an internal audit check of LDRRMF before year-end.</t>
  </si>
  <si>
    <t>A4.9</t>
  </si>
  <si>
    <t>QRF and LDRRMF adequacy tested against the most severe credible scenario (e.g., a Thelma-type flash flood or Yolanda-strength typhoon), with the shortfall and other fund sources identified</t>
  </si>
  <si>
    <t>UNDRR DRSC 3.2.3, 3.2.4; JMC 2013-1</t>
  </si>
  <si>
    <t>Costed scenario; LDRRMFIP; Budget Office analysis</t>
  </si>
  <si>
    <t>DR: no costed worst-case scenario found; 10-Yr Plan notes QRF utilisation challenges.</t>
  </si>
  <si>
    <t>Not scored. Evidence needed: costed scenario (most severe credible event, e.g., Thelma-type flash flood) vs QRF and LDRRMF, from the Budget Office.</t>
  </si>
  <si>
    <t>Cost the most severe credible scenario from the flood CP; compare with QRF and STF balances; list fallback sources.</t>
  </si>
  <si>
    <t>A5  RISK ASSESSMENT, DATA &amp; KNOWLEDGE MANAGEMENT  -  Hazard/risk data, CDRA, information systems, data privacy</t>
  </si>
  <si>
    <t>A5.1</t>
  </si>
  <si>
    <t>Updated hazard maps for all priority hazards (MGB, PHIVOLCS, PAGASA, GeoRiskPH/HazardHunterPH) at barangay scale</t>
  </si>
  <si>
    <t>RA 10121 Sec. 12(c)(3); NDRRMP</t>
  </si>
  <si>
    <t>Hazard maps; GIS layers</t>
  </si>
  <si>
    <t>F: scored 3. DR: GeoRiskPH MOA with PHIVOLCS covers 6 hazards (10-Yr Plan).</t>
  </si>
  <si>
    <t>Barangay-scale coverage to validate.</t>
  </si>
  <si>
    <t>Maintain; publish barangay hazard maps through the shared source (A5.7).</t>
  </si>
  <si>
    <t>MOO Ch.3 / EOC Ch.5</t>
  </si>
  <si>
    <t>A5.2</t>
  </si>
  <si>
    <t>Climate &amp; Disaster Risk Assessment (CDRA)/ CRA completed with exposure (population, buildings, critical facilities) and vulnerability data</t>
  </si>
  <si>
    <t>DHSUD/CCC CDRA guidelines; RA 10121 Sec. 12(c)(3)</t>
  </si>
  <si>
    <t>CDRA report; exposure database</t>
  </si>
  <si>
    <t>F: CDRA for updating. DR: 10-Yr Plan SWOC says CDRA and CBMS need updating. CDRA_Ormoc.pdf could not be opened (&gt;10 MB).</t>
  </si>
  <si>
    <t>CDRA dated; content not desk-reviewed.</t>
  </si>
  <si>
    <t>Update the CDRA with the CLUP update, including exposure of the 85 barangays and critical facilities (A5.8, C1.3).</t>
  </si>
  <si>
    <t>A5.3</t>
  </si>
  <si>
    <t>Disaggregated population database (sex, age, disability, IP, pregnant/lactating) for at-risk households</t>
  </si>
  <si>
    <t>RA 10121 Sec. 12(c)(5); RA 9710; RA 7277 as amended; RA 10821</t>
  </si>
  <si>
    <t>CBMS/household risk database</t>
  </si>
  <si>
    <t>F: scored 4. DR: 10-Yr Plan says CBMS needs updating.</t>
  </si>
  <si>
    <t>Conflict to validate: 4 needs a current database used in a test or event; the plan says CBMS needs updating.</t>
  </si>
  <si>
    <t>Validate CBMS currency; use it as the AA targeting list (A8.9).</t>
  </si>
  <si>
    <t>A5.4</t>
  </si>
  <si>
    <t>DRRM information system/ database with disaster event history, damage and losses (incl. 1991 flood, 2013 Yolanda, 2017 earthquake records)</t>
  </si>
  <si>
    <t>RA 10121 Sec. 12(c)(5); Sendai monitoring</t>
  </si>
  <si>
    <t>Disaster database; event records</t>
  </si>
  <si>
    <t>F: scored 0. DR: 10-Yr Plan has a top-6 disaster event table and cites RDANA reports and a PDNA report (Paglaum).</t>
  </si>
  <si>
    <t>Event records exist in reports but there is no database.</t>
  </si>
  <si>
    <t>Set up a disaster event and loss database (Sendai/DesInventar fields) and back-load past RDANA/PDNA data.</t>
  </si>
  <si>
    <t>MOO Ch.7 Knowledge Mgmt</t>
  </si>
  <si>
    <t>A5.5</t>
  </si>
  <si>
    <t>Data privacy compliance for beneficiary and affected-population data (DPO, consent, data sharing agreements)</t>
  </si>
  <si>
    <t>RA 10173 (Data Privacy Act); NPC circulars</t>
  </si>
  <si>
    <t>DPO designation; DSA; privacy notices</t>
  </si>
  <si>
    <t>F: for verification with CPDO (KII).</t>
  </si>
  <si>
    <t>No DPO designation, DSA or privacy notice sighted for DRRM data.</t>
  </si>
  <si>
    <t>Confirm the City DPO; sign data-sharing agreements with CSWDO/CPDO for beneficiary data; add privacy notices to registration forms.</t>
  </si>
  <si>
    <t>MOO Ch.7</t>
  </si>
  <si>
    <t>A5.6</t>
  </si>
  <si>
    <t>GIS capability (software, trained staff, updated base maps) within Research &amp; Planning</t>
  </si>
  <si>
    <t>JMC 2014-1 (R&amp;P functions)</t>
  </si>
  <si>
    <t>GIS outputs; staff training</t>
  </si>
  <si>
    <t>OBS, KII</t>
  </si>
  <si>
    <t>GIS capacity in R&amp;P not confirmed.</t>
  </si>
  <si>
    <t>Confirm GIS staff and software; train at least 2 R&amp;P staff.</t>
  </si>
  <si>
    <t>A5.7</t>
  </si>
  <si>
    <t>One maintained, shared source of risk and readiness information (hazard maps, plans, contacts, readiness summary) open to CDRRMC member offices, with a public summary posted</t>
  </si>
  <si>
    <t>UNDRR DRSC 1.4.1, 6.3.1, 6.3.2; RA 10173</t>
  </si>
  <si>
    <t>Shared drive/portal; public web posting</t>
  </si>
  <si>
    <t>DR: 10-Yr Plan lists a database management team and a cloud IMS as planned PPAs.</t>
  </si>
  <si>
    <t>No single shared source for CDRRMC offices; no public summary.</t>
  </si>
  <si>
    <t>Set up one shared repository (hazard maps, plans, contacts, readiness summary) for CDRRMC offices and post a public summary, respecting RA 10173.</t>
  </si>
  <si>
    <t>A5.8</t>
  </si>
  <si>
    <t>Critical facilities list (EOC, hospitals, evacuation centers, water, power, telecom, bridges, port) with dependencies mapped as potential failure chains and used to set protection and restoration priorities</t>
  </si>
  <si>
    <t>UNDRR DRSC 2.3.1; RA 12287 IRR (2026) Rule I Sec. 5(b),(d)</t>
  </si>
  <si>
    <t>Critical facilities database; dependency map</t>
  </si>
  <si>
    <t>DR: critical infrastructure inventory is a planned PPA in 10-Yr Plan.</t>
  </si>
  <si>
    <t>No dependency map of critical facilities.</t>
  </si>
  <si>
    <t>Build the critical facilities list (EOC, hospitals, ECs, water, power, telecom, bridges, port) with dependencies; CREST systems-mapping exercises can be used to draw failure chains.</t>
  </si>
  <si>
    <t>A5.9</t>
  </si>
  <si>
    <t>Agreed update cycle: hazard data every 3 years or less; exposure, vulnerability and critical-facility data every 18 months or less</t>
  </si>
  <si>
    <t>UNDRR DRSC 2.5.1</t>
  </si>
  <si>
    <t>Update procedure; version dates of datasets</t>
  </si>
  <si>
    <t>DR: CDRA and CBMS overdue for updating (10-Yr Plan).</t>
  </si>
  <si>
    <t>No agreed update cycle.</t>
  </si>
  <si>
    <t>Adopt an update cycle in MOO Ch.7: hazard data &lt;=3 years; exposure, vulnerability and critical facilities &lt;=18 months.</t>
  </si>
  <si>
    <t>A6  EARLY WARNING &amp; RISK COMMUNICATION  -  Hazard-specific EWS, last-mile warning, public information</t>
  </si>
  <si>
    <t>A6.1</t>
  </si>
  <si>
    <t>Hazard-specific EWS operational for flood (incl. Anilao/Malbasag river systems), rain-induced landslide, tsunami (Ormoc Bay) and tropical cyclone</t>
  </si>
  <si>
    <t>RA 10121 Sec. 12(c)(8); PAGASA/PHIVOLCS protocols</t>
  </si>
  <si>
    <t>EWS inventory; functionality logs; maps of sensors/gauges</t>
  </si>
  <si>
    <t>DR, OBS, TST</t>
  </si>
  <si>
    <t>F: re-establish tech-based and strengthen indigenous EWS; barangay tools are group chat, VHF radio, public address and megaphones. DR: 10-Yr Plan plans 6 AWS, a DOST-PAGASA coastal camera, an OpCen integrated multi-hazard EWS/CCTV and EWS preventive maintenance and insurance.</t>
  </si>
  <si>
    <t>Tech-based gauges/sensors need re-establishing (Anilao/Malbasag).</t>
  </si>
  <si>
    <t>Restore and insure the flood/rain gauges; set a monthly functionality check; write an EWS SOP (planned PPA).</t>
  </si>
  <si>
    <t>A6.2</t>
  </si>
  <si>
    <t>Warning thresholds linked to specific actions (alert levels -&gt; pre-emptive evacuation, class/work suspension, State of Imminent Disaster request) in written protocols, built to take up NDRRMC impact-based triggers once issued</t>
  </si>
  <si>
    <t>RA 10121; RA 12287; RA 12287 IRR (2026) Rule II Sec. 2; DILG Operation L!sto</t>
  </si>
  <si>
    <t>Warning-action matrix</t>
  </si>
  <si>
    <t>F: needs enhancement.</t>
  </si>
  <si>
    <t>Matrix does not yet link alert levels to SID request and AA (RA 12287).</t>
  </si>
  <si>
    <t>Write the warning-action matrix (PAGASA/PHIVOLCS levels -&gt; pre-emptive evacuation, class/work suspension, EOC level, SID request), built to take NDRRMC impact-based triggers when issued.</t>
  </si>
  <si>
    <t>EOC Ch.2 Concept of Operations</t>
  </si>
  <si>
    <t>A6.3</t>
  </si>
  <si>
    <t>Last-mile dissemination channels tested to barangay/purok level (sirens, radio, SMS/ECBS, social media, barangay criers)</t>
  </si>
  <si>
    <t>RA 10639 (Free Mobile Disaster Alerts); NDRRMC EWS</t>
  </si>
  <si>
    <t>Test logs; coverage map</t>
  </si>
  <si>
    <t>OBS, TST, FGD</t>
  </si>
  <si>
    <t>F: delivery is fast but fails when telecom is down; verify at barangay level.</t>
  </si>
  <si>
    <t>No tested fallback channel when mobile networks fail.</t>
  </si>
  <si>
    <t>Revise the dissemination SOP with non-telecom fallbacks (VHF, sirens, criers) and test to purok level twice a year with logs.</t>
  </si>
  <si>
    <t>MOO Ch.4</t>
  </si>
  <si>
    <t>A6.4</t>
  </si>
  <si>
    <t>Warnings issued in local language (Cebuano/ Ormocanon) and accessible formats (sign language, visual alerts for PWD)</t>
  </si>
  <si>
    <t>RA 10121; RA 11106 (FSL Act); RA 7277</t>
  </si>
  <si>
    <t>Sample advisories; IEC materials</t>
  </si>
  <si>
    <t>Validate sample advisories in Cebuano and accessible formats.</t>
  </si>
  <si>
    <t>Maintain; add PWD-inclusive EWS (planned PPA).</t>
  </si>
  <si>
    <t>A6.5</t>
  </si>
  <si>
    <t>Designated public information officer and risk communication plan (incl. rumor/misinformation management)</t>
  </si>
  <si>
    <t>NDRRMC public info protocols</t>
  </si>
  <si>
    <t>Risk communication plan; spokesperson designation</t>
  </si>
  <si>
    <t>F: for training and updating. DR: risk communication plan is a planned PPA in 10-Yr Plan.</t>
  </si>
  <si>
    <t>No approved risk communication plan.</t>
  </si>
  <si>
    <t>Designate the PIO and write the risk communication plan, including rumour management.</t>
  </si>
  <si>
    <t>EOC Ch.5</t>
  </si>
  <si>
    <t>A6.6</t>
  </si>
  <si>
    <t>IEC program on hazards and preparedness with annual reach targets</t>
  </si>
  <si>
    <t>RA 10121 Sec. 12(c)(13)</t>
  </si>
  <si>
    <t>IEC plan; reach reports</t>
  </si>
  <si>
    <t>F: for verification at barangay level.</t>
  </si>
  <si>
    <t>Reach targets to validate.</t>
  </si>
  <si>
    <t>Set annual reach targets per barangay and report them.</t>
  </si>
  <si>
    <t>A6.7</t>
  </si>
  <si>
    <t>Templates and channels for public notice of a State of Imminent Disaster and of the anticipatory actions required, incl. sector-specific impact-based advisories and reach to geographically isolated barangays</t>
  </si>
  <si>
    <t>RA 12287 IRR (2026) Rule IV Sec. 2</t>
  </si>
  <si>
    <t>Advisory templates; dissemination log</t>
  </si>
  <si>
    <t>DR: no SID public-notice templates found.</t>
  </si>
  <si>
    <t>New mandatory item (IRR Rule IV Sec. 2).</t>
  </si>
  <si>
    <t>Prepare SID public notice templates and sector-specific advisories with channels to isolated barangays.</t>
  </si>
  <si>
    <t>MOO Ch.4 / EOC Ch.5</t>
  </si>
  <si>
    <t>A7  PREPAREDNESS &amp; COMMUNITY CAPACITY  -  Training, drills, BDRRMCs, evacuation centers, inclusive DRRM</t>
  </si>
  <si>
    <t>A7.1</t>
  </si>
  <si>
    <t>Annual training program for city personnel, BDRRMCs, schools and communities implemented</t>
  </si>
  <si>
    <t>RA 10121 Sec. 12(c)(12), Sec. 14</t>
  </si>
  <si>
    <t>Training calendar; reports; attendance</t>
  </si>
  <si>
    <t>F: for verification.</t>
  </si>
  <si>
    <t>Validate the training calendar and attendance.</t>
  </si>
  <si>
    <t>Maintain; merge with the TNA plan (A2.6).</t>
  </si>
  <si>
    <t>A7.2</t>
  </si>
  <si>
    <t>Participation in quarterly Nationwide Simultaneous Earthquake Drill (NSED) and hazard-specific drills with evaluation</t>
  </si>
  <si>
    <t>NDRRMC NSED guidelines</t>
  </si>
  <si>
    <t>Drill reports; evaluation forms</t>
  </si>
  <si>
    <t>Validate drill evaluation reports.</t>
  </si>
  <si>
    <t>Maintain.</t>
  </si>
  <si>
    <t>A7.3</t>
  </si>
  <si>
    <t>BDRRMC functionality across 85 barangays assessed (e.g., Listo si KAP) with support plan for low-functioning barangays</t>
  </si>
  <si>
    <t>RA 10121; DILG MC 2025-035 (Listo si KAP)</t>
  </si>
  <si>
    <t>BDRRMC functionality matrix</t>
  </si>
  <si>
    <t>DR, FGD</t>
  </si>
  <si>
    <t>Validate the BDRRMC functionality matrix (85 barangays).</t>
  </si>
  <si>
    <t>Maintain; target low-functioning barangays first.</t>
  </si>
  <si>
    <t>A7.4</t>
  </si>
  <si>
    <t>Permanent evacuation center(s) planned/established and existing ECs meet minimum standards (WASH, privacy, PWD access, child-friendly space)</t>
  </si>
  <si>
    <t>RA 12076 (Ligtas Pinoy Centers Act); RA 10821; DSWD standards</t>
  </si>
  <si>
    <t>EC inventory &amp; audit; site inspection</t>
  </si>
  <si>
    <t>F: for observation; other ECs need enhancement. DR: 10-Yr Plan plans retrofitting 30 ECs (open covered courts) and MOAs for private alternate ECs.</t>
  </si>
  <si>
    <t>ECs do not yet meet RA 12076 standards.</t>
  </si>
  <si>
    <t>Audit ECs against RA 12076/DSWD standards; prioritise retrofits for the 46 critical flood barangays.</t>
  </si>
  <si>
    <t>MOO Ch.4 / EOC Ch.6</t>
  </si>
  <si>
    <t>A7.5</t>
  </si>
  <si>
    <t>Prepositioned relief stocks/food packs and non-food items with inventory and replenishment triggers</t>
  </si>
  <si>
    <t>RA 10121; DSWD-LGU protocols; Operation L!sto</t>
  </si>
  <si>
    <t>Stock inventory; warehouse inspection</t>
  </si>
  <si>
    <t>OBS, DR</t>
  </si>
  <si>
    <t>F: scored 4. DR: 10-Yr Plan plans 7 storage facilities and a digital inventory.</t>
  </si>
  <si>
    <t>Validate warehouse inventory and replenishment triggers.</t>
  </si>
  <si>
    <t>Maintain; add AA prepositioning triggers.</t>
  </si>
  <si>
    <t>EOC Ch.6 Logistics</t>
  </si>
  <si>
    <t>A7.6</t>
  </si>
  <si>
    <t>Inclusive DRRM: GAD, PWD, senior citizen, children, IP considerations embedded in plans and services, with vulnerable-sector representatives confirming they were engaged</t>
  </si>
  <si>
    <t>RA 9710; RA 7277 as amended; RA 9994; RA 10821; RA 8371; RA 12287 IRR (2026) Rule IV Sec. 1(a); UNDRR DRSC 7.2.2</t>
  </si>
  <si>
    <t>Plans; GAD-tagged budget; inclusion checklist; sector representatives' confirmation (FGD)</t>
  </si>
  <si>
    <t>Sector representatives' confirmation (FGD) not yet gathered.</t>
  </si>
  <si>
    <t>Hold a short FGD with PWD, senior, women and youth representatives to confirm engagement.</t>
  </si>
  <si>
    <t>MOO Ch.3 / Ch.4</t>
  </si>
  <si>
    <t>A7.7</t>
  </si>
  <si>
    <t>Schools, hospitals and critical facilities included in preparedness planning and drills</t>
  </si>
  <si>
    <t>DepEd/DOH DRRM policies; Safe Schools/Hospitals</t>
  </si>
  <si>
    <t>Coordination records; joint drills</t>
  </si>
  <si>
    <t>F: for online FGDs.</t>
  </si>
  <si>
    <t>Validate joint drills with schools and hospitals.</t>
  </si>
  <si>
    <t>Maintain; include schools and hospitals in the next CP tabletop.</t>
  </si>
  <si>
    <t>A7.8</t>
  </si>
  <si>
    <t>Refresher cycle (at least annual) set for trained responders, EOC staff and BDRRMC members, with attendance tracked</t>
  </si>
  <si>
    <t>UNDRR DRSC 6.4.2</t>
  </si>
  <si>
    <t>Training calendar; attendance records</t>
  </si>
  <si>
    <t>F (A8.2): need for continuous training.</t>
  </si>
  <si>
    <t>No refresher cycle set.</t>
  </si>
  <si>
    <t>Set an annual refresher cycle for responders, EOC staff and BDRRMC members and track attendance.</t>
  </si>
  <si>
    <t>A7.9</t>
  </si>
  <si>
    <t>BDRRMCs can account for residents of affected puroks within 12 hours of impact (welfare check), shown in a drill or a real event</t>
  </si>
  <si>
    <t>UNDRR DRSC 7.2.1</t>
  </si>
  <si>
    <t>Drill or AAR record; barangay reports</t>
  </si>
  <si>
    <t>DR: no drill/AAR record of welfare checks found.</t>
  </si>
  <si>
    <t>Not scored. Evidence needed: drill or event record showing purok accounting within 12 h (FGD in sampled barangays).</t>
  </si>
  <si>
    <t>Add a 12-hour welfare-check step to BDRRMC protocols and test it in the next drill.</t>
  </si>
  <si>
    <t>A8  RESPONSE CAPABILITY  -  ICS/IMT, SAR, EMS, equipment, cluster coordination, anticipatory action</t>
  </si>
  <si>
    <t>A8.1</t>
  </si>
  <si>
    <t>Incident Command System institutionalized: EO on ICS, trained IMT roster, pre-designated Incident Commanders</t>
  </si>
  <si>
    <t>NDRRMC MC No. 4, s. 2012 (ICS)</t>
  </si>
  <si>
    <t>EO; IMT roster; ICS certificates</t>
  </si>
  <si>
    <t>F: no EO or ordinance on ICS. DR: 10-Yr Plan plans ICS all levels training and an IMT EO (2025).</t>
  </si>
  <si>
    <t>No ICS EO or IMT roster.</t>
  </si>
  <si>
    <t>Issue an EO institutionalising ICS with pre-designated ICs and IMT roster; complete ICS training.</t>
  </si>
  <si>
    <t>MOO Ch.4 Response Operations</t>
  </si>
  <si>
    <t>A8.2</t>
  </si>
  <si>
    <t>Organized and trained response teams: SAR (WASAR/CSSR/HAZMAT as relevant), EMS/ambulance, fire coordination with BFP</t>
  </si>
  <si>
    <t>RA 10121 Sec. 12(c)(16); RA 11589 (BFP)</t>
  </si>
  <si>
    <t>Team roster; certificates; MOA with BFP</t>
  </si>
  <si>
    <t>F: continuous training needed; EO needs updating.</t>
  </si>
  <si>
    <t>Team EO outdated.</t>
  </si>
  <si>
    <t>Update the response team EO and the BFP MOA; keep certificates current.</t>
  </si>
  <si>
    <t>A8.3</t>
  </si>
  <si>
    <t>Response equipment and vehicles inventoried, serviceable and maintained (preventive maintenance schedule)</t>
  </si>
  <si>
    <t>COA property rules; RA 10121</t>
  </si>
  <si>
    <t>Property inventory; PM logs; site check</t>
  </si>
  <si>
    <t>F: PMS needs programming. DR: maintenance engineer and property custodian are planned hires.</t>
  </si>
  <si>
    <t>No preventive maintenance schedule.</t>
  </si>
  <si>
    <t>Program a PM schedule for vehicles and equipment and keep logs.</t>
  </si>
  <si>
    <t>A8.4</t>
  </si>
  <si>
    <t>Emergency hotline integrated with E911 and dispatch protocol (call-taking to dispatch time tracked)</t>
  </si>
  <si>
    <t>EO 56 s. 2018 (E911); DILG guidelines</t>
  </si>
  <si>
    <t>Dispatch logs; SOP; response time data</t>
  </si>
  <si>
    <t>F: scored 0. DR: 911 emergency dispatch system is a planned PPA in 10-Yr Plan.</t>
  </si>
  <si>
    <t>No E911 integration or dispatch protocol.</t>
  </si>
  <si>
    <t>Integrate the hotline with E911 and write the dispatch SOP with response-time tracking.</t>
  </si>
  <si>
    <t>EOC Ch.4</t>
  </si>
  <si>
    <t>A8.5</t>
  </si>
  <si>
    <t>Response clusters organized at city level mirroring national cluster approach (Food &amp; NFI, Health, WASH, CCCM, Logistics, Search Rescue &amp; Retrieval, Law &amp; Order, Education, Protection, ETC, MDM)</t>
  </si>
  <si>
    <t>NDCC MC No. 12, s. 2008; NDRRM Plan Response pillar</t>
  </si>
  <si>
    <t>EO on clusters; cluster leads list</t>
  </si>
  <si>
    <t>F: CPs for review; cluster capability assessment needed. DR: 10-Yr Plan says response cluster offices are assigned; institutionalisation planned.</t>
  </si>
  <si>
    <t>Cluster capability not assessed.</t>
  </si>
  <si>
    <t>Assess cluster capability and adopt cluster EO aligned to the 12 national clusters (RDRRMC8 SOP).</t>
  </si>
  <si>
    <t>A8.6</t>
  </si>
  <si>
    <t>Pre-Disaster Risk Assessment (PDRA) conducted before forecast hazards, with anticipatory actions recorded</t>
  </si>
  <si>
    <t>NDRRMC PDRA protocol; RA 12287; RA 12287 IRR (2026) Rule II Sec. 5</t>
  </si>
  <si>
    <t>PDRA minutes/reports (last season)</t>
  </si>
  <si>
    <t>AA records in PDRA to be added.</t>
  </si>
  <si>
    <t>Maintain; record anticipatory actions in each PDRA.</t>
  </si>
  <si>
    <t>EOC Ch.2</t>
  </si>
  <si>
    <t>A8.7</t>
  </si>
  <si>
    <t>Management of the Dead and Missing (MDM) and Rapid Damage Assessment &amp; Needs Analysis (RDANA) teams designated and trained</t>
  </si>
  <si>
    <t>NDRRMC MDM &amp; RDANA guidelines</t>
  </si>
  <si>
    <t>Team EO; certificates; templates</t>
  </si>
  <si>
    <t>F: orientation only. DR: 10-Yr Plan says RDANA/PDNA teams not organised; MDM training planned.</t>
  </si>
  <si>
    <t>Teams not designated or trained.</t>
  </si>
  <si>
    <t>Designate MDM and RDANA teams by EO and train them.</t>
  </si>
  <si>
    <t>A8.8</t>
  </si>
  <si>
    <t>Anticipatory action protocols by hazard and lead time: office-order templates for prepositioning (relief, medical supplies, animal feed, water and power for evacuation centers), deployment of heavy equipment, transport and personnel, pre-emptive evacuation incl. livestock and pets, CCCM, and safeguarding of critical infrastructure; aligned with CPs, Oplan L!sto and evacuation plans</t>
  </si>
  <si>
    <t>RA 12287 IRR (2026) Rule IV Secs. 1, 3, 4, 6</t>
  </si>
  <si>
    <t>AA protocol; office-order template; CP annexes</t>
  </si>
  <si>
    <t>DR: PDRA practised (A8.6), CPs exist, but no hazard/lead-time AA protocol or office-order template found.</t>
  </si>
  <si>
    <t>New mandatory item (IRR Rule IV).</t>
  </si>
  <si>
    <t>Write AA protocols by hazard and lead time with office-order templates; walk them through in a PDRA tabletop to reach 3.</t>
  </si>
  <si>
    <t>EOC Ch.2 / MOO Ch.4</t>
  </si>
  <si>
    <t>A8.9</t>
  </si>
  <si>
    <t>Anticipatory social amelioration: families identified and prioritized using CBMS or the prevailing registry; data-sharing agreements compliant with RA 10173; local guidelines for anticipatory cash or vouchers issued with the CSWDO</t>
  </si>
  <si>
    <t>RA 12287 IRR (2026) Rule IV Sec. 7; RA 11315 (CBMS); RA 10173</t>
  </si>
  <si>
    <t>Local guidelines; data-sharing agreement; targeting method</t>
  </si>
  <si>
    <t>DR: CBMS needs updating; no DSA for beneficiary data (A5.5).</t>
  </si>
  <si>
    <t>No local AA social amelioration guidelines.</t>
  </si>
  <si>
    <t>Issue local guidelines with CSWDO for anticipatory cash/vouchers using CBMS, with a DSA.</t>
  </si>
  <si>
    <t>A9  REHABILITATION &amp; RECOVERY  -  PDNA/RDANA, recovery planning, build-back-better</t>
  </si>
  <si>
    <t>A9.1</t>
  </si>
  <si>
    <t>Post-Disaster Needs Assessment (PDNA) capacity: trained team and templates ready</t>
  </si>
  <si>
    <t>NDRRMC PDNA guidelines; OCD</t>
  </si>
  <si>
    <t>Certificates; PDNA templates</t>
  </si>
  <si>
    <t>F: PDNA team not in place. DR: 10-Yr Plan plans 5 PDNA positions (2025).</t>
  </si>
  <si>
    <t>No trained PDNA team.</t>
  </si>
  <si>
    <t>Form and train a PDNA team using OCD templates.</t>
  </si>
  <si>
    <t>MOO Ch.8 Recovery</t>
  </si>
  <si>
    <t>A9.2</t>
  </si>
  <si>
    <t>Rehabilitation &amp; recovery plan prepared after major events, with build-back-better and resettlement provisions</t>
  </si>
  <si>
    <t>RA 10121 Sec. 12(c)(11); NDRRMP Pillar 4</t>
  </si>
  <si>
    <t>Rehab plans; implementation reports</t>
  </si>
  <si>
    <t>F: scored 4; assumptions for projections to be stated.</t>
  </si>
  <si>
    <t>Validate rehab plans and implementation reports.</t>
  </si>
  <si>
    <t>Maintain; state assumptions in projections.</t>
  </si>
  <si>
    <t>MOO Ch.8</t>
  </si>
  <si>
    <t>A9.3</t>
  </si>
  <si>
    <t>Recovery data (damage, losses, livelihood, housing) tracked to completion</t>
  </si>
  <si>
    <t>Sendai Framework targets C-D</t>
  </si>
  <si>
    <t>Recovery monitoring matrix</t>
  </si>
  <si>
    <t>F: not scored. DR: PDNA (Paglaum) and RDANA reports exist but no recovery monitoring matrix.</t>
  </si>
  <si>
    <t>Provisional: recovery not tracked to completion.</t>
  </si>
  <si>
    <t>Add a recovery monitoring matrix to the event database (A5.4).</t>
  </si>
  <si>
    <t>A9.4</t>
  </si>
  <si>
    <t>Psychosocial and livelihood recovery services coordinated with CSWDO, CHO, PESO</t>
  </si>
  <si>
    <t>RA 11036; DSWD protocols</t>
  </si>
  <si>
    <t>Referral pathways; MOAs</t>
  </si>
  <si>
    <t>KII</t>
  </si>
  <si>
    <t>F: not scored. DR: 10-Yr Plan cites a cash-for-work programme.</t>
  </si>
  <si>
    <t>Provisional: referral pathways and MOAs not sighted.</t>
  </si>
  <si>
    <t>Write referral pathways with CSWDO, CHO and PESO.</t>
  </si>
  <si>
    <t>A9.5</t>
  </si>
  <si>
    <t>Pre-disaster recovery framework: roles, PDNA activation, temporary shelter, debris management and recovery fund sources agreed before an event</t>
  </si>
  <si>
    <t>UNDRR DRSC Essential 10; NDRRMP Pillar 4</t>
  </si>
  <si>
    <t>Recovery framework or CP recovery annex</t>
  </si>
  <si>
    <t>DR: recovery plan using PlanSmart Ready to Rebuild is a planned PPA in 10-Yr Plan.</t>
  </si>
  <si>
    <t>No pre-disaster recovery framework.</t>
  </si>
  <si>
    <t>Use the OCD/World Bank Ready to Rebuild workbook to prepare a pre-disaster recovery framework.</t>
  </si>
  <si>
    <t>A10  PARTNERSHIPS, M&amp;E &amp; ACCOUNTABILITY  -  MOAs, CSO/private sector, reporting, transparency, learning</t>
  </si>
  <si>
    <t>A10.1</t>
  </si>
  <si>
    <t>MOAs/ mutual aid agreements with neighbouring LGUs (Kananga, Albuera, Merida, Isabel etc.) and Province of Leyte</t>
  </si>
  <si>
    <t>RA 10121 Sec. 12(c)(15); RA 7160 Sec. 33</t>
  </si>
  <si>
    <t>Signed MOAs</t>
  </si>
  <si>
    <t>F: political dynamics; for reframing.</t>
  </si>
  <si>
    <t>No mutual aid MOAs.</t>
  </si>
  <si>
    <t>Reframe as technical mutual-aid MOAs with Kananga, Albuera, Merida, Isabel and the Province; join the Leyte DRRMCs Telecom and Response Network (planned PPA).</t>
  </si>
  <si>
    <t>MOO Ch.9 Partnerships / EOC Ch.6</t>
  </si>
  <si>
    <t>A10.2</t>
  </si>
  <si>
    <t>Partnerships with CSOs, private sector (incl. energy/geothermal operators), academe and faith-based groups documented, with pre- and post-event roles defined and at least annual coordination meetings</t>
  </si>
  <si>
    <t>RA 10121 Sec. 12(c)(15); UNDRR DRSC 6.1.2, 6.1.4</t>
  </si>
  <si>
    <t>MOAs; partner registry; meeting records</t>
  </si>
  <si>
    <t>F: execution instruments in place. DR: EDC partnership cited in 10-Yr Plan.</t>
  </si>
  <si>
    <t>Validate MOAs and annual coordination meetings.</t>
  </si>
  <si>
    <t>Maintain; add AA roles to partner MOAs.</t>
  </si>
  <si>
    <t>MOO Ch.9</t>
  </si>
  <si>
    <t>A10.3</t>
  </si>
  <si>
    <t>Regular reporting to OCD Region VIII/RDRRMC and DILG (SitReps, LDRRMF reports, Operation L!sto)</t>
  </si>
  <si>
    <t>RA 10121; DILG MCs</t>
  </si>
  <si>
    <t>Submission logs</t>
  </si>
  <si>
    <t>F: scored 4. DR: RDRRMC8 Res. 12-006 (DILG VIII memo, 26 Feb 2025) requires the harmonized reporting template.</t>
  </si>
  <si>
    <t>Confirm the harmonized template is used.</t>
  </si>
  <si>
    <t>Adopt RDRRMC8 Res. 12-006 locally by CDRRMC resolution.</t>
  </si>
  <si>
    <t>MOO Ch.7 / EOC Ch.5</t>
  </si>
  <si>
    <t>A10.4</t>
  </si>
  <si>
    <t>Monitoring &amp; evaluation framework for LDRRMP with indicators and annual review</t>
  </si>
  <si>
    <t>RA 10121 Sec. 12(c)(6)</t>
  </si>
  <si>
    <t>M&amp;E framework; annual review report</t>
  </si>
  <si>
    <t>F: scored 2. DR: 10-Yr Plan M&amp;E chapter could not be reviewed (extraction ends at p.80).</t>
  </si>
  <si>
    <t>No annual review report sighted.</t>
  </si>
  <si>
    <t>Set an LDRRMP M&amp;E framework with quarterly monitoring and an annual review.</t>
  </si>
  <si>
    <t>A10.5</t>
  </si>
  <si>
    <t>Full Disclosure Policy: LDRRMF and utilization posted publicly</t>
  </si>
  <si>
    <t>DILG FDP MCs; RA 10121 Sec. 21</t>
  </si>
  <si>
    <t>FDP portal/board postings</t>
  </si>
  <si>
    <t>Validate FDP postings.</t>
  </si>
  <si>
    <t>A10.6</t>
  </si>
  <si>
    <t>After-action reviews conducted after significant events and lessons integrated into plans</t>
  </si>
  <si>
    <t>NDRRMC; good practice</t>
  </si>
  <si>
    <t>AAR reports; plan revisions</t>
  </si>
  <si>
    <t>Validate AAR reports and resulting plan revisions.</t>
  </si>
  <si>
    <t>A10.7</t>
  </si>
  <si>
    <t>Participation in performance recognition/assessment systems (Gawad KALASAG Seal, SGLG Disaster Preparedness) and gaps acted upon</t>
  </si>
  <si>
    <t>NDRRMC GKS guidelines; RA 11292 (SGLG Act)</t>
  </si>
  <si>
    <t>GKS/SGLG results; action plans</t>
  </si>
  <si>
    <t>F: not scored. DR: 10-Yr Plan cites the Gawad KALASAG Seal of Excellence and SGLG disaster preparedness.</t>
  </si>
  <si>
    <t>Provisional: action plans on remaining gaps not sighted.</t>
  </si>
  <si>
    <t>Keep participating; track gaps from GKS/SGLG results.</t>
  </si>
  <si>
    <t>A10.8</t>
  </si>
  <si>
    <t>Post-declaration report within 45 days of lifting a State of Imminent Disaster (declaration status, AA fund utilization, estimated economic and social costs minimized); reporting route confirmed with OCD VIII</t>
  </si>
  <si>
    <t>RA 12287 IRR (2026) Rule VI Sec. 1</t>
  </si>
  <si>
    <t>Report template; submission log</t>
  </si>
  <si>
    <t>DR: no 45-day report template found.</t>
  </si>
  <si>
    <t>New mandatory item (IRR Rule VI Sec. 1).</t>
  </si>
  <si>
    <t>Prepare the 45-day post-declaration report template and confirm the reporting route with OCD VIII.</t>
  </si>
  <si>
    <t>A10.9</t>
  </si>
  <si>
    <t>Structured learning from other LGUs and networks (exchanges, OCD forums, MCR2030), with resulting changes documented</t>
  </si>
  <si>
    <t>UNDRR DRSC 6.6.1</t>
  </si>
  <si>
    <t>Exchange reports; documented changes</t>
  </si>
  <si>
    <t>DR: MCR2030 commitment and NRC Resilient LGU Program cited in 10-Yr Plan.</t>
  </si>
  <si>
    <t>Changes from learning not documented.</t>
  </si>
  <si>
    <t>Document changes adopted from exchanges.</t>
  </si>
  <si>
    <t>PART B - EMERGENCY OPERATIONS CENTER (EOC) ASSESSMENT</t>
  </si>
  <si>
    <t>B1  EOC LEGAL BASIS &amp; CONCEPT OF OPERATIONS  -  EO/ordinance, alert levels, activation/deactivation triggers</t>
  </si>
  <si>
    <t>B1.1</t>
  </si>
  <si>
    <t>EOC established by EO/ordinance with defined mandate, authority and relationship to CDRRMC and ICS</t>
  </si>
  <si>
    <t>NDRRMC MC No. 131, s. 2018 (EOC Guidelines); RA 10121</t>
  </si>
  <si>
    <t>EO/ordinance</t>
  </si>
  <si>
    <t>DR: activation SOP exists but is not SP-approved (field note, A2.5); no EO creating the EOC was sighted. 10-Yr Plan: OpCen/EOC operates 24/7 but needs a manual/SOP.</t>
  </si>
  <si>
    <t>Provisional. No EO defining the EOC mandate and its relation to the CDRRMC and ICS.</t>
  </si>
  <si>
    <t>Issue an EO establishing the City EOC per NDRRMC Memo 131 s.2018: OpCen becomes the EOC on activation; EOC links clusters (resource providers) and IMT (resource user); EOC not co-located with the ICP.</t>
  </si>
  <si>
    <t>EOC Ch.1 Legal Basis</t>
  </si>
  <si>
    <t>B1.2</t>
  </si>
  <si>
    <t>Alert/activation levels defined (e.g., White-normal, Blue-alert, Red-full activation) with hazard-based triggers and a defined EOC posture when a State of Imminent Disaster is declared</t>
  </si>
  <si>
    <t>NDRRMC EOC Guidelines; NDRRMC alert protocol; RA 12287 IRR (2026) Rule IV Sec. 1</t>
  </si>
  <si>
    <t>Activation matrix</t>
  </si>
  <si>
    <t>DR: activation SOP (field note) and RDRRMC8 Res. 12-006 define White/Blue/Red; Blue = at least 50% of resources ready.</t>
  </si>
  <si>
    <t>Provisional. Hazard-based triggers and EOC posture under a State of Imminent Disaster not defined.</t>
  </si>
  <si>
    <t>Write the activation matrix using NDRRMC Memo 131 s.2018 triggers (9.2.1) and standard alert codes, with the SID posture (IRR Rule IV Sec. 1).</t>
  </si>
  <si>
    <t>B1.3</t>
  </si>
  <si>
    <t>Activation, escalation, de-escalation and deactivation procedures with designated authority</t>
  </si>
  <si>
    <t>NDRRMC EOC Guidelines</t>
  </si>
  <si>
    <t>SOP; activation logs</t>
  </si>
  <si>
    <t>DR: activation SOP exists (field note, A2.5).</t>
  </si>
  <si>
    <t>Provisional. Escalation, de-escalation and deactivation triggers and authority not written.</t>
  </si>
  <si>
    <t>Add escalation/de-escalation/deactivation steps and authority (NDRRMC Memo 131 s.2018 deactivation triggers) to EOC Manual Ch.2.</t>
  </si>
  <si>
    <t>B1.4</t>
  </si>
  <si>
    <t>Concept of operations documents EOC functions: coordination, information management, resource management, policy support</t>
  </si>
  <si>
    <t>ConOps document</t>
  </si>
  <si>
    <t>DR: 10-Yr Plan says EOC operations need institutionalising through a manual/SOP.</t>
  </si>
  <si>
    <t>Provisional. No ConOps document.</t>
  </si>
  <si>
    <t>Write the ConOps in EOC Manual Ch.2 around the five NDRRMC Memo 131 s.2018 functions: Management, Operations, Planning, Logistics, Finance/Admin.</t>
  </si>
  <si>
    <t>B1.5</t>
  </si>
  <si>
    <t>EOC linkage to Provincial (Leyte) and Regional (OCD VIII) EOCs defined</t>
  </si>
  <si>
    <t>Reporting/coordination protocol</t>
  </si>
  <si>
    <t>DR: regular reporting to OCD VIII/RDRRMC (A10.3 = 4); RDRRMC8 Res. 12-006 sets LGU reporting at 6AM/6PM (White).</t>
  </si>
  <si>
    <t>Provisional. Coordination protocol with Leyte PDRRMO and OCD VIII EOC not written; ICC-Province relation to confirm.</t>
  </si>
  <si>
    <t>Write the vertical coordination protocol (reporting times by alert level, channels, RDRRMC 24-h reply for SID requests).</t>
  </si>
  <si>
    <t>B2  EOC FACILITY, SITE &amp; RESILIENCE  -  Location safety, structure, power, water, security, alternate EOC</t>
  </si>
  <si>
    <t>B2.1</t>
  </si>
  <si>
    <t>EOC site located outside high flood, landslide, tsunami and liquefaction zones (checked vs hazard maps)</t>
  </si>
  <si>
    <t>NDRRMC EOC Guidelines; hazard maps</t>
  </si>
  <si>
    <t>Site hazard overlay; inspection</t>
  </si>
  <si>
    <t>DR: hazard overlay of the EOC site not in the documents reviewed.</t>
  </si>
  <si>
    <t>Not scored. Evidence needed: site overlay on flood, landslide, tsunami and liquefaction maps (OBS).</t>
  </si>
  <si>
    <t>Overlay the EOC site on GeoRiskPH hazard maps during the site visit; use the OCD EOC Capability Assessment Checklist.</t>
  </si>
  <si>
    <t>EOC Ch.3 Facility</t>
  </si>
  <si>
    <t>B2.2</t>
  </si>
  <si>
    <t>Building structural integrity assessed (seismic - Philippine Fault proximity) and certified</t>
  </si>
  <si>
    <t>NBC (PD 1096); NSCP; DPWH</t>
  </si>
  <si>
    <t>Structural assessment; occupancy permit</t>
  </si>
  <si>
    <t>DR: no structural assessment sighted.</t>
  </si>
  <si>
    <t>Not scored. Evidence needed: structural assessment and occupancy permit (Building Official).</t>
  </si>
  <si>
    <t>Request a structural assessment of the EOC building (see C2.1).</t>
  </si>
  <si>
    <t>EOC Ch.3</t>
  </si>
  <si>
    <t>B2.3</t>
  </si>
  <si>
    <t>Backup power (generator + fuel for &gt;=72 hours, UPS) tested regularly</t>
  </si>
  <si>
    <t>NDRRMC EOC Guidelines; good practice</t>
  </si>
  <si>
    <t>Generator test logs; fuel stock</t>
  </si>
  <si>
    <t>OBS, TST</t>
  </si>
  <si>
    <t>DR: 10-Yr Plan OpCen Program budget includes fuel.</t>
  </si>
  <si>
    <t>Not scored. Evidence needed: generator test logs and 72-hour fuel stock (OBS/TST).</t>
  </si>
  <si>
    <t>Test generator and UPS monthly; keep 72-hour fuel.</t>
  </si>
  <si>
    <t>B2.4</t>
  </si>
  <si>
    <t>Functional layout: operations floor, briefing/decision room, comms room, rest area, sanitation, kitchen</t>
  </si>
  <si>
    <t>Floor plan; observation</t>
  </si>
  <si>
    <t>OBS</t>
  </si>
  <si>
    <t>DR: no floor plan sighted.</t>
  </si>
  <si>
    <t>Not scored. Evidence needed: floor plan and observation.</t>
  </si>
  <si>
    <t>Check layout against the EOC Capability Assessment Checklist.</t>
  </si>
  <si>
    <t>B2.5</t>
  </si>
  <si>
    <t>Water, food and sanitation supplies for EOC staff for &gt;=72 hours</t>
  </si>
  <si>
    <t>Good practice; PSCP</t>
  </si>
  <si>
    <t>Inventory</t>
  </si>
  <si>
    <t>DR: none.</t>
  </si>
  <si>
    <t>Not scored. Evidence needed: inventory of 72-hour staff supplies (OBS).</t>
  </si>
  <si>
    <t>Stock 72-hour water, food and sanitation supplies for EOC staff.</t>
  </si>
  <si>
    <t>B2.6</t>
  </si>
  <si>
    <t>Physical security and access control (ID, visitor log, CCTV)</t>
  </si>
  <si>
    <t>Good practice</t>
  </si>
  <si>
    <t>Access log; observation</t>
  </si>
  <si>
    <t>Not scored. Evidence needed: access log and observation.</t>
  </si>
  <si>
    <t>Set ID and visitor log rules.</t>
  </si>
  <si>
    <t>B2.7</t>
  </si>
  <si>
    <t>Designated and equipped alternate EOC with relocation procedure</t>
  </si>
  <si>
    <t>PSCP Guidebook; NDRRMC EOC Guidelines</t>
  </si>
  <si>
    <t>Alternate site plan; relocation drill</t>
  </si>
  <si>
    <t>DR: PSCP incomplete (A3.4); no alternate EOC designation sighted. NDRRMC Memo 131 s.2018 requires an alternate EOC based on the CP/PSCP.</t>
  </si>
  <si>
    <t>Not scored. Evidence needed: alternate site plan and relocation drill.</t>
  </si>
  <si>
    <t>Designate and equip an alternate EOC through the PSCP; write the relocation procedure and drill it.</t>
  </si>
  <si>
    <t>EOC Ch.3 / Ch.7</t>
  </si>
  <si>
    <t>B3  EOC COMMUNICATIONS &amp; ICT  -  Redundant comms, connectivity, systems, cybersecurity</t>
  </si>
  <si>
    <t>B3.1</t>
  </si>
  <si>
    <t>Redundant communications: VHF/UHF radio, HF, satellite phone, landline, mobile, internet (min. 3 independent channels)</t>
  </si>
  <si>
    <t>NDRRMC EOC Guidelines; NTC frequency assignment</t>
  </si>
  <si>
    <t>Comms inventory; radio net test</t>
  </si>
  <si>
    <t>F (A6.1/A6.3): group chat, VHF radio, PA and megaphones in use; warnings fail when telecom is down. DR: 10-Yr Plan plans the Leyte DRRMCs Telecom and Response Network.</t>
  </si>
  <si>
    <t>Provisional. Fewer than 3 independent channels proven; HF/satellite not confirmed.</t>
  </si>
  <si>
    <t>Inventory comms and test at least 3 independent channels (VHF, HF or satellite, landline/mobile); log a weekly radio check (RDRRMC8 practice: HF Tue/Fri, VHF Wed/Fri).</t>
  </si>
  <si>
    <t>EOC Ch.4 Communications</t>
  </si>
  <si>
    <t>B3.2</t>
  </si>
  <si>
    <t>Radio network covering all 85 barangays and responders, with call signs and net-control procedure</t>
  </si>
  <si>
    <t>NTC licensing; ETC cluster</t>
  </si>
  <si>
    <t>Coverage test; frequency licenses</t>
  </si>
  <si>
    <t>TST, DR</t>
  </si>
  <si>
    <t>F: barangays use VHF radio. Barangay count corrected to 85.</t>
  </si>
  <si>
    <t>Provisional. Coverage across 85 barangays, call signs and net control not tested.</t>
  </si>
  <si>
    <t>Run a radio coverage test for all 85 barangays; write net-control procedure and call signs; confirm NTC licences.</t>
  </si>
  <si>
    <t>B3.3</t>
  </si>
  <si>
    <t>Backup internet (secondary ISP/satellite) and continuity of digital systems</t>
  </si>
  <si>
    <t>Good practice; DICT</t>
  </si>
  <si>
    <t>ISP contracts; failover test</t>
  </si>
  <si>
    <t>Not scored. Evidence needed: ISP contracts and failover test.</t>
  </si>
  <si>
    <t>Arrange a second ISP or satellite link and test failover.</t>
  </si>
  <si>
    <t>B3.4</t>
  </si>
  <si>
    <t>Communications plan/ directory (agencies, barangays, clusters) updated within last 6 months</t>
  </si>
  <si>
    <t>Directory; version date</t>
  </si>
  <si>
    <t>Not scored. Evidence needed: directory with version date.</t>
  </si>
  <si>
    <t>Keep a directory of agencies, barangays and clusters; update every 6 months.</t>
  </si>
  <si>
    <t>B3.5</t>
  </si>
  <si>
    <t>Cybersecurity and information security measures for EOC systems</t>
  </si>
  <si>
    <t>RA 10173; DICT National Cybersecurity Plan</t>
  </si>
  <si>
    <t>Password/access policy; backups</t>
  </si>
  <si>
    <t>KII, OBS</t>
  </si>
  <si>
    <t>DR: cloud IMS planned (10-Yr Plan).</t>
  </si>
  <si>
    <t>Not scored. Evidence needed: access policy and backups (KII/OBS).</t>
  </si>
  <si>
    <t>Adopt a password/access and backup policy for EOC systems (RA 10173).</t>
  </si>
  <si>
    <t>B3.6</t>
  </si>
  <si>
    <t>Display and monitoring equipment (video wall/monitors, weather feeds, CCTV feeds)</t>
  </si>
  <si>
    <t>Observation</t>
  </si>
  <si>
    <t>DR: OpCen integrated EWS/CCTV is a planned PPA.</t>
  </si>
  <si>
    <t>Not scored. Evidence needed: observation.</t>
  </si>
  <si>
    <t>Confirm displays for weather and CCTV feeds.</t>
  </si>
  <si>
    <t>B4  EOC ORGANIZATION &amp; STAFFING  -  EOC structure, duty roster, cluster/agency desks, fatigue management</t>
  </si>
  <si>
    <t>B4.1</t>
  </si>
  <si>
    <t>EOC organizational structure defined (EOC Manager, Operations, Planning/Information, Logistics, Admin/Finance, liaison desks)</t>
  </si>
  <si>
    <t>NDRRMC EOC Guidelines; ICS</t>
  </si>
  <si>
    <t>Organogram; EO</t>
  </si>
  <si>
    <t>F (FGDs): Planning, Operations and Admin sections exist; chain of command and team dynamics unclear.</t>
  </si>
  <si>
    <t>Provisional. EOC structure with the five NDRRMC Memo 131 s.2018 functions not defined.</t>
  </si>
  <si>
    <t>Define the EOC organogram (EOC Manager, Operations, Planning, Logistics, Finance/Admin, liaison desks) in EOC Manual Ch.5.</t>
  </si>
  <si>
    <t>EOC Ch.5 Organization</t>
  </si>
  <si>
    <t>B4.2</t>
  </si>
  <si>
    <t>Pre-designated EOC staff with alternates (at least 2 deep per key position)</t>
  </si>
  <si>
    <t>Roster with alternates</t>
  </si>
  <si>
    <t>DR: plantilla gaps (A2.3).</t>
  </si>
  <si>
    <t>Not scored. Evidence needed: roster with alternates 2 deep.</t>
  </si>
  <si>
    <t>Name alternates for each key EOC position.</t>
  </si>
  <si>
    <t>B4.3</t>
  </si>
  <si>
    <t>Duty roster for sustained 24/7 operations with shift handover protocol</t>
  </si>
  <si>
    <t>Roster; handover forms</t>
  </si>
  <si>
    <t>DR: 10-Yr Plan says the OpCen is staffed 24/7.</t>
  </si>
  <si>
    <t>Provisional. Roster and handover protocol not sighted.</t>
  </si>
  <si>
    <t>Write the shift handover form and keep rosters.</t>
  </si>
  <si>
    <t>B4.4</t>
  </si>
  <si>
    <t>Agency/cluster liaison desks identified (CSWDO, CHO, CEO, PNP, BFP, AFP, DepEd, utilities, Red Cross)</t>
  </si>
  <si>
    <t>NDCC MC 12 s. 2008; EOC Guidelines</t>
  </si>
  <si>
    <t>Desk assignments</t>
  </si>
  <si>
    <t>DR: 10-Yr Plan says response cluster offices are assigned.</t>
  </si>
  <si>
    <t>Provisional. Desk assignments not written.</t>
  </si>
  <si>
    <t>List liaison desks (CSWDO, CHO, CEO, PNP, BFP, AFP, DepEd, utilities, Red Cross) with focal persons.</t>
  </si>
  <si>
    <t>B4.5</t>
  </si>
  <si>
    <t>Position checklists/job action sheets for each EOC role</t>
  </si>
  <si>
    <t>Job action sheets</t>
  </si>
  <si>
    <t>F (Admin FGD): job descriptions unclear.</t>
  </si>
  <si>
    <t>Provisional. No job action sheets.</t>
  </si>
  <si>
    <t>Write job action sheets for every EOC role.</t>
  </si>
  <si>
    <t>B4.6</t>
  </si>
  <si>
    <t>Responder welfare in EOC: rest cycles, meals, MHPSS, family support</t>
  </si>
  <si>
    <t>RA 11036; good practice</t>
  </si>
  <si>
    <t>Policy; observation</t>
  </si>
  <si>
    <t>F (A2.7): welfare programme scored 1. NDRRMC Memo 131 s.2018 requires EOC personnel welfare.</t>
  </si>
  <si>
    <t>Provisional.</t>
  </si>
  <si>
    <t>Add rest cycles, meals and MHPSS to EOC Manual Ch.5.</t>
  </si>
  <si>
    <t>B5  INFORMATION MANAGEMENT &amp; REPORTING  -  SitReps, common operating picture, GIS, reporting timelines</t>
  </si>
  <si>
    <t>B5.1</t>
  </si>
  <si>
    <t>Standard SitRep/ Report templates aligned with NDRRMC/OCD formats and fixed reporting schedule</t>
  </si>
  <si>
    <t>NDRRMC reporting protocol</t>
  </si>
  <si>
    <t>Templates; sample SitReps</t>
  </si>
  <si>
    <t>DR: RDRRMC8 Res. 12-006 harmonized template (pre-, during, post- and terminal reports) directed for LDRRMC adoption by DILG VIII memo of 26 Feb 2025; regular reporting scored 4 (A10.3).</t>
  </si>
  <si>
    <t>Provisional. Local adoption not shown.</t>
  </si>
  <si>
    <t>Adopt the harmonized template and reporting schedule by CDRRMC resolution and put it in EOC Manual Ch.6.</t>
  </si>
  <si>
    <t>EOC Ch.6 Information Mgmt</t>
  </si>
  <si>
    <t>B5.2</t>
  </si>
  <si>
    <t>Barangay-to-city reporting flow (BDRRMC -&gt; EOC) with defined timelines and formats</t>
  </si>
  <si>
    <t>RA 10121; DILG</t>
  </si>
  <si>
    <t>Flowchart; sample reports</t>
  </si>
  <si>
    <t>DR: city-barangay coordination protocol and standardised reporting templates are planned PPAs (10-Yr Plan).</t>
  </si>
  <si>
    <t>Provisional. No barangay-to-EOC flow with times.</t>
  </si>
  <si>
    <t>Write the BDRRMC -&gt; EOC reporting flow with times (before the city's 6AM/6PM submission) and formats.</t>
  </si>
  <si>
    <t>EOC Ch.6</t>
  </si>
  <si>
    <t>B5.3</t>
  </si>
  <si>
    <t>Common Operating Picture maintained (dashboard/ GIS map of incidents, evacuees, resources)</t>
  </si>
  <si>
    <t>Dashboard; observation</t>
  </si>
  <si>
    <t>DR: cloud IMS planned.</t>
  </si>
  <si>
    <t>Provisional. No COP dashboard sighted.</t>
  </si>
  <si>
    <t>Set up a COP map of incidents, evacuees and resources (the DRRM platform can serve).</t>
  </si>
  <si>
    <t>B5.4</t>
  </si>
  <si>
    <t>Evacuation center and affected-family tracking (DAFAC/ registration) feeds EOC data</t>
  </si>
  <si>
    <t>DSWD DAFAC; RA 10821</t>
  </si>
  <si>
    <t>DAFAC records; EC reports</t>
  </si>
  <si>
    <t>DR: digitised IDP registration planned (10-Yr Plan).</t>
  </si>
  <si>
    <t>Not scored. Evidence needed: DAFAC records and EC reports.</t>
  </si>
  <si>
    <t>Link EC registration (DAFAC) to EOC reports; no names in EOC dashboards.</t>
  </si>
  <si>
    <t>B5.5</t>
  </si>
  <si>
    <t>EOC logbook/ significant events log and document retention</t>
  </si>
  <si>
    <t>Good practice; NAP rules</t>
  </si>
  <si>
    <t>Logbook; records schedule</t>
  </si>
  <si>
    <t>Not scored. Evidence needed: logbook and records schedule (OBS).</t>
  </si>
  <si>
    <t>Keep an append-only logbook and a retention schedule.</t>
  </si>
  <si>
    <t>B5.6</t>
  </si>
  <si>
    <t>Weather/hazard monitoring routine (PAGASA, PHIVOLCS feeds) with bulletins logged and disseminated</t>
  </si>
  <si>
    <t>RA 10121; PAGASA protocols</t>
  </si>
  <si>
    <t>Monitoring log</t>
  </si>
  <si>
    <t>DR: PDRA conducted before forecast hazards (A8.6 = 3) implies bulletin monitoring.</t>
  </si>
  <si>
    <t>Provisional. Monitoring log not sighted.</t>
  </si>
  <si>
    <t>Keep a bulletin log with time received and disseminated.</t>
  </si>
  <si>
    <t>B5.7</t>
  </si>
  <si>
    <t>Inbound citizen reporting (hotline, SMS, social media) feeds the common operating picture after a verification step</t>
  </si>
  <si>
    <t>UNDRR DRSC 7.4.2</t>
  </si>
  <si>
    <t>Intake log; verification SOP; dashboard</t>
  </si>
  <si>
    <t>DR: no E911 (A8.4 = 0).</t>
  </si>
  <si>
    <t>Add an intake and verification step for hotline/SMS/social media reports.</t>
  </si>
  <si>
    <t>B6  COORDINATION &amp; RESOURCE MANAGEMENT  -  ICS-EOC interface, clusters, resource tracking, mutual aid</t>
  </si>
  <si>
    <t>B6.1</t>
  </si>
  <si>
    <t>ICS-EOC interface defined: EOC supports Incident Commander(s); no duplication of command</t>
  </si>
  <si>
    <t>NDRRMC MC No. 4 s. 2012; EOC Guidelines</t>
  </si>
  <si>
    <t>SOP; organigram showing relationships</t>
  </si>
  <si>
    <t>F (Operations FGD, formerly under A1.2): chain of command unclear; section SOPs not harmonised. No ICS EO (A8.1 = 1).</t>
  </si>
  <si>
    <t>Provisional. ICS-EOC interface not defined.</t>
  </si>
  <si>
    <t>Define the interface per NDRRMC Memo 131 s.2018: EOC supports the IC; clusters provide resources; no command from the EOC.</t>
  </si>
  <si>
    <t>EOC Ch.7 Coordination</t>
  </si>
  <si>
    <t>B6.2</t>
  </si>
  <si>
    <t>Resource management system: request, tracking, mobilization and demobilization of resources</t>
  </si>
  <si>
    <t>ICS resource management; EOC Guidelines</t>
  </si>
  <si>
    <t>Resource request forms; tracking sheet</t>
  </si>
  <si>
    <t>DR: digital inventory planned (10-Yr Plan).</t>
  </si>
  <si>
    <t>Provisional. No request/tracking forms sighted.</t>
  </si>
  <si>
    <t>Adopt ICS resource request and tracking forms.</t>
  </si>
  <si>
    <t>EOC Ch.7</t>
  </si>
  <si>
    <t>B6.3</t>
  </si>
  <si>
    <t>Resource inventory (city, barangays, partners, private sector) accessible from EOC</t>
  </si>
  <si>
    <t>RA 10121; ICS</t>
  </si>
  <si>
    <t>Resource database</t>
  </si>
  <si>
    <t>F (A8.3): equipment inventoried.</t>
  </si>
  <si>
    <t>Provisional. Barangay, partner and private-sector resources not included.</t>
  </si>
  <si>
    <t>Extend the inventory to barangays, partners and suppliers.</t>
  </si>
  <si>
    <t>B6.4</t>
  </si>
  <si>
    <t>Procedures for receiving and managing external assistance/ donations and volunteers</t>
  </si>
  <si>
    <t>NDRRMC guidelines on international/ external assistance</t>
  </si>
  <si>
    <t>SOP</t>
  </si>
  <si>
    <t>DR: 10-Yr Plan says a donations/relief system is established.</t>
  </si>
  <si>
    <t>Provisional. SOP not sighted.</t>
  </si>
  <si>
    <t>Write the donations and volunteer SOP.</t>
  </si>
  <si>
    <t>B6.5</t>
  </si>
  <si>
    <t>Decision-support briefings to CDRRMC/Mayor at fixed intervals during activation</t>
  </si>
  <si>
    <t>EOC Guidelines</t>
  </si>
  <si>
    <t>Briefing records</t>
  </si>
  <si>
    <t>Not scored. Evidence needed: briefing records.</t>
  </si>
  <si>
    <t>Set fixed briefing intervals to the Mayor/CDRRMC by alert level.</t>
  </si>
  <si>
    <t>B6.6</t>
  </si>
  <si>
    <t>Pre-arranged resource commitments from partners and suppliers set out by item, quantity, activation trigger and contact in signed agreements (incl. supplier agreements tapped for anticipatory action)</t>
  </si>
  <si>
    <t>UNDRR DRSC 1.2.4; RA 12287 IRR (2026) Rule IV Sec. 6(a)(ii)</t>
  </si>
  <si>
    <t>Signed agreements with schedules</t>
  </si>
  <si>
    <t>DR: telco restoration and construction-firm debris MOAs are planned PPAs (10-Yr Plan); supplier list exists (A4.5).</t>
  </si>
  <si>
    <t>Provisional. No signed schedules of committed resources.</t>
  </si>
  <si>
    <t>Sign agreements listing item, quantity, trigger and contact, usable for AA (IRR Rule IV Sec. 6).</t>
  </si>
  <si>
    <t>B7  EOC SOPS, TRAINING, EXERCISES &amp; CONTINUITY  -  SOPs, exercises, after-action review, sustainability</t>
  </si>
  <si>
    <t>B7.1</t>
  </si>
  <si>
    <t>Written EOC SOPs/ Manual approved and disseminated to all EOC staff</t>
  </si>
  <si>
    <t>Approved manual; distribution log</t>
  </si>
  <si>
    <t>DR: activation SOP (draft, not approved); EOC Manual being prepared under this MOP engagement.</t>
  </si>
  <si>
    <t>Complete, approve and distribute the EOC Manual.</t>
  </si>
  <si>
    <t>EOC Manual (whole)</t>
  </si>
  <si>
    <t>B7.2</t>
  </si>
  <si>
    <t>EOC staff trained (EOC operations course, ICS, IM) with records</t>
  </si>
  <si>
    <t>OCD/DRRM training; NDRRMC EOC Guidelines</t>
  </si>
  <si>
    <t>Training records</t>
  </si>
  <si>
    <t>DR: 10-Yr Plan says trained personnel staff the EOC but need ICS all levels, EOC Management and MDM training.</t>
  </si>
  <si>
    <t>Complete EOC Management and ICS courses for all EOC staff.</t>
  </si>
  <si>
    <t>EOC Ch.8 Training &amp; Exercises</t>
  </si>
  <si>
    <t>B7.3</t>
  </si>
  <si>
    <t>Annual exercise program (tabletop, functional, full-scale) testing EOC activation</t>
  </si>
  <si>
    <t>NDRRMC; HSEEP-style good practice</t>
  </si>
  <si>
    <t>Exercise reports</t>
  </si>
  <si>
    <t>F: NSED drills (A7.2 = 4); CPs tested for earthquake and flooding (A3.3).</t>
  </si>
  <si>
    <t>Provisional. EOC activation not tested on its own.</t>
  </si>
  <si>
    <t>Add an annual EOC functional exercise.</t>
  </si>
  <si>
    <t>EOC Ch.8</t>
  </si>
  <si>
    <t>B7.4</t>
  </si>
  <si>
    <t>After-action review after each activation with improvement plan tracked</t>
  </si>
  <si>
    <t>AAR; improvement plan</t>
  </si>
  <si>
    <t>F: AARs conducted (A10.6 = 4).</t>
  </si>
  <si>
    <t>Provisional. EOC improvement plan tracking not sighted.</t>
  </si>
  <si>
    <t>Track AAR actions in an improvement plan.</t>
  </si>
  <si>
    <t>B7.5</t>
  </si>
  <si>
    <t>Dedicated EOC budget for operations, maintenance and upgrades in LDRRMFIP</t>
  </si>
  <si>
    <t>LDRRMFIP line items</t>
  </si>
  <si>
    <t>DR: 10-Yr Plan (SP-adopted) has an 'Ormoc City DRRM Operations Center Program' line (maintenance, fuel, meals, telco, capacity building); OpCen operates 24/7.</t>
  </si>
  <si>
    <t>Validate utilisation reports.</t>
  </si>
  <si>
    <t>Keep the line in each LDRRMFIP.</t>
  </si>
  <si>
    <t>EOC Ch.9 Sustainability</t>
  </si>
  <si>
    <t>B7.6</t>
  </si>
  <si>
    <t>Equipment maintenance schedule and annual EOC readiness self-check</t>
  </si>
  <si>
    <t>PM schedule; checklist</t>
  </si>
  <si>
    <t>F (A8.3): PMS needs programming.</t>
  </si>
  <si>
    <t>Set a PM schedule and an annual EOC readiness self-check (EOC Capability Assessment Checklist).</t>
  </si>
  <si>
    <t>EOC Ch.9</t>
  </si>
  <si>
    <t>PART C - INTERFACE INDICATORS (reported separately; not part of the Institutional Maturity Index)</t>
  </si>
  <si>
    <t>Score in yellow cells only. These items are owned by other offices or partners; they measure whether the CDRRMO has, uses or coordinates them. Same 0-4 rubric and evidence rule. Gap priority uses the Good Practice factor (x1.0). Sources: UNDRR Disaster Resilience Scorecard for Cities, Detailed Level (DRSC) and RA 12287 IRR (2026).</t>
  </si>
  <si>
    <t>Lead Office / Owner</t>
  </si>
  <si>
    <t>Status</t>
  </si>
  <si>
    <t>C1  RISK-INFORMED PLANNING &amp; DEVELOPMENT  -  use of risk data in city plans, budgets and permits</t>
  </si>
  <si>
    <t>C1.1</t>
  </si>
  <si>
    <t>C1</t>
  </si>
  <si>
    <t>Most-probable and most-severe risk scenarios inform CDP/CLUP priorities and the location of major investments</t>
  </si>
  <si>
    <t>UNDRR DRSC 1.1.1; RA 10121 Sec. 2; DHSUD CLUP guidelines</t>
  </si>
  <si>
    <t>CPDO</t>
  </si>
  <si>
    <t>CDP/CLUP; CDRA references</t>
  </si>
  <si>
    <t>DR: CLUP and ZO approved; CDRA exists but needs updating (10-Yr Plan).</t>
  </si>
  <si>
    <t>Provisional. CDRA and CLUP files could not be opened (&gt;10 MB); CPDO KII pending.</t>
  </si>
  <si>
    <t>Check during the CLUP update that most-probable and most-severe scenarios set CDP/CLUP priorities.</t>
  </si>
  <si>
    <t>C1.2</t>
  </si>
  <si>
    <t>DRR/CCA screening step in project and budget approval (LDC, LFC)</t>
  </si>
  <si>
    <t>UNDRR DRSC 1.3.1; climate change expenditure tagging guidelines</t>
  </si>
  <si>
    <t>CPDO; City Budget Office</t>
  </si>
  <si>
    <t>Screening form; LDC/LFC minutes</t>
  </si>
  <si>
    <t>Not scored. Evidence needed: screening form and LDC/LFC minutes (CPDO, Budget KII).</t>
  </si>
  <si>
    <t>Add a DRR/CCA screening step to project approval.</t>
  </si>
  <si>
    <t>MOO Ch.3 / Ch.5</t>
  </si>
  <si>
    <t>C1.3</t>
  </si>
  <si>
    <t>CDRA estimates losses beyond physical assets: livelihoods and jobs, housing and displacement, agriculture, ecosystems, cultural heritage</t>
  </si>
  <si>
    <t>UNDRR DRSC 2.2.2; DHSUD/CCC CDRA guidelines</t>
  </si>
  <si>
    <t>CDRA report</t>
  </si>
  <si>
    <t>DR: CDRA file could not be opened.</t>
  </si>
  <si>
    <t>Not scored. Evidence needed: CDRA report.</t>
  </si>
  <si>
    <t>Include livelihood, housing, agriculture and ecosystem losses in the CDRA update.</t>
  </si>
  <si>
    <t>C1.4</t>
  </si>
  <si>
    <t>Risk-sensitive development guidelines applied in zoning and building permits, based on hazard maps</t>
  </si>
  <si>
    <t>UNDRR DRSC 2.4.1; CLUP/ZO</t>
  </si>
  <si>
    <t>CPDO; Zoning Administrator</t>
  </si>
  <si>
    <t>Guidelines; sample permit reviews</t>
  </si>
  <si>
    <t>F (A1.5): hazard-based zoning in force; ZO approved.</t>
  </si>
  <si>
    <t>Provisional. Permit reviews not sighted.</t>
  </si>
  <si>
    <t>Apply hazard-based guidelines in building permits.</t>
  </si>
  <si>
    <t>C2  CRITICAL FACILITIES &amp; LIFELINES  -  structural safety, utilities, transport</t>
  </si>
  <si>
    <t>C2.1</t>
  </si>
  <si>
    <t>C2</t>
  </si>
  <si>
    <t>Structural safety of the EOC, evacuation centers and critical public facilities assessed by the Building Official, with a rapid safety inspection procedure before forecast impact</t>
  </si>
  <si>
    <t>UNDRR DRSC 4.3.1, 4.4.2; PD 1096; RA 12076; RA 12287 IRR (2026) Rule IV Sec. 4(c)(i)</t>
  </si>
  <si>
    <t>City Engineer / Building Official</t>
  </si>
  <si>
    <t>Assessment reports; inspection checklist</t>
  </si>
  <si>
    <t>Not scored. Evidence needed: Building Official assessments.</t>
  </si>
  <si>
    <t>Assess EOC, ECs and critical facilities; write a rapid pre-impact inspection checklist.</t>
  </si>
  <si>
    <t>EOC Ch.3 / MOO Ch.4</t>
  </si>
  <si>
    <t>C2.2</t>
  </si>
  <si>
    <t>Pre-crisis and priority-restoration arrangements with power, water and telecom providers (load-shedding and water-rationing plans, cell-on-wheels, restoration priority list)</t>
  </si>
  <si>
    <t>UNDRR DRSC Essential 8; RA 12287 IRR (2026) Rule IV Sec. 4(c)(ii)-(iv)</t>
  </si>
  <si>
    <t>CDRRMO with utility providers</t>
  </si>
  <si>
    <t>Agreements; restoration priority list</t>
  </si>
  <si>
    <t>DR: telco restoration MOA planned (10-Yr Plan).</t>
  </si>
  <si>
    <t>Sign restoration-priority arrangements with power, water and telecom providers.</t>
  </si>
  <si>
    <t>MOO Ch.9 / EOC Ch.7</t>
  </si>
  <si>
    <t>C2.3</t>
  </si>
  <si>
    <t>Transport anticipatory actions: pre-inspection of bridges, alternate routes and traffic teams, coordination with seaport and terminal operators</t>
  </si>
  <si>
    <t>UNDRR DRSC Essential 8; RA 12287 IRR (2026) Rule IV Sec. 10(b)</t>
  </si>
  <si>
    <t>City Engineer; traffic office; DPWH; port operator</t>
  </si>
  <si>
    <t>Route plan; inspection list; coordination records</t>
  </si>
  <si>
    <t>Not scored. Evidence needed: route plan and bridge inspection list.</t>
  </si>
  <si>
    <t>Write transport AA steps with DPWH and the port.</t>
  </si>
  <si>
    <t>C3  ECOSYSTEMS &amp; WATERSHED  -  protective ecosystems and environmental anticipatory action</t>
  </si>
  <si>
    <t>C3.1</t>
  </si>
  <si>
    <t>C3</t>
  </si>
  <si>
    <t>Critical protective ecosystems (upper Anilao-Malbasag watershed, upland forest cover, coastal mangroves) identified and monitored as risk-reduction assets</t>
  </si>
  <si>
    <t>UNDRR DRSC 5.1.1; RA 9729 as amended</t>
  </si>
  <si>
    <t>CENRO; DENR CENRO</t>
  </si>
  <si>
    <t>Ecosystem inventory; monitoring reports</t>
  </si>
  <si>
    <t>DR: watershed characterization study (Malbasag, Pagsanga-an, Haubon) and mangrove restoration are planned PPAs (10-Yr Plan).</t>
  </si>
  <si>
    <t>Complete the watershed study and monitor protective ecosystems.</t>
  </si>
  <si>
    <t>C3.2</t>
  </si>
  <si>
    <t>Arrangements with neighbouring LGUs and DENR where watersheds or protective ecosystems extend beyond city limits</t>
  </si>
  <si>
    <t>UNDRR DRSC 5.3.1, 5.3.2; RA 7160 Sec. 33</t>
  </si>
  <si>
    <t>CENRO</t>
  </si>
  <si>
    <t>MOAs; watershed council records</t>
  </si>
  <si>
    <t>DR: watershed PPAs list ENRO, DENR and EDC as partners.</t>
  </si>
  <si>
    <t>Formalise watershed arrangements with DENR, EDC and neighbouring LGUs.</t>
  </si>
  <si>
    <t>C3.3</t>
  </si>
  <si>
    <t>Environmental anticipatory actions: declogging of waterways and drainage, slope stabilization, safe debris and carcass disposal</t>
  </si>
  <si>
    <t>RA 12287 IRR (2026) Rule IV Sec. 10(d)</t>
  </si>
  <si>
    <t>CENRO; City Engineer; GSO</t>
  </si>
  <si>
    <t>Protocol; work orders from last season</t>
  </si>
  <si>
    <t>DR: construction-firm MOA for debris clearing planned.</t>
  </si>
  <si>
    <t>Write the declogging and debris protocol.</t>
  </si>
  <si>
    <t>C4  SECTORAL ANTICIPATORY ACTION  -  health, education, agri-fisheries, prices</t>
  </si>
  <si>
    <t>C4.1</t>
  </si>
  <si>
    <t>C4</t>
  </si>
  <si>
    <t>Health anticipatory action: Health Cluster activation, facility service-continuity and surge plans, prepositioned commodities, health emergency response teams on standby</t>
  </si>
  <si>
    <t>RA 12287 IRR (2026) Rule IV Sec. 9</t>
  </si>
  <si>
    <t>City Health Office; hospitals</t>
  </si>
  <si>
    <t>Health AA plan; surge plans</t>
  </si>
  <si>
    <t>DR: HEMS/ESU ordinance and DRRM-H plan planned (10-Yr Plan).</t>
  </si>
  <si>
    <t>Prepare the health AA plan with CHO and hospitals.</t>
  </si>
  <si>
    <t>C4.2</t>
  </si>
  <si>
    <t>Education anticipatory action: schools' AA plans and learning-continuity modalities</t>
  </si>
  <si>
    <t>RA 12287 IRR (2026) Rule IV Sec. 10(a); RA 10821</t>
  </si>
  <si>
    <t>DepEd Schools Division of Ormoc City</t>
  </si>
  <si>
    <t>AA plans; learning continuity plan</t>
  </si>
  <si>
    <t>Not scored. Evidence needed: DepEd AA plans (KII).</t>
  </si>
  <si>
    <t>Ask DepEd SDO for school AA plans.</t>
  </si>
  <si>
    <t>C4.3</t>
  </si>
  <si>
    <t>Agri-fisheries anticipatory action using RSBSA, FishR and livestock registries; early action guidelines on storage, inputs and animal health</t>
  </si>
  <si>
    <t>RA 12287 IRR (2026) Rule IV Sec. 8</t>
  </si>
  <si>
    <t>City Agriculture Office; City Veterinary Office</t>
  </si>
  <si>
    <t>Guidelines; registry extracts</t>
  </si>
  <si>
    <t>Not scored. Evidence needed: CAO/CVO guidelines (KII).</t>
  </si>
  <si>
    <t>Draft agri-fisheries early action guidelines.</t>
  </si>
  <si>
    <t>C4.4</t>
  </si>
  <si>
    <t>Pre-impact price monitoring and anti-profiteering of basic goods</t>
  </si>
  <si>
    <t>RA 12287 IRR (2026) Rule IV Sec. 10(c); RA 7581 (Price Act)</t>
  </si>
  <si>
    <t>DTI Leyte; city market office</t>
  </si>
  <si>
    <t>Monitoring reports</t>
  </si>
  <si>
    <t>Not scored. Evidence needed: DTI monitoring reports.</t>
  </si>
  <si>
    <t>Agree pre-impact price monitoring with DTI.</t>
  </si>
  <si>
    <t>C5  ECONOMIC CONTINUITY  -  business continuity outreach</t>
  </si>
  <si>
    <t>C5.1</t>
  </si>
  <si>
    <t>C5</t>
  </si>
  <si>
    <t>Business continuity outreach to local businesses based on shared hazard scenarios (outreach only; no mandate implied)</t>
  </si>
  <si>
    <t>UNDRR DRSC 7.3.2</t>
  </si>
  <si>
    <t>CDRRMO with Chamber of Commerce</t>
  </si>
  <si>
    <t>Outreach records; materials</t>
  </si>
  <si>
    <t>Not scored. Evidence needed: outreach records.</t>
  </si>
  <si>
    <t>Run business continuity outreach with the Chamber.</t>
  </si>
  <si>
    <t>IMPROVEMENT ACTION PLAN (feeds the Manual of Operations drafting)</t>
  </si>
  <si>
    <t>Grey columns pull from the assessment sheets. Filter 'Priority' = High first. Fill yellow columns during the validation workshop. Part C rows (Type = IF) pre-fill the lead office; confirm it in the workshop.</t>
  </si>
  <si>
    <t>Type</t>
  </si>
  <si>
    <t>Compliance</t>
  </si>
  <si>
    <t>Recommended Action (from assessment)</t>
  </si>
  <si>
    <t>Responsible Office / Person</t>
  </si>
  <si>
    <t>Target Date</t>
  </si>
  <si>
    <t>Resources / Budget Source</t>
  </si>
  <si>
    <t>Manual Chapter</t>
  </si>
  <si>
    <t>CDRRMO Head; City Legal Office; SP Committee on DRRM</t>
  </si>
  <si>
    <t>Q1 2027 (SP filing)</t>
  </si>
  <si>
    <t>No cost (legislative); staffing cost under A2.3</t>
  </si>
  <si>
    <t>Not started</t>
  </si>
  <si>
    <t>Mayor's Office; CDRRMO (secretariat)</t>
  </si>
  <si>
    <t>Dec 2026</t>
  </si>
  <si>
    <t>No cost</t>
  </si>
  <si>
    <t>CDRRMO (secretariat)</t>
  </si>
  <si>
    <t>Quarterly</t>
  </si>
  <si>
    <t>LDRRMF 70% (meetings)</t>
  </si>
  <si>
    <t>Ongoing</t>
  </si>
  <si>
    <t>CDRRMO Admin &amp; Training</t>
  </si>
  <si>
    <t>Jan 2027 (with MOP)</t>
  </si>
  <si>
    <t>CDRRMO; City Legal Office; SP</t>
  </si>
  <si>
    <t>Q2 2027</t>
  </si>
  <si>
    <t>CDRRMO Research &amp; Planning; City Legal Office</t>
  </si>
  <si>
    <t>Budget call 2027</t>
  </si>
  <si>
    <t>CDRRMO Head; City Legal Office; Mayor's Office</t>
  </si>
  <si>
    <t>CDRRMO Head; HRMO</t>
  </si>
  <si>
    <t>HRMO</t>
  </si>
  <si>
    <t>—</t>
  </si>
  <si>
    <t>CDRRMO Head; HRMO; City Budget Office</t>
  </si>
  <si>
    <t>FY2028 budget</t>
  </si>
  <si>
    <t>General Fund (PS)</t>
  </si>
  <si>
    <t>CDRRMO Admin &amp; Training; HRMO</t>
  </si>
  <si>
    <t>CDRRMO Operations &amp; Warning</t>
  </si>
  <si>
    <t>MOP engagement</t>
  </si>
  <si>
    <t>Q1 2027</t>
  </si>
  <si>
    <t>LDRRMF 70% (capacity building)</t>
  </si>
  <si>
    <t>CDRRMO; HRMO; CHO</t>
  </si>
  <si>
    <t>FY2027 AIP</t>
  </si>
  <si>
    <t>LDRRMF 70%</t>
  </si>
  <si>
    <t>No cost; training via OCD VIII</t>
  </si>
  <si>
    <t>CDRRMO Research &amp; Planning</t>
  </si>
  <si>
    <t>Next LDRRMP review</t>
  </si>
  <si>
    <t>CPDO; CDRRMO Research &amp; Planning</t>
  </si>
  <si>
    <t>With CLUP update</t>
  </si>
  <si>
    <t>General Fund (CPDO)</t>
  </si>
  <si>
    <t>CDRRMO Research &amp; Planning; response cluster leads</t>
  </si>
  <si>
    <t>2027</t>
  </si>
  <si>
    <t>CDRRMO Research &amp; Planning; all city offices</t>
  </si>
  <si>
    <t>CDRRMO; City Budget Office</t>
  </si>
  <si>
    <t>FY2028 LDRRMFIP</t>
  </si>
  <si>
    <t>CDRRMO Research &amp; Planning; BDRRMCs</t>
  </si>
  <si>
    <t>Q2 2027 (46 critical first)</t>
  </si>
  <si>
    <t>Annual</t>
  </si>
  <si>
    <t>City Budget Office</t>
  </si>
  <si>
    <t>City Budget Office; CDRRMO</t>
  </si>
  <si>
    <t>City Accountant; City Treasurer</t>
  </si>
  <si>
    <t>BAC; GSO; CDRRMO</t>
  </si>
  <si>
    <t>CDRRMO; City Budget Office; City Accountant; BAC</t>
  </si>
  <si>
    <t>LDRRMF 70% (AA line)</t>
  </si>
  <si>
    <t>City Treasurer; GSO</t>
  </si>
  <si>
    <t>Internal Audit; City Accountant</t>
  </si>
  <si>
    <t>Q4 annually</t>
  </si>
  <si>
    <t>CDRRMO Research &amp; Planning; City Budget Office</t>
  </si>
  <si>
    <t>CPDO; CDRRMO</t>
  </si>
  <si>
    <t>Workshop</t>
  </si>
  <si>
    <t>LDRRMF 70% (database)</t>
  </si>
  <si>
    <t>City DPO; CDRRMO; CSWDO</t>
  </si>
  <si>
    <t>CDRRMO Research &amp; Planning; CPDO</t>
  </si>
  <si>
    <t>LDRRMF 70% (training)</t>
  </si>
  <si>
    <t>LDRRMF 70% (ICT)</t>
  </si>
  <si>
    <t>CDRRMO Research &amp; Planning; City Engineer</t>
  </si>
  <si>
    <t>LDRRMF 70% (EWS)</t>
  </si>
  <si>
    <t>CDRRMO Operations &amp; Warning; BDRRMCs</t>
  </si>
  <si>
    <t>CDRRMO</t>
  </si>
  <si>
    <t>CDRRMO; City Information Office</t>
  </si>
  <si>
    <t>LDRRMF 70% (IEC)</t>
  </si>
  <si>
    <t>CDRRMO; DILG CLGOO</t>
  </si>
  <si>
    <t>CDRRMO; City Engineer; CSWDO</t>
  </si>
  <si>
    <t>LDRRMF 70% (infrastructure)</t>
  </si>
  <si>
    <t>CSWDO; CDRRMO</t>
  </si>
  <si>
    <t>CDRRMO; GAD Focal Point</t>
  </si>
  <si>
    <t>GAD fund</t>
  </si>
  <si>
    <t>CDRRMO; DepEd; CHO</t>
  </si>
  <si>
    <t>BDRRMCs; CDRRMO</t>
  </si>
  <si>
    <t>Mayor's Office; CDRRMO</t>
  </si>
  <si>
    <t>CDRRMO; GSO</t>
  </si>
  <si>
    <t>LDRRMF 70% (MOOE)</t>
  </si>
  <si>
    <t>CDRRMO; cluster lead offices</t>
  </si>
  <si>
    <t>Each forecast event</t>
  </si>
  <si>
    <t>CDRRMO; CHO; PNP</t>
  </si>
  <si>
    <t>CSWDO; CDRRMO; City DPO</t>
  </si>
  <si>
    <t>CSWDO; CHO; PESO</t>
  </si>
  <si>
    <t>CDRRMO Head; Mayor's Office</t>
  </si>
  <si>
    <t>After each event</t>
  </si>
  <si>
    <t>Validation visit</t>
  </si>
  <si>
    <t>General Fund</t>
  </si>
  <si>
    <t>LDRRMF 70% (equipment)</t>
  </si>
  <si>
    <t>CDRRMO; City ICT</t>
  </si>
  <si>
    <t>City ICT; CDRRMO</t>
  </si>
  <si>
    <t>CDRRMO; CHO</t>
  </si>
  <si>
    <t>CDRRMO; CSWDO</t>
  </si>
  <si>
    <t>CDRRMO; BAC</t>
  </si>
  <si>
    <t>CDRRMO; MOP consultant</t>
  </si>
  <si>
    <t>After each activation</t>
  </si>
  <si>
    <t>IF</t>
  </si>
  <si>
    <t>STANDARDS &amp; POLICY REFERENCES USED IN THE TOOL</t>
  </si>
  <si>
    <t>Instrument</t>
  </si>
  <si>
    <t>Relevance to the assessment</t>
  </si>
  <si>
    <t>Status note</t>
  </si>
  <si>
    <t>RA 10121 - Philippine DRRM Act of 2010 and its IRR</t>
  </si>
  <si>
    <t>Core mandate: CDRRMC (Sec. 11), CDRRMO functions and structure (Sec. 12), LDRRMF 5% and 30% QRF (Sec. 21), state of calamity (Sec. 16).</t>
  </si>
  <si>
    <t>In force</t>
  </si>
  <si>
    <t>RA 12287 - Declaration of State of Imminent Disaster Act (12 Sept 2025)</t>
  </si>
  <si>
    <t>Pre-disaster declaration by the LCE through an EO upon RDRRMC recommendation; anticipatory action protocols; AA funding up to 10% of the 70% LDRRMF with a 30%/70% disbursement rule; 45-day post-lifting report to OCD.</t>
  </si>
  <si>
    <t>IRR signed 14 Sep 2026 (certified true copy on file). NDRRMC operational guidelines on triggers/thresholds, DBM-COA funding guidelines and the M&amp;E framework are still to be issued.</t>
  </si>
  <si>
    <t>RA 12076 - Ligtas Pinoy Centers Act (2024)</t>
  </si>
  <si>
    <t>Permanent, standards-compliant evacuation centers for every city/municipality.</t>
  </si>
  <si>
    <t>New; IRR to be checked</t>
  </si>
  <si>
    <t>RA 7160 - Local Government Code of 1991</t>
  </si>
  <si>
    <t>General welfare, LGU powers, inter-LGU cooperation (Sec. 33), local special bodies.</t>
  </si>
  <si>
    <t>RA 9729 as amended by RA 10174 - Climate Change Act / People's Survival Fund</t>
  </si>
  <si>
    <t>LCCAP, DRR-CCA mainstreaming, PSF access.</t>
  </si>
  <si>
    <t>RA 11292 - Seal of Good Local Governance Act (2019)</t>
  </si>
  <si>
    <t>Disaster preparedness is an SGLG governance area; criteria change yearly.</t>
  </si>
  <si>
    <t>Check current-year technical notes</t>
  </si>
  <si>
    <t>RA 12009 - New Government Procurement Act (2024) and IRR</t>
  </si>
  <si>
    <t>Emergency/negotiated procurement for disaster response; framework agreements.</t>
  </si>
  <si>
    <t>RA 10173 - Data Privacy Act of 2012</t>
  </si>
  <si>
    <t>Handling of affected-population, beneficiary and EOC data.</t>
  </si>
  <si>
    <t>RA 10821 - Children's Emergency Relief and Protection Act</t>
  </si>
  <si>
    <t>Child-friendly spaces, limits on use of schools as evacuation centers, child protection.</t>
  </si>
  <si>
    <t>RA 9710 (Magna Carta of Women); RA 7277 as amended (PWD); RA 9994 (Senior Citizens); RA 8371 (IPRA); RA 11106 (FSL Act)</t>
  </si>
  <si>
    <t>Inclusive and gender-responsive DRRM, accessible warnings and facilities.</t>
  </si>
  <si>
    <t>RA 10639 - Free Mobile Disaster Alerts Act</t>
  </si>
  <si>
    <t>Mobile alert dissemination (ECBS/SMS) for last-mile warning.</t>
  </si>
  <si>
    <t>RA 11036 - Mental Health Act</t>
  </si>
  <si>
    <t>MHPSS for affected populations and responders.</t>
  </si>
  <si>
    <t>NDRRMC-DILG-DBM-CSC JMC No. 2014-1</t>
  </si>
  <si>
    <t>Establishment of LDRRMOs: structure, divisions, plantilla positions.</t>
  </si>
  <si>
    <t>In force; confirm amendments</t>
  </si>
  <si>
    <t>NDRRMC-DBM-DILG JMC No. 2013-1</t>
  </si>
  <si>
    <t>Allocation and utilization of the LDRRMF.</t>
  </si>
  <si>
    <t>COA Circular No. 2012-002</t>
  </si>
  <si>
    <t>Accounting and reporting of the LDRRMF and Special Trust Fund.</t>
  </si>
  <si>
    <t>NDRRMC Memorandum Circular No. 4, s. 2012</t>
  </si>
  <si>
    <t>Implementing guidelines on the use of the Incident Command System.</t>
  </si>
  <si>
    <t>NDRRMC Memorandum Circular No. 131, s. 2018 (as catalogued by ADPC)</t>
  </si>
  <si>
    <t>Guidelines on the establishment, operationalization and management of EOCs - primary EOC standard.</t>
  </si>
  <si>
    <t>Verify exact issuance title/number with OCD VIII</t>
  </si>
  <si>
    <t>NDCC Memorandum Circular No. 12, s. 2008</t>
  </si>
  <si>
    <t>Institutionalization of the cluster approach.</t>
  </si>
  <si>
    <t>NDRRM Framework and NDRRM Plan 2020-2030</t>
  </si>
  <si>
    <t>Four thematic pillars; LDRRMP alignment.</t>
  </si>
  <si>
    <t>OCD/NDRRMC Public Service Continuity Planning (PSCP) Guidebook</t>
  </si>
  <si>
    <t>Continuity of essential services; alternate EOC; BIA. (Project reference document)</t>
  </si>
  <si>
    <t>In project files</t>
  </si>
  <si>
    <t>NDRRMC Gawad KALASAG Seal (GKS) guidelines</t>
  </si>
  <si>
    <t>National benchmark for LDRRMC/LDRRMO functionality ('Fully Compliant' / 'Beyond Compliant').</t>
  </si>
  <si>
    <t>Check current-year guidelines</t>
  </si>
  <si>
    <t>DILG Operation L!sto protocols; DILG MC 2025-051 (Listo sa Tag-ulan 2025); DILG MC 2025-035 (Listo si KAP)</t>
  </si>
  <si>
    <t>Preparedness checklists for LGUs and barangays.</t>
  </si>
  <si>
    <t>Annual issuances; check latest</t>
  </si>
  <si>
    <t>EO No. 56, s. 2018 - Emergency 911</t>
  </si>
  <si>
    <t>Hotline integration and dispatch.</t>
  </si>
  <si>
    <t>PD 1096 (National Building Code) and NSCP</t>
  </si>
  <si>
    <t>Structural safety of EOC and evacuation centers.</t>
  </si>
  <si>
    <t>Sendai Framework for DRR 2015-2030</t>
  </si>
  <si>
    <t>Global targets and monitoring; good-practice benchmark.</t>
  </si>
  <si>
    <t>International</t>
  </si>
  <si>
    <t>UNDRR Disaster Resilience Scorecard for Cities - Detailed Level Assessment (2017)</t>
  </si>
  <si>
    <t>Source of adapted Good Practice and Part C interface indicators (Ten Essentials). Scores are not comparable between cities.</t>
  </si>
  <si>
    <t>RA 11315 - Community-Based Monitoring System Act (2019)</t>
  </si>
  <si>
    <t>Registry used to identify and prioritize families for anticipatory social amelioration (RA 12287 IRR Rule IV Sec. 7).</t>
  </si>
  <si>
    <t>RA 7581 - Price Act</t>
  </si>
  <si>
    <t>Pre-impact price monitoring and anti-profiteering (Part C, C4.4).</t>
  </si>
  <si>
    <t>RSBSA, FishR and BAI livestock registries</t>
  </si>
  <si>
    <t>Targeting of agri-fisheries anticipatory action (RA 12287 IRR Rule IV Sec. 8).</t>
  </si>
  <si>
    <t>DA systems</t>
  </si>
  <si>
    <t>CROSSWALK - UNDRR SCORECARD (DETAILED LEVEL) AND RA 12287 IRR TO THE IAT v1.1</t>
  </si>
  <si>
    <t>Treatment: New = added indicator; Modified = existing indicator widened; Covered = already assessed; Interface = Part C; Deferred = left to the city-wide Scorecard workshop (owned by other offices or needs data the CDRRMO does not hold).</t>
  </si>
  <si>
    <t>A. UNDRR Disaster Resilience Scorecard for Cities - Detailed Level</t>
  </si>
  <si>
    <t>DRSC ref</t>
  </si>
  <si>
    <t>Subject</t>
  </si>
  <si>
    <t>Treatment</t>
  </si>
  <si>
    <t>IAT indicator(s)</t>
  </si>
  <si>
    <t>Note</t>
  </si>
  <si>
    <t>1.1.1</t>
  </si>
  <si>
    <t>Risk consideration in plan making</t>
  </si>
  <si>
    <t>Interface</t>
  </si>
  <si>
    <t>1.1.2</t>
  </si>
  <si>
    <t>Consultation in plan making</t>
  </si>
  <si>
    <t>Deferred</t>
  </si>
  <si>
    <t>-</t>
  </si>
  <si>
    <t>City planning process; Scorecard workshop</t>
  </si>
  <si>
    <t>1.1.3</t>
  </si>
  <si>
    <t>Review of strategic plans</t>
  </si>
  <si>
    <t>Covered</t>
  </si>
  <si>
    <t>LDRRMP annual review</t>
  </si>
  <si>
    <t>1.2.1</t>
  </si>
  <si>
    <t>Pre-event planning coordination</t>
  </si>
  <si>
    <t>A1.2, A1.3, A3.3</t>
  </si>
  <si>
    <t>1.2.2</t>
  </si>
  <si>
    <t>Coordination of event response</t>
  </si>
  <si>
    <t>A8.5, B1.4, B6.1</t>
  </si>
  <si>
    <t>1.2.3</t>
  </si>
  <si>
    <t>City resources and authority for DRR</t>
  </si>
  <si>
    <t>A2.3, A4.1</t>
  </si>
  <si>
    <t>1.2.4</t>
  </si>
  <si>
    <t>Physical contributions from partners</t>
  </si>
  <si>
    <t>New</t>
  </si>
  <si>
    <t>1.3.1</t>
  </si>
  <si>
    <t>Resilience screening of policy and budget</t>
  </si>
  <si>
    <t>1.4.1</t>
  </si>
  <si>
    <t>Shared resilience data</t>
  </si>
  <si>
    <t>2.1.1</t>
  </si>
  <si>
    <t>Knowledge of hazards</t>
  </si>
  <si>
    <t>2.2.1</t>
  </si>
  <si>
    <t>Exposure and vulnerability scenarios</t>
  </si>
  <si>
    <t>2.2.2</t>
  </si>
  <si>
    <t>Damage and loss estimation</t>
  </si>
  <si>
    <t>2.3.1</t>
  </si>
  <si>
    <t>Critical assets and failure chains</t>
  </si>
  <si>
    <t>2.4.1</t>
  </si>
  <si>
    <t>Hazard maps and guidelines</t>
  </si>
  <si>
    <t>Covered / Interface</t>
  </si>
  <si>
    <t>A5.1; C1.4</t>
  </si>
  <si>
    <t>Maps in A5.1; development guidelines in C1.4</t>
  </si>
  <si>
    <t>2.5.1</t>
  </si>
  <si>
    <t>Update process</t>
  </si>
  <si>
    <t>3.1.1</t>
  </si>
  <si>
    <t>Knowledge of financing options</t>
  </si>
  <si>
    <t>Partly A4.7; full mapping in Scorecard workshop</t>
  </si>
  <si>
    <t>3.2.1</t>
  </si>
  <si>
    <t>Financial planning for resilience</t>
  </si>
  <si>
    <t>Covered (partial)</t>
  </si>
  <si>
    <t>City-wide 5-year plan deferred</t>
  </si>
  <si>
    <t>3.2.2</t>
  </si>
  <si>
    <t>Capital funding</t>
  </si>
  <si>
    <t>City capital program</t>
  </si>
  <si>
    <t>3.2.3</t>
  </si>
  <si>
    <t>Operating funding</t>
  </si>
  <si>
    <t>Covered / New</t>
  </si>
  <si>
    <t>A4.1, A4.4; A4.9</t>
  </si>
  <si>
    <t>3.2.4</t>
  </si>
  <si>
    <t>Contingency fund adequacy</t>
  </si>
  <si>
    <t>3.3.1</t>
  </si>
  <si>
    <t>Domestic insurance coverage</t>
  </si>
  <si>
    <t>Household data not available to CDRRMO</t>
  </si>
  <si>
    <t>3.3.2</t>
  </si>
  <si>
    <t>Non-domestic insurance coverage</t>
  </si>
  <si>
    <t>GSIS insurance of public assets</t>
  </si>
  <si>
    <t>3.4.1-3</t>
  </si>
  <si>
    <t>Incentives to businesses, non-profits, homeowners</t>
  </si>
  <si>
    <t>City policy; Scorecard workshop</t>
  </si>
  <si>
    <t>4.1.1-4.1.3</t>
  </si>
  <si>
    <t>Population, jobs, output and farmland at risk</t>
  </si>
  <si>
    <t>Needs loss modelling</t>
  </si>
  <si>
    <t>4.2.1</t>
  </si>
  <si>
    <t>Urban design solutions</t>
  </si>
  <si>
    <t>4.3.1</t>
  </si>
  <si>
    <t>Building codes vs risk</t>
  </si>
  <si>
    <t>Interface (partial)</t>
  </si>
  <si>
    <t>Critical facilities only</t>
  </si>
  <si>
    <t>4.3.2</t>
  </si>
  <si>
    <t>Updates to building codes</t>
  </si>
  <si>
    <t>National code</t>
  </si>
  <si>
    <t>4.3.3</t>
  </si>
  <si>
    <t>Sustainable building standards</t>
  </si>
  <si>
    <t>4.4.1</t>
  </si>
  <si>
    <t>Application of land use zoning</t>
  </si>
  <si>
    <t>A1.5 checks ordinances exist</t>
  </si>
  <si>
    <t>4.4.2</t>
  </si>
  <si>
    <t>Application of building codes</t>
  </si>
  <si>
    <t>5.1.1</t>
  </si>
  <si>
    <t>Awareness of ecosystem services</t>
  </si>
  <si>
    <t>5.1.2</t>
  </si>
  <si>
    <t>Ecosystem health</t>
  </si>
  <si>
    <t>Needs 5-year monitoring data</t>
  </si>
  <si>
    <t>5.2.1</t>
  </si>
  <si>
    <t>Land use impact on ecosystems</t>
  </si>
  <si>
    <t>5.2.2</t>
  </si>
  <si>
    <t>Green and blue infrastructure</t>
  </si>
  <si>
    <t>5.3.1-5.3.2</t>
  </si>
  <si>
    <t>Transboundary ecosystems and agreements</t>
  </si>
  <si>
    <t>6.1.1</t>
  </si>
  <si>
    <t>Skills and experience inventory</t>
  </si>
  <si>
    <t>6.1.2</t>
  </si>
  <si>
    <t>Private sector links</t>
  </si>
  <si>
    <t>Modified</t>
  </si>
  <si>
    <t>6.1.3</t>
  </si>
  <si>
    <t>Insurance sector engagement</t>
  </si>
  <si>
    <t>6.1.4</t>
  </si>
  <si>
    <t>Civil society links</t>
  </si>
  <si>
    <t>A10.2, A2.8</t>
  </si>
  <si>
    <t>6.2.1</t>
  </si>
  <si>
    <t>Public education campaign</t>
  </si>
  <si>
    <t>6.2.1.1</t>
  </si>
  <si>
    <t>Message exposures per person</t>
  </si>
  <si>
    <t>Needs population survey</t>
  </si>
  <si>
    <t>6.3.1-6.3.2</t>
  </si>
  <si>
    <t>Data shared with organizations and public</t>
  </si>
  <si>
    <t>6.4.1</t>
  </si>
  <si>
    <t>Professional training</t>
  </si>
  <si>
    <t>A2.6, A7.1, B7.2</t>
  </si>
  <si>
    <t>6.4.1.1</t>
  </si>
  <si>
    <t>% population trained</t>
  </si>
  <si>
    <t>Needs population data</t>
  </si>
  <si>
    <t>6.4.2</t>
  </si>
  <si>
    <t>Refresher training</t>
  </si>
  <si>
    <t>6.5.1</t>
  </si>
  <si>
    <t>Language accessibility</t>
  </si>
  <si>
    <t>6.6.1</t>
  </si>
  <si>
    <t>Learning from other cities</t>
  </si>
  <si>
    <t>7.1.1-7.1.2.1</t>
  </si>
  <si>
    <t>Community organizations: coverage, effectiveness, roles</t>
  </si>
  <si>
    <t>A7.3, B5.2</t>
  </si>
  <si>
    <t>7.2.1</t>
  </si>
  <si>
    <t>Social connectedness (contact within 12 hours)</t>
  </si>
  <si>
    <t>7.2.2</t>
  </si>
  <si>
    <t>Engagement of vulnerable groups</t>
  </si>
  <si>
    <t>7.3.1</t>
  </si>
  <si>
    <t>Employers as a channel</t>
  </si>
  <si>
    <t>Needs business survey</t>
  </si>
  <si>
    <t>7.3.2</t>
  </si>
  <si>
    <t>Business continuity planning</t>
  </si>
  <si>
    <t>Outreach only</t>
  </si>
  <si>
    <t>7.4.1</t>
  </si>
  <si>
    <t>Frequency of engagement</t>
  </si>
  <si>
    <t>7.4.2</t>
  </si>
  <si>
    <t>Mobile systems of engagement</t>
  </si>
  <si>
    <t>Ess. 8</t>
  </si>
  <si>
    <t>Infrastructure resilience (theme)</t>
  </si>
  <si>
    <t>B2.1-B2.7; C2.2, C2.3</t>
  </si>
  <si>
    <t>City-wide utility outcomes deferred</t>
  </si>
  <si>
    <t>Ess. 9</t>
  </si>
  <si>
    <t>Effective disaster response (theme)</t>
  </si>
  <si>
    <t>A6, A8, B1-B7</t>
  </si>
  <si>
    <t>Ess. 10</t>
  </si>
  <si>
    <t>Recovery and build back better (theme)</t>
  </si>
  <si>
    <t>A9.1-A9.4; A9.5</t>
  </si>
  <si>
    <t>B. RA 12287 Implementing Rules and Regulations (signed 14 Sep 2026)</t>
  </si>
  <si>
    <t>IRR provision</t>
  </si>
  <si>
    <t>Rule II Sec. 2</t>
  </si>
  <si>
    <t>Triggers and thresholds (NDRRMC operational guidelines pending)</t>
  </si>
  <si>
    <t>Rule II Sec. 5</t>
  </si>
  <si>
    <t>Pre-disaster risk assessment</t>
  </si>
  <si>
    <t>Rule II Sec. 6; Rule III Secs. 2-4</t>
  </si>
  <si>
    <t>Declaration, request to RDRRMC, LCE Executive Order, lifting</t>
  </si>
  <si>
    <t>Rule IV Sec. 1</t>
  </si>
  <si>
    <t>AA protocols in LGU preparedness; principles (inclusion, do no harm, no regrets, Sphere)</t>
  </si>
  <si>
    <t>New / Modified</t>
  </si>
  <si>
    <t>A8.8; A7.6; B1.2</t>
  </si>
  <si>
    <t>Rule IV Sec. 2</t>
  </si>
  <si>
    <t>Public information and advisories, incl. GIDAs</t>
  </si>
  <si>
    <t>Rule IV Secs. 3, 4, 6</t>
  </si>
  <si>
    <t>Prepositioning, asset deployment, pre-emptive evacuation, CCCM, CI safeguarding, FNI distribution</t>
  </si>
  <si>
    <t>A8.8; B6.6; C2.1, C2.2</t>
  </si>
  <si>
    <t>Rule IV Sec. 5</t>
  </si>
  <si>
    <t>Mobilization of ACDVs, CSOs, private sector</t>
  </si>
  <si>
    <t>Rule IV Sec. 7</t>
  </si>
  <si>
    <t>Social amelioration: CBMS targeting, cash and vouchers</t>
  </si>
  <si>
    <t>Rule IV Sec. 8</t>
  </si>
  <si>
    <t>Agri-fisheries AA (RSBSA, FishR, livestock)</t>
  </si>
  <si>
    <t>Rule IV Sec. 9</t>
  </si>
  <si>
    <t>Health AA</t>
  </si>
  <si>
    <t>Rule IV Sec. 10</t>
  </si>
  <si>
    <t>Education, transport, economy, environment AA</t>
  </si>
  <si>
    <t>C4.2, C2.3, C4.4, C3.3</t>
  </si>
  <si>
    <t>Rule V Secs. 1-3</t>
  </si>
  <si>
    <t>Funding: up to 10% of 70% LDRRMF; other sources; 30/70 disbursement rule; no regrets</t>
  </si>
  <si>
    <t>Rule VI Sec. 1</t>
  </si>
  <si>
    <t>Report to OCD within 45 days of lifting</t>
  </si>
  <si>
    <t>Rule VII</t>
  </si>
  <si>
    <t>Capacity development; focal persons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</si>
</sst>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7">
    <font>
      <sz val="11.0"/>
      <color theme="1"/>
      <name val="Calibri"/>
      <scheme val="minor"/>
    </font>
    <font>
      <sz val="11.0"/>
      <color theme="1"/>
      <name val="Roboto"/>
    </font>
    <font>
      <b/>
      <sz val="11.0"/>
      <color rgb="FF0E6E6E"/>
      <name val="Roboto"/>
    </font>
    <font>
      <b/>
      <sz val="15.0"/>
      <color rgb="FF1F3864"/>
      <name val="Poppins"/>
    </font>
    <font>
      <i/>
      <sz val="9.0"/>
      <color theme="1"/>
      <name val="Roboto"/>
    </font>
    <font>
      <b/>
      <sz val="11.0"/>
      <color rgb="FF1F3864"/>
      <name val="Roboto"/>
    </font>
    <font>
      <sz val="10.0"/>
      <color theme="1"/>
      <name val="Roboto"/>
    </font>
    <font>
      <b/>
      <sz val="10.0"/>
      <color rgb="FFFFFFFF"/>
      <name val="Roboto"/>
    </font>
    <font>
      <b/>
      <sz val="9.0"/>
      <color theme="1"/>
      <name val="Roboto"/>
    </font>
    <font>
      <sz val="9.0"/>
      <color theme="1"/>
      <name val="Roboto"/>
    </font>
    <font/>
    <font>
      <sz val="11.0"/>
      <color theme="1"/>
      <name val="Calibri"/>
    </font>
    <font>
      <b/>
      <sz val="14.0"/>
      <color rgb="FF1F3864"/>
      <name val="Roboto"/>
    </font>
    <font>
      <b/>
      <sz val="10.0"/>
      <color theme="1"/>
      <name val="Roboto"/>
    </font>
    <font>
      <i/>
      <sz val="10.0"/>
      <color rgb="FF404040"/>
      <name val="Roboto"/>
    </font>
    <font>
      <i/>
      <sz val="8.0"/>
      <color theme="1"/>
      <name val="Roboto"/>
    </font>
    <font>
      <b/>
      <sz val="14.0"/>
      <color rgb="FF1F3864"/>
      <name val="Arial"/>
    </font>
    <font>
      <b/>
      <sz val="10.0"/>
      <color theme="1"/>
      <name val="Arial"/>
    </font>
    <font>
      <sz val="10.0"/>
      <color theme="1"/>
      <name val="Arial"/>
    </font>
    <font>
      <i/>
      <sz val="8.0"/>
      <color theme="1"/>
      <name val="Arial"/>
    </font>
    <font>
      <b/>
      <sz val="13.0"/>
      <color rgb="FF1F3864"/>
      <name val="Roboto"/>
    </font>
    <font>
      <b/>
      <sz val="13.0"/>
      <color rgb="FF1F3864"/>
      <name val="Arial"/>
    </font>
    <font>
      <b/>
      <sz val="10.0"/>
      <color rgb="FFFFFFFF"/>
      <name val="Arial"/>
    </font>
    <font>
      <sz val="9.0"/>
      <color theme="1"/>
      <name val="Arial"/>
    </font>
    <font>
      <b/>
      <sz val="12.0"/>
      <color rgb="FF1F3864"/>
      <name val="Roboto"/>
    </font>
    <font>
      <b/>
      <sz val="10.0"/>
      <color rgb="FF1F3864"/>
      <name val="Roboto"/>
    </font>
    <font>
      <b/>
      <sz val="9.0"/>
      <color rgb="FFFFFFFF"/>
      <name val="Roboto"/>
    </font>
  </fonts>
  <fills count="11">
    <fill>
      <patternFill patternType="none"/>
    </fill>
    <fill>
      <patternFill patternType="lightGray"/>
    </fill>
    <fill>
      <patternFill patternType="solid">
        <fgColor rgb="FF1F3864"/>
        <bgColor rgb="FF1F3864"/>
      </patternFill>
    </fill>
    <fill>
      <patternFill patternType="solid">
        <fgColor rgb="FFFFF2CC"/>
        <bgColor rgb="FFFFF2CC"/>
      </patternFill>
    </fill>
    <fill>
      <patternFill patternType="solid">
        <fgColor rgb="FFF2F2F2"/>
        <bgColor rgb="FFF2F2F2"/>
      </patternFill>
    </fill>
    <fill>
      <patternFill patternType="solid">
        <fgColor rgb="FF0E6E6E"/>
        <bgColor rgb="FF0E6E6E"/>
      </patternFill>
    </fill>
    <fill>
      <patternFill patternType="solid">
        <fgColor rgb="FFE8EEF7"/>
        <bgColor rgb="FFE8EEF7"/>
      </patternFill>
    </fill>
    <fill>
      <patternFill patternType="solid">
        <fgColor rgb="FFF3F3F3"/>
        <bgColor rgb="FFF3F3F3"/>
      </patternFill>
    </fill>
    <fill>
      <patternFill patternType="solid">
        <fgColor rgb="FF7F7F7F"/>
        <bgColor rgb="FF7F7F7F"/>
      </patternFill>
    </fill>
    <fill>
      <patternFill patternType="solid">
        <fgColor rgb="FFDDEBF7"/>
        <bgColor rgb="FFDDEBF7"/>
      </patternFill>
    </fill>
    <fill>
      <patternFill patternType="solid">
        <fgColor rgb="FFE2EFDA"/>
        <bgColor rgb="FFE2EFDA"/>
      </patternFill>
    </fill>
  </fills>
  <borders count="9">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top/>
      <bottom/>
    </border>
    <border>
      <top/>
      <bottom/>
    </border>
    <border>
      <right/>
      <top/>
      <bottom/>
    </border>
    <border>
      <left/>
      <right/>
      <top/>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0" fillId="0" fontId="5" numFmtId="0" xfId="0" applyAlignment="1" applyFont="1">
      <alignment shrinkToFit="0" vertical="bottom" wrapText="0"/>
    </xf>
    <xf borderId="0" fillId="0" fontId="6" numFmtId="0" xfId="0" applyAlignment="1" applyFont="1">
      <alignment shrinkToFit="0" vertical="top" wrapText="1"/>
    </xf>
    <xf borderId="1" fillId="2" fontId="7" numFmtId="0" xfId="0" applyAlignment="1" applyBorder="1" applyFill="1" applyFont="1">
      <alignment horizontal="center" shrinkToFit="0" vertical="center" wrapText="1"/>
    </xf>
    <xf borderId="1" fillId="0" fontId="8" numFmtId="0" xfId="0" applyAlignment="1" applyBorder="1" applyFont="1">
      <alignment horizontal="center" shrinkToFit="0" vertical="top" wrapText="1"/>
    </xf>
    <xf borderId="1" fillId="0" fontId="8" numFmtId="0" xfId="0" applyAlignment="1" applyBorder="1" applyFont="1">
      <alignment horizontal="left" shrinkToFit="0" vertical="top" wrapText="1"/>
    </xf>
    <xf borderId="1" fillId="0" fontId="9" numFmtId="0" xfId="0" applyAlignment="1" applyBorder="1" applyFont="1">
      <alignment horizontal="left" shrinkToFit="0" vertical="top" wrapText="1"/>
    </xf>
    <xf borderId="2" fillId="0" fontId="9" numFmtId="0" xfId="0" applyAlignment="1" applyBorder="1" applyFont="1">
      <alignment horizontal="left" shrinkToFit="0" vertical="top" wrapText="1"/>
    </xf>
    <xf borderId="3" fillId="0" fontId="10" numFmtId="0" xfId="0" applyBorder="1" applyFont="1"/>
    <xf borderId="1" fillId="3" fontId="8" numFmtId="0" xfId="0" applyAlignment="1" applyBorder="1" applyFill="1" applyFont="1">
      <alignment horizontal="left" shrinkToFit="0" vertical="top" wrapText="1"/>
    </xf>
    <xf borderId="1" fillId="4" fontId="8" numFmtId="0" xfId="0" applyAlignment="1" applyBorder="1" applyFill="1" applyFont="1">
      <alignment horizontal="left" shrinkToFit="0" vertical="top" wrapText="1"/>
    </xf>
    <xf borderId="1" fillId="5" fontId="7" numFmtId="0" xfId="0" applyAlignment="1" applyBorder="1" applyFill="1" applyFont="1">
      <alignment horizontal="center" shrinkToFit="0" vertical="center" wrapText="1"/>
    </xf>
    <xf borderId="1" fillId="3" fontId="9" numFmtId="0" xfId="0" applyAlignment="1" applyBorder="1" applyFill="1" applyFont="1">
      <alignment horizontal="left" shrinkToFit="0" vertical="top" wrapText="1"/>
    </xf>
    <xf borderId="1" fillId="3" fontId="9" numFmtId="0" xfId="0" applyAlignment="1" applyBorder="1" applyFill="1" applyFont="1">
      <alignment horizontal="center" shrinkToFit="0" vertical="top" wrapText="1"/>
    </xf>
    <xf borderId="4" fillId="0" fontId="10" numFmtId="0" xfId="0" applyBorder="1" applyFont="1"/>
    <xf borderId="0" fillId="0" fontId="11" numFmtId="0" xfId="0" applyAlignment="1" applyFont="1">
      <alignment shrinkToFit="0" vertical="bottom" wrapText="0"/>
    </xf>
    <xf borderId="0" fillId="0" fontId="12" numFmtId="0" xfId="0" applyAlignment="1" applyFont="1">
      <alignment shrinkToFit="0" vertical="bottom" wrapText="0"/>
    </xf>
    <xf borderId="1" fillId="0" fontId="6" numFmtId="0" xfId="0" applyAlignment="1" applyBorder="1" applyFont="1">
      <alignment horizontal="center" shrinkToFit="0" vertical="top" wrapText="1"/>
    </xf>
    <xf borderId="1" fillId="0" fontId="6" numFmtId="0" xfId="0" applyAlignment="1" applyBorder="1" applyFont="1">
      <alignment horizontal="left" shrinkToFit="0" vertical="top" wrapText="1"/>
    </xf>
    <xf borderId="1" fillId="0" fontId="6" numFmtId="2" xfId="0" applyAlignment="1" applyBorder="1" applyFont="1" applyNumberFormat="1">
      <alignment horizontal="center" shrinkToFit="0" vertical="top" wrapText="1"/>
    </xf>
    <xf borderId="1" fillId="0" fontId="6" numFmtId="9" xfId="0" applyAlignment="1" applyBorder="1" applyFont="1" applyNumberFormat="1">
      <alignment horizontal="center" shrinkToFit="0" vertical="top" wrapText="1"/>
    </xf>
    <xf borderId="1" fillId="6" fontId="13" numFmtId="0" xfId="0" applyAlignment="1" applyBorder="1" applyFill="1" applyFont="1">
      <alignment horizontal="center" shrinkToFit="0" vertical="top" wrapText="1"/>
    </xf>
    <xf borderId="1" fillId="6" fontId="13" numFmtId="0" xfId="0" applyAlignment="1" applyBorder="1" applyFill="1" applyFont="1">
      <alignment horizontal="left" shrinkToFit="0" vertical="top" wrapText="1"/>
    </xf>
    <xf borderId="1" fillId="6" fontId="13" numFmtId="2" xfId="0" applyAlignment="1" applyBorder="1" applyFill="1" applyFont="1" applyNumberFormat="1">
      <alignment horizontal="center" shrinkToFit="0" vertical="top" wrapText="1"/>
    </xf>
    <xf borderId="1" fillId="6" fontId="13" numFmtId="9" xfId="0" applyAlignment="1" applyBorder="1" applyFill="1" applyFont="1" applyNumberFormat="1">
      <alignment horizontal="center" shrinkToFit="0" vertical="top" wrapText="1"/>
    </xf>
    <xf borderId="1" fillId="7" fontId="14" numFmtId="0" xfId="0" applyAlignment="1" applyBorder="1" applyFill="1" applyFont="1">
      <alignment horizontal="center" shrinkToFit="0" vertical="top" wrapText="1"/>
    </xf>
    <xf borderId="1" fillId="7" fontId="14" numFmtId="0" xfId="0" applyAlignment="1" applyBorder="1" applyFill="1" applyFont="1">
      <alignment horizontal="left" shrinkToFit="0" vertical="top" wrapText="1"/>
    </xf>
    <xf borderId="1" fillId="7" fontId="14" numFmtId="2" xfId="0" applyAlignment="1" applyBorder="1" applyFill="1" applyFont="1" applyNumberFormat="1">
      <alignment horizontal="center" shrinkToFit="0" vertical="top" wrapText="1"/>
    </xf>
    <xf borderId="1" fillId="7" fontId="14" numFmtId="9" xfId="0" applyAlignment="1" applyBorder="1" applyFill="1" applyFont="1" applyNumberFormat="1">
      <alignment horizontal="center" shrinkToFit="0" vertical="bottom" wrapText="0"/>
    </xf>
    <xf borderId="1" fillId="7" fontId="14" numFmtId="9" xfId="0" applyAlignment="1" applyBorder="1" applyFill="1" applyFont="1" applyNumberFormat="1">
      <alignment horizontal="center" shrinkToFit="0" vertical="top" wrapText="1"/>
    </xf>
    <xf borderId="0" fillId="0" fontId="15" numFmtId="0" xfId="0" applyAlignment="1" applyFont="1">
      <alignment shrinkToFit="0" vertical="bottom" wrapText="1"/>
    </xf>
    <xf borderId="0" fillId="0" fontId="16" numFmtId="0" xfId="0" applyAlignment="1" applyFont="1">
      <alignment shrinkToFit="0" vertical="bottom" wrapText="0"/>
    </xf>
    <xf borderId="1" fillId="0" fontId="17" numFmtId="0" xfId="0" applyAlignment="1" applyBorder="1" applyFont="1">
      <alignment horizontal="left" shrinkToFit="0" vertical="top" wrapText="1"/>
    </xf>
    <xf borderId="1" fillId="3" fontId="18" numFmtId="0" xfId="0" applyAlignment="1" applyBorder="1" applyFill="1" applyFont="1">
      <alignment horizontal="left" shrinkToFit="0" vertical="top" wrapText="1"/>
    </xf>
    <xf borderId="1" fillId="3" fontId="18" numFmtId="0" xfId="0" applyAlignment="1" applyBorder="1" applyFill="1" applyFont="1">
      <alignment horizontal="left" readingOrder="0" shrinkToFit="0" vertical="top" wrapText="1"/>
    </xf>
    <xf borderId="0" fillId="0" fontId="19" numFmtId="0" xfId="0" applyAlignment="1" applyFont="1">
      <alignment shrinkToFit="0" vertical="bottom" wrapText="0"/>
    </xf>
    <xf borderId="0" fillId="0" fontId="20" numFmtId="0" xfId="0" applyAlignment="1" applyFont="1">
      <alignment shrinkToFit="0" vertical="bottom" wrapText="0"/>
    </xf>
    <xf borderId="0" fillId="0" fontId="1" numFmtId="0" xfId="0" applyAlignment="1" applyFont="1">
      <alignment shrinkToFit="0" vertical="bottom" wrapText="1"/>
    </xf>
    <xf borderId="0" fillId="0" fontId="15" numFmtId="0" xfId="0" applyAlignment="1" applyFont="1">
      <alignment shrinkToFit="0" vertical="bottom" wrapText="0"/>
    </xf>
    <xf borderId="1" fillId="8" fontId="7" numFmtId="0" xfId="0" applyAlignment="1" applyBorder="1" applyFill="1" applyFont="1">
      <alignment horizontal="center" shrinkToFit="0" vertical="center" wrapText="1"/>
    </xf>
    <xf borderId="5" fillId="5" fontId="7" numFmtId="0" xfId="0" applyAlignment="1" applyBorder="1" applyFill="1" applyFont="1">
      <alignment shrinkToFit="0" vertical="bottom" wrapText="0"/>
    </xf>
    <xf borderId="6" fillId="0" fontId="10" numFmtId="0" xfId="0" applyBorder="1" applyFont="1"/>
    <xf borderId="7" fillId="0" fontId="10" numFmtId="0" xfId="0" applyBorder="1" applyFont="1"/>
    <xf borderId="1" fillId="0" fontId="9" numFmtId="0" xfId="0" applyAlignment="1" applyBorder="1" applyFont="1">
      <alignment horizontal="center" shrinkToFit="0" vertical="top" wrapText="1"/>
    </xf>
    <xf borderId="1" fillId="4" fontId="9" numFmtId="164" xfId="0" applyAlignment="1" applyBorder="1" applyFill="1" applyFont="1" applyNumberFormat="1">
      <alignment horizontal="center" shrinkToFit="0" vertical="top" wrapText="1"/>
    </xf>
    <xf borderId="1" fillId="4" fontId="9" numFmtId="0" xfId="0" applyAlignment="1" applyBorder="1" applyFill="1" applyFont="1">
      <alignment horizontal="center" shrinkToFit="0" vertical="top" wrapText="1"/>
    </xf>
    <xf borderId="1" fillId="3" fontId="9" numFmtId="0" xfId="0" applyAlignment="1" applyBorder="1" applyFill="1" applyFont="1">
      <alignment horizontal="center" readingOrder="0" shrinkToFit="0" vertical="top" wrapText="1"/>
    </xf>
    <xf borderId="8" fillId="5" fontId="7" numFmtId="0" xfId="0" applyAlignment="1" applyBorder="1" applyFill="1" applyFont="1">
      <alignment shrinkToFit="0" vertical="bottom" wrapText="0"/>
    </xf>
    <xf borderId="0" fillId="0" fontId="21" numFmtId="0" xfId="0" applyAlignment="1" applyFont="1">
      <alignment shrinkToFit="0" vertical="bottom" wrapText="0"/>
    </xf>
    <xf borderId="0" fillId="0" fontId="11" numFmtId="0" xfId="0" applyAlignment="1" applyFont="1">
      <alignment shrinkToFit="0" vertical="bottom" wrapText="1"/>
    </xf>
    <xf borderId="1" fillId="2" fontId="22" numFmtId="0" xfId="0" applyAlignment="1" applyBorder="1" applyFill="1" applyFont="1">
      <alignment horizontal="center" shrinkToFit="0" vertical="center" wrapText="1"/>
    </xf>
    <xf borderId="1" fillId="4" fontId="23" numFmtId="0" xfId="0" applyAlignment="1" applyBorder="1" applyFill="1" applyFont="1">
      <alignment horizontal="center" shrinkToFit="0" vertical="top" wrapText="1"/>
    </xf>
    <xf borderId="1" fillId="4" fontId="23" numFmtId="0" xfId="0" applyAlignment="1" applyBorder="1" applyFill="1" applyFont="1">
      <alignment horizontal="left" shrinkToFit="0" vertical="top" wrapText="1"/>
    </xf>
    <xf borderId="1" fillId="3" fontId="23" numFmtId="0" xfId="0" applyAlignment="1" applyBorder="1" applyFill="1" applyFont="1">
      <alignment horizontal="left" shrinkToFit="0" vertical="top" wrapText="1"/>
    </xf>
    <xf borderId="1" fillId="3" fontId="23" numFmtId="0" xfId="0" applyAlignment="1" applyBorder="1" applyFill="1" applyFont="1">
      <alignment horizontal="center" shrinkToFit="0" vertical="top" wrapText="1"/>
    </xf>
    <xf borderId="1" fillId="0" fontId="23" numFmtId="0" xfId="0" applyAlignment="1" applyBorder="1" applyFont="1">
      <alignment horizontal="left" shrinkToFit="0" vertical="top" wrapText="1"/>
    </xf>
    <xf borderId="0" fillId="0" fontId="24" numFmtId="0" xfId="0" applyAlignment="1" applyFont="1">
      <alignment shrinkToFit="0" vertical="bottom" wrapText="0"/>
    </xf>
    <xf borderId="0" fillId="0" fontId="4" numFmtId="0" xfId="0" applyAlignment="1" applyFont="1">
      <alignment shrinkToFit="0" vertical="top" wrapText="1"/>
    </xf>
    <xf borderId="0" fillId="0" fontId="25" numFmtId="0" xfId="0" applyAlignment="1" applyFont="1">
      <alignment shrinkToFit="0" vertical="bottom" wrapText="0"/>
    </xf>
    <xf borderId="1" fillId="2" fontId="26" numFmtId="0" xfId="0" applyAlignment="1" applyBorder="1" applyFill="1" applyFont="1">
      <alignment shrinkToFit="0" vertical="top" wrapText="1"/>
    </xf>
    <xf borderId="1" fillId="0" fontId="9" numFmtId="0" xfId="0" applyAlignment="1" applyBorder="1" applyFont="1">
      <alignment shrinkToFit="0" vertical="top" wrapText="1"/>
    </xf>
    <xf borderId="1" fillId="9" fontId="9" numFmtId="0" xfId="0" applyAlignment="1" applyBorder="1" applyFill="1" applyFont="1">
      <alignment shrinkToFit="0" vertical="top" wrapText="1"/>
    </xf>
    <xf borderId="1" fillId="4" fontId="9" numFmtId="0" xfId="0" applyAlignment="1" applyBorder="1" applyFill="1" applyFont="1">
      <alignment shrinkToFit="0" vertical="top" wrapText="1"/>
    </xf>
    <xf borderId="1" fillId="10" fontId="9" numFmtId="0" xfId="0" applyAlignment="1" applyBorder="1" applyFill="1" applyFont="1">
      <alignment shrinkToFit="0" vertical="top" wrapText="1"/>
    </xf>
    <xf borderId="1" fillId="3" fontId="9" numFmtId="0" xfId="0" applyAlignment="1" applyBorder="1" applyFill="1" applyFont="1">
      <alignment shrinkToFit="0" vertical="top" wrapText="1"/>
    </xf>
  </cellXfs>
  <cellStyles count="1">
    <cellStyle xfId="0" name="Normal" builtinId="0"/>
  </cellStyles>
  <dxfs count="8">
    <dxf>
      <font/>
      <fill>
        <patternFill patternType="solid">
          <fgColor rgb="FFF4B6B6"/>
          <bgColor rgb="FFF4B6B6"/>
        </patternFill>
      </fill>
      <border/>
    </dxf>
    <dxf>
      <font/>
      <fill>
        <patternFill patternType="solid">
          <fgColor rgb="FFF8CBAD"/>
          <bgColor rgb="FFF8CBAD"/>
        </patternFill>
      </fill>
      <border/>
    </dxf>
    <dxf>
      <font/>
      <fill>
        <patternFill patternType="solid">
          <fgColor rgb="FFFFE699"/>
          <bgColor rgb="FFFFE699"/>
        </patternFill>
      </fill>
      <border/>
    </dxf>
    <dxf>
      <font/>
      <fill>
        <patternFill patternType="solid">
          <fgColor rgb="FFC6EFCE"/>
          <bgColor rgb="FFC6EFCE"/>
        </patternFill>
      </fill>
      <border/>
    </dxf>
    <dxf>
      <font/>
      <fill>
        <patternFill patternType="solid">
          <fgColor rgb="FF9BC2E6"/>
          <bgColor rgb="FF9BC2E6"/>
        </patternFill>
      </fill>
      <border/>
    </dxf>
    <dxf>
      <font>
        <b/>
        <color rgb="FF9C0006"/>
        <name val="Arial"/>
      </font>
      <fill>
        <patternFill patternType="solid">
          <fgColor rgb="FFF4B6B6"/>
          <bgColor rgb="FFF4B6B6"/>
        </patternFill>
      </fill>
      <border/>
    </dxf>
    <dxf>
      <font>
        <b/>
        <color rgb="FFC00000"/>
        <name val="Arial"/>
      </font>
      <fill>
        <patternFill patternType="none"/>
      </fill>
      <border/>
    </dxf>
    <dxf>
      <font>
        <b/>
        <color rgb="FF00703C"/>
        <name val="Arial"/>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Domain Maturity Index (0-4)</a:t>
            </a:r>
          </a:p>
        </c:rich>
      </c:tx>
      <c:overlay val="0"/>
    </c:title>
    <c:plotArea>
      <c:layout/>
      <c:barChart>
        <c:barDir val="bar"/>
        <c:varyColors val="0"/>
        <c:ser>
          <c:idx val="0"/>
          <c:order val="0"/>
          <c:tx>
            <c:v>Maturity Index (0-4)</c:v>
          </c:tx>
          <c:spPr>
            <a:solidFill>
              <a:srgbClr val="4F81BD"/>
            </a:solidFill>
            <a:ln cmpd="sng">
              <a:noFill/>
            </a:ln>
          </c:spPr>
          <c:invertIfNegative val="0"/>
          <c:cat>
            <c:strRef>
              <c:f>Dashboard!$B$6:$B$22</c:f>
            </c:strRef>
          </c:cat>
          <c:val>
            <c:numRef>
              <c:f>Dashboard!$F$6:$F$22</c:f>
              <c:numCache/>
            </c:numRef>
          </c:val>
        </c:ser>
        <c:axId val="1462765815"/>
        <c:axId val="2017843511"/>
      </c:barChart>
      <c:catAx>
        <c:axId val="1462765815"/>
        <c:scaling>
          <c:orientation val="maxMin"/>
        </c:scaling>
        <c:delete val="0"/>
        <c:axPos val="l"/>
        <c:title>
          <c:tx>
            <c:rich>
              <a:bodyPr/>
              <a:lstStyle/>
              <a:p>
                <a:pPr lvl="0">
                  <a:defRPr b="0" i="0" sz="1000">
                    <a:solidFill>
                      <a:srgbClr val="000000"/>
                    </a:solidFill>
                    <a:latin typeface="Calibri"/>
                  </a:defRPr>
                </a:pPr>
                <a:r>
                  <a:rPr b="0" i="0" sz="1000">
                    <a:solidFill>
                      <a:srgbClr val="000000"/>
                    </a:solidFill>
                    <a:latin typeface="Calibri"/>
                  </a:rPr>
                  <a:t>None</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2017843511"/>
      </c:catAx>
      <c:valAx>
        <c:axId val="20178435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i="0" sz="1000">
                <a:solidFill>
                  <a:srgbClr val="000000"/>
                </a:solidFill>
                <a:latin typeface="Calibri"/>
              </a:defRPr>
            </a:pPr>
          </a:p>
        </c:txPr>
        <c:crossAx val="1462765815"/>
        <c:crosses val="max"/>
      </c:valAx>
    </c:plotArea>
    <c:plotVisOnly val="1"/>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28</xdr:row>
      <xdr:rowOff>9525</xdr:rowOff>
    </xdr:from>
    <xdr:ext cx="5810250" cy="4152900"/>
    <xdr:graphicFrame>
      <xdr:nvGraphicFramePr>
        <xdr:cNvPr id="446158499"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2.0"/>
    <col customWidth="1" min="3" max="6" width="30.0"/>
    <col customWidth="1" min="7" max="26" width="8.71"/>
  </cols>
  <sheetData>
    <row r="1" ht="15.0" customHeight="1">
      <c r="A1" s="1"/>
      <c r="B1" s="1"/>
      <c r="C1" s="1"/>
      <c r="D1" s="1"/>
      <c r="E1" s="1"/>
      <c r="F1" s="1"/>
      <c r="G1" s="1"/>
      <c r="H1" s="1"/>
      <c r="I1" s="1"/>
      <c r="J1" s="1"/>
      <c r="K1" s="1"/>
      <c r="L1" s="1"/>
      <c r="M1" s="1"/>
      <c r="N1" s="1"/>
      <c r="O1" s="1"/>
      <c r="P1" s="1"/>
      <c r="Q1" s="1"/>
      <c r="R1" s="1"/>
      <c r="S1" s="1"/>
      <c r="T1" s="1"/>
      <c r="U1" s="1"/>
      <c r="V1" s="1"/>
      <c r="W1" s="1"/>
      <c r="X1" s="1"/>
      <c r="Y1" s="1"/>
      <c r="Z1" s="1"/>
    </row>
    <row r="2" ht="15.0" customHeight="1">
      <c r="A2" s="1"/>
      <c r="B2" s="2" t="s">
        <v>0</v>
      </c>
      <c r="C2" s="1"/>
      <c r="D2" s="1"/>
      <c r="E2" s="1"/>
      <c r="F2" s="1"/>
      <c r="G2" s="1"/>
      <c r="H2" s="1"/>
      <c r="I2" s="1"/>
      <c r="J2" s="1"/>
      <c r="K2" s="1"/>
      <c r="L2" s="1"/>
      <c r="M2" s="1"/>
      <c r="N2" s="1"/>
      <c r="O2" s="1"/>
      <c r="P2" s="1"/>
      <c r="Q2" s="1"/>
      <c r="R2" s="1"/>
      <c r="S2" s="1"/>
      <c r="T2" s="1"/>
      <c r="U2" s="1"/>
      <c r="V2" s="1"/>
      <c r="W2" s="1"/>
      <c r="X2" s="1"/>
      <c r="Y2" s="1"/>
      <c r="Z2" s="1"/>
    </row>
    <row r="3" ht="18.0" customHeight="1">
      <c r="A3" s="1"/>
      <c r="B3" s="3" t="s">
        <v>1</v>
      </c>
      <c r="C3" s="1"/>
      <c r="D3" s="1"/>
      <c r="E3" s="1"/>
      <c r="F3" s="1"/>
      <c r="G3" s="1"/>
      <c r="H3" s="1"/>
      <c r="I3" s="1"/>
      <c r="J3" s="1"/>
      <c r="K3" s="1"/>
      <c r="L3" s="1"/>
      <c r="M3" s="1"/>
      <c r="N3" s="1"/>
      <c r="O3" s="1"/>
      <c r="P3" s="1"/>
      <c r="Q3" s="1"/>
      <c r="R3" s="1"/>
      <c r="S3" s="1"/>
      <c r="T3" s="1"/>
      <c r="U3" s="1"/>
      <c r="V3" s="1"/>
      <c r="W3" s="1"/>
      <c r="X3" s="1"/>
      <c r="Y3" s="1"/>
      <c r="Z3" s="1"/>
    </row>
    <row r="4" ht="15.0" customHeight="1">
      <c r="A4" s="1"/>
      <c r="B4" s="4" t="s">
        <v>2</v>
      </c>
      <c r="C4" s="1"/>
      <c r="D4" s="1"/>
      <c r="E4" s="1"/>
      <c r="F4" s="1"/>
      <c r="G4" s="1"/>
      <c r="H4" s="1"/>
      <c r="I4" s="1"/>
      <c r="J4" s="1"/>
      <c r="K4" s="1"/>
      <c r="L4" s="1"/>
      <c r="M4" s="1"/>
      <c r="N4" s="1"/>
      <c r="O4" s="1"/>
      <c r="P4" s="1"/>
      <c r="Q4" s="1"/>
      <c r="R4" s="1"/>
      <c r="S4" s="1"/>
      <c r="T4" s="1"/>
      <c r="U4" s="1"/>
      <c r="V4" s="1"/>
      <c r="W4" s="1"/>
      <c r="X4" s="1"/>
      <c r="Y4" s="1"/>
      <c r="Z4" s="1"/>
    </row>
    <row r="5" ht="15.0" customHeight="1">
      <c r="A5" s="1"/>
      <c r="B5" s="1"/>
      <c r="C5" s="1"/>
      <c r="D5" s="1"/>
      <c r="E5" s="1"/>
      <c r="F5" s="1"/>
      <c r="G5" s="1"/>
      <c r="H5" s="1"/>
      <c r="I5" s="1"/>
      <c r="J5" s="1"/>
      <c r="K5" s="1"/>
      <c r="L5" s="1"/>
      <c r="M5" s="1"/>
      <c r="N5" s="1"/>
      <c r="O5" s="1"/>
      <c r="P5" s="1"/>
      <c r="Q5" s="1"/>
      <c r="R5" s="1"/>
      <c r="S5" s="1"/>
      <c r="T5" s="1"/>
      <c r="U5" s="1"/>
      <c r="V5" s="1"/>
      <c r="W5" s="1"/>
      <c r="X5" s="1"/>
      <c r="Y5" s="1"/>
      <c r="Z5" s="1"/>
    </row>
    <row r="6" ht="15.0" customHeight="1">
      <c r="A6" s="1"/>
      <c r="B6" s="5" t="s">
        <v>3</v>
      </c>
      <c r="C6" s="1"/>
      <c r="D6" s="1"/>
      <c r="E6" s="1"/>
      <c r="F6" s="1"/>
      <c r="G6" s="1"/>
      <c r="H6" s="1"/>
      <c r="I6" s="1"/>
      <c r="J6" s="1"/>
      <c r="K6" s="1"/>
      <c r="L6" s="1"/>
      <c r="M6" s="1"/>
      <c r="N6" s="1"/>
      <c r="O6" s="1"/>
      <c r="P6" s="1"/>
      <c r="Q6" s="1"/>
      <c r="R6" s="1"/>
      <c r="S6" s="1"/>
      <c r="T6" s="1"/>
      <c r="U6" s="1"/>
      <c r="V6" s="1"/>
      <c r="W6" s="1"/>
      <c r="X6" s="1"/>
      <c r="Y6" s="1"/>
      <c r="Z6" s="1"/>
    </row>
    <row r="7" ht="14.25" customHeight="1">
      <c r="A7" s="1"/>
      <c r="B7" s="6" t="s">
        <v>4</v>
      </c>
      <c r="G7" s="1"/>
      <c r="H7" s="1"/>
      <c r="I7" s="1"/>
      <c r="J7" s="1"/>
      <c r="K7" s="1"/>
      <c r="L7" s="1"/>
      <c r="M7" s="1"/>
      <c r="N7" s="1"/>
      <c r="O7" s="1"/>
      <c r="P7" s="1"/>
      <c r="Q7" s="1"/>
      <c r="R7" s="1"/>
      <c r="S7" s="1"/>
      <c r="T7" s="1"/>
      <c r="U7" s="1"/>
      <c r="V7" s="1"/>
      <c r="W7" s="1"/>
      <c r="X7" s="1"/>
      <c r="Y7" s="1"/>
      <c r="Z7" s="1"/>
    </row>
    <row r="8" ht="15.75" customHeight="1">
      <c r="A8" s="1"/>
      <c r="B8" s="6" t="s">
        <v>5</v>
      </c>
      <c r="G8" s="1"/>
      <c r="H8" s="1"/>
      <c r="I8" s="1"/>
      <c r="J8" s="1"/>
      <c r="K8" s="1"/>
      <c r="L8" s="1"/>
      <c r="M8" s="1"/>
      <c r="N8" s="1"/>
      <c r="O8" s="1"/>
      <c r="P8" s="1"/>
      <c r="Q8" s="1"/>
      <c r="R8" s="1"/>
      <c r="S8" s="1"/>
      <c r="T8" s="1"/>
      <c r="U8" s="1"/>
      <c r="V8" s="1"/>
      <c r="W8" s="1"/>
      <c r="X8" s="1"/>
      <c r="Y8" s="1"/>
      <c r="Z8" s="1"/>
    </row>
    <row r="9" ht="16.5" customHeight="1">
      <c r="A9" s="1"/>
      <c r="B9" s="6" t="s">
        <v>6</v>
      </c>
      <c r="G9" s="1"/>
      <c r="H9" s="1"/>
      <c r="I9" s="1"/>
      <c r="J9" s="1"/>
      <c r="K9" s="1"/>
      <c r="L9" s="1"/>
      <c r="M9" s="1"/>
      <c r="N9" s="1"/>
      <c r="O9" s="1"/>
      <c r="P9" s="1"/>
      <c r="Q9" s="1"/>
      <c r="R9" s="1"/>
      <c r="S9" s="1"/>
      <c r="T9" s="1"/>
      <c r="U9" s="1"/>
      <c r="V9" s="1"/>
      <c r="W9" s="1"/>
      <c r="X9" s="1"/>
      <c r="Y9" s="1"/>
      <c r="Z9" s="1"/>
    </row>
    <row r="10" ht="16.5" customHeight="1">
      <c r="A10" s="1"/>
      <c r="B10" s="6" t="s">
        <v>7</v>
      </c>
      <c r="G10" s="1"/>
      <c r="H10" s="1"/>
      <c r="I10" s="1"/>
      <c r="J10" s="1"/>
      <c r="K10" s="1"/>
      <c r="L10" s="1"/>
      <c r="M10" s="1"/>
      <c r="N10" s="1"/>
      <c r="O10" s="1"/>
      <c r="P10" s="1"/>
      <c r="Q10" s="1"/>
      <c r="R10" s="1"/>
      <c r="S10" s="1"/>
      <c r="T10" s="1"/>
      <c r="U10" s="1"/>
      <c r="V10" s="1"/>
      <c r="W10" s="1"/>
      <c r="X10" s="1"/>
      <c r="Y10" s="1"/>
      <c r="Z10" s="1"/>
    </row>
    <row r="11" ht="12.75" customHeight="1">
      <c r="A11" s="1"/>
      <c r="B11" s="6" t="s">
        <v>8</v>
      </c>
      <c r="G11" s="1"/>
      <c r="H11" s="1"/>
      <c r="I11" s="1"/>
      <c r="J11" s="1"/>
      <c r="K11" s="1"/>
      <c r="L11" s="1"/>
      <c r="M11" s="1"/>
      <c r="N11" s="1"/>
      <c r="O11" s="1"/>
      <c r="P11" s="1"/>
      <c r="Q11" s="1"/>
      <c r="R11" s="1"/>
      <c r="S11" s="1"/>
      <c r="T11" s="1"/>
      <c r="U11" s="1"/>
      <c r="V11" s="1"/>
      <c r="W11" s="1"/>
      <c r="X11" s="1"/>
      <c r="Y11" s="1"/>
      <c r="Z11" s="1"/>
    </row>
    <row r="12" ht="15.75" customHeight="1">
      <c r="A12" s="1"/>
      <c r="B12" s="6" t="s">
        <v>9</v>
      </c>
      <c r="G12" s="1"/>
      <c r="H12" s="1"/>
      <c r="I12" s="1"/>
      <c r="J12" s="1"/>
      <c r="K12" s="1"/>
      <c r="L12" s="1"/>
      <c r="M12" s="1"/>
      <c r="N12" s="1"/>
      <c r="O12" s="1"/>
      <c r="P12" s="1"/>
      <c r="Q12" s="1"/>
      <c r="R12" s="1"/>
      <c r="S12" s="1"/>
      <c r="T12" s="1"/>
      <c r="U12" s="1"/>
      <c r="V12" s="1"/>
      <c r="W12" s="1"/>
      <c r="X12" s="1"/>
      <c r="Y12" s="1"/>
      <c r="Z12" s="1"/>
    </row>
    <row r="13" ht="15.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0" customHeight="1">
      <c r="A14" s="1"/>
      <c r="B14" s="5" t="s">
        <v>10</v>
      </c>
      <c r="C14" s="1"/>
      <c r="D14" s="1"/>
      <c r="E14" s="1"/>
      <c r="F14" s="1"/>
      <c r="G14" s="1"/>
      <c r="H14" s="1"/>
      <c r="I14" s="1"/>
      <c r="J14" s="1"/>
      <c r="K14" s="1"/>
      <c r="L14" s="1"/>
      <c r="M14" s="1"/>
      <c r="N14" s="1"/>
      <c r="O14" s="1"/>
      <c r="P14" s="1"/>
      <c r="Q14" s="1"/>
      <c r="R14" s="1"/>
      <c r="S14" s="1"/>
      <c r="T14" s="1"/>
      <c r="U14" s="1"/>
      <c r="V14" s="1"/>
      <c r="W14" s="1"/>
      <c r="X14" s="1"/>
      <c r="Y14" s="1"/>
      <c r="Z14" s="1"/>
    </row>
    <row r="15" ht="15.0" customHeight="1">
      <c r="A15" s="1"/>
      <c r="B15" s="7" t="s">
        <v>11</v>
      </c>
      <c r="C15" s="7" t="s">
        <v>12</v>
      </c>
      <c r="D15" s="7" t="s">
        <v>13</v>
      </c>
      <c r="E15" s="7" t="s">
        <v>14</v>
      </c>
      <c r="F15" s="1"/>
      <c r="G15" s="1"/>
      <c r="H15" s="1"/>
      <c r="I15" s="1"/>
      <c r="J15" s="1"/>
      <c r="K15" s="1"/>
      <c r="L15" s="1"/>
      <c r="M15" s="1"/>
      <c r="N15" s="1"/>
      <c r="O15" s="1"/>
      <c r="P15" s="1"/>
      <c r="Q15" s="1"/>
      <c r="R15" s="1"/>
      <c r="S15" s="1"/>
      <c r="T15" s="1"/>
      <c r="U15" s="1"/>
      <c r="V15" s="1"/>
      <c r="W15" s="1"/>
      <c r="X15" s="1"/>
      <c r="Y15" s="1"/>
      <c r="Z15" s="1"/>
    </row>
    <row r="16" ht="30.0" customHeight="1">
      <c r="A16" s="1"/>
      <c r="B16" s="8" t="s">
        <v>15</v>
      </c>
      <c r="C16" s="9" t="s">
        <v>16</v>
      </c>
      <c r="D16" s="10" t="s">
        <v>17</v>
      </c>
      <c r="E16" s="10" t="s">
        <v>18</v>
      </c>
      <c r="F16" s="1"/>
      <c r="G16" s="1"/>
      <c r="H16" s="1"/>
      <c r="I16" s="1"/>
      <c r="J16" s="1"/>
      <c r="K16" s="1"/>
      <c r="L16" s="1"/>
      <c r="M16" s="1"/>
      <c r="N16" s="1"/>
      <c r="O16" s="1"/>
      <c r="P16" s="1"/>
      <c r="Q16" s="1"/>
      <c r="R16" s="1"/>
      <c r="S16" s="1"/>
      <c r="T16" s="1"/>
      <c r="U16" s="1"/>
      <c r="V16" s="1"/>
      <c r="W16" s="1"/>
      <c r="X16" s="1"/>
      <c r="Y16" s="1"/>
      <c r="Z16" s="1"/>
    </row>
    <row r="17" ht="30.0" customHeight="1">
      <c r="A17" s="1"/>
      <c r="B17" s="8" t="s">
        <v>19</v>
      </c>
      <c r="C17" s="9" t="s">
        <v>20</v>
      </c>
      <c r="D17" s="10" t="s">
        <v>21</v>
      </c>
      <c r="E17" s="10" t="s">
        <v>22</v>
      </c>
      <c r="F17" s="1"/>
      <c r="G17" s="1"/>
      <c r="H17" s="1"/>
      <c r="I17" s="1"/>
      <c r="J17" s="1"/>
      <c r="K17" s="1"/>
      <c r="L17" s="1"/>
      <c r="M17" s="1"/>
      <c r="N17" s="1"/>
      <c r="O17" s="1"/>
      <c r="P17" s="1"/>
      <c r="Q17" s="1"/>
      <c r="R17" s="1"/>
      <c r="S17" s="1"/>
      <c r="T17" s="1"/>
      <c r="U17" s="1"/>
      <c r="V17" s="1"/>
      <c r="W17" s="1"/>
      <c r="X17" s="1"/>
      <c r="Y17" s="1"/>
      <c r="Z17" s="1"/>
    </row>
    <row r="18" ht="30.0" customHeight="1">
      <c r="A18" s="1"/>
      <c r="B18" s="8" t="s">
        <v>23</v>
      </c>
      <c r="C18" s="9" t="s">
        <v>24</v>
      </c>
      <c r="D18" s="10" t="s">
        <v>25</v>
      </c>
      <c r="E18" s="10" t="s">
        <v>26</v>
      </c>
      <c r="F18" s="1"/>
      <c r="G18" s="1"/>
      <c r="H18" s="1"/>
      <c r="I18" s="1"/>
      <c r="J18" s="1"/>
      <c r="K18" s="1"/>
      <c r="L18" s="1"/>
      <c r="M18" s="1"/>
      <c r="N18" s="1"/>
      <c r="O18" s="1"/>
      <c r="P18" s="1"/>
      <c r="Q18" s="1"/>
      <c r="R18" s="1"/>
      <c r="S18" s="1"/>
      <c r="T18" s="1"/>
      <c r="U18" s="1"/>
      <c r="V18" s="1"/>
      <c r="W18" s="1"/>
      <c r="X18" s="1"/>
      <c r="Y18" s="1"/>
      <c r="Z18" s="1"/>
    </row>
    <row r="19" ht="30.0" customHeight="1">
      <c r="A19" s="1"/>
      <c r="B19" s="8" t="s">
        <v>27</v>
      </c>
      <c r="C19" s="9" t="s">
        <v>28</v>
      </c>
      <c r="D19" s="10" t="s">
        <v>29</v>
      </c>
      <c r="E19" s="10" t="s">
        <v>30</v>
      </c>
      <c r="F19" s="1"/>
      <c r="G19" s="1"/>
      <c r="H19" s="1"/>
      <c r="I19" s="1"/>
      <c r="J19" s="1"/>
      <c r="K19" s="1"/>
      <c r="L19" s="1"/>
      <c r="M19" s="1"/>
      <c r="N19" s="1"/>
      <c r="O19" s="1"/>
      <c r="P19" s="1"/>
      <c r="Q19" s="1"/>
      <c r="R19" s="1"/>
      <c r="S19" s="1"/>
      <c r="T19" s="1"/>
      <c r="U19" s="1"/>
      <c r="V19" s="1"/>
      <c r="W19" s="1"/>
      <c r="X19" s="1"/>
      <c r="Y19" s="1"/>
      <c r="Z19" s="1"/>
    </row>
    <row r="20" ht="30.0" customHeight="1">
      <c r="A20" s="1"/>
      <c r="B20" s="8" t="s">
        <v>31</v>
      </c>
      <c r="C20" s="9" t="s">
        <v>32</v>
      </c>
      <c r="D20" s="10" t="s">
        <v>33</v>
      </c>
      <c r="E20" s="10" t="s">
        <v>34</v>
      </c>
      <c r="F20" s="1"/>
      <c r="G20" s="1"/>
      <c r="H20" s="1"/>
      <c r="I20" s="1"/>
      <c r="J20" s="1"/>
      <c r="K20" s="1"/>
      <c r="L20" s="1"/>
      <c r="M20" s="1"/>
      <c r="N20" s="1"/>
      <c r="O20" s="1"/>
      <c r="P20" s="1"/>
      <c r="Q20" s="1"/>
      <c r="R20" s="1"/>
      <c r="S20" s="1"/>
      <c r="T20" s="1"/>
      <c r="U20" s="1"/>
      <c r="V20" s="1"/>
      <c r="W20" s="1"/>
      <c r="X20" s="1"/>
      <c r="Y20" s="1"/>
      <c r="Z20" s="1"/>
    </row>
    <row r="21" ht="30.0" customHeight="1">
      <c r="A21" s="1"/>
      <c r="B21" s="8" t="s">
        <v>35</v>
      </c>
      <c r="C21" s="9" t="s">
        <v>36</v>
      </c>
      <c r="D21" s="10" t="s">
        <v>37</v>
      </c>
      <c r="E21" s="10" t="s">
        <v>38</v>
      </c>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5" t="s">
        <v>39</v>
      </c>
      <c r="C23" s="1"/>
      <c r="D23" s="1"/>
      <c r="E23" s="1"/>
      <c r="F23" s="1"/>
      <c r="G23" s="1"/>
      <c r="H23" s="1"/>
      <c r="I23" s="1"/>
      <c r="J23" s="1"/>
      <c r="K23" s="1"/>
      <c r="L23" s="1"/>
      <c r="M23" s="1"/>
      <c r="N23" s="1"/>
      <c r="O23" s="1"/>
      <c r="P23" s="1"/>
      <c r="Q23" s="1"/>
      <c r="R23" s="1"/>
      <c r="S23" s="1"/>
      <c r="T23" s="1"/>
      <c r="U23" s="1"/>
      <c r="V23" s="1"/>
      <c r="W23" s="1"/>
      <c r="X23" s="1"/>
      <c r="Y23" s="1"/>
      <c r="Z23" s="1"/>
    </row>
    <row r="24" ht="25.5" customHeight="1">
      <c r="A24" s="1"/>
      <c r="B24" s="9" t="s">
        <v>40</v>
      </c>
      <c r="C24" s="11" t="s">
        <v>41</v>
      </c>
      <c r="D24" s="12"/>
      <c r="E24" s="12"/>
      <c r="F24" s="12"/>
      <c r="G24" s="1"/>
      <c r="H24" s="1"/>
      <c r="I24" s="1"/>
      <c r="J24" s="1"/>
      <c r="K24" s="1"/>
      <c r="L24" s="1"/>
      <c r="M24" s="1"/>
      <c r="N24" s="1"/>
      <c r="O24" s="1"/>
      <c r="P24" s="1"/>
      <c r="Q24" s="1"/>
      <c r="R24" s="1"/>
      <c r="S24" s="1"/>
      <c r="T24" s="1"/>
      <c r="U24" s="1"/>
      <c r="V24" s="1"/>
      <c r="W24" s="1"/>
      <c r="X24" s="1"/>
      <c r="Y24" s="1"/>
      <c r="Z24" s="1"/>
    </row>
    <row r="25" ht="25.5" customHeight="1">
      <c r="A25" s="1"/>
      <c r="B25" s="9" t="s">
        <v>42</v>
      </c>
      <c r="C25" s="11" t="s">
        <v>43</v>
      </c>
      <c r="D25" s="12"/>
      <c r="E25" s="12"/>
      <c r="F25" s="12"/>
      <c r="G25" s="1"/>
      <c r="H25" s="1"/>
      <c r="I25" s="1"/>
      <c r="J25" s="1"/>
      <c r="K25" s="1"/>
      <c r="L25" s="1"/>
      <c r="M25" s="1"/>
      <c r="N25" s="1"/>
      <c r="O25" s="1"/>
      <c r="P25" s="1"/>
      <c r="Q25" s="1"/>
      <c r="R25" s="1"/>
      <c r="S25" s="1"/>
      <c r="T25" s="1"/>
      <c r="U25" s="1"/>
      <c r="V25" s="1"/>
      <c r="W25" s="1"/>
      <c r="X25" s="1"/>
      <c r="Y25" s="1"/>
      <c r="Z25" s="1"/>
    </row>
    <row r="26" ht="25.5" customHeight="1">
      <c r="A26" s="1"/>
      <c r="B26" s="9" t="s">
        <v>44</v>
      </c>
      <c r="C26" s="11" t="s">
        <v>45</v>
      </c>
      <c r="D26" s="12"/>
      <c r="E26" s="12"/>
      <c r="F26" s="12"/>
      <c r="G26" s="1"/>
      <c r="H26" s="1"/>
      <c r="I26" s="1"/>
      <c r="J26" s="1"/>
      <c r="K26" s="1"/>
      <c r="L26" s="1"/>
      <c r="M26" s="1"/>
      <c r="N26" s="1"/>
      <c r="O26" s="1"/>
      <c r="P26" s="1"/>
      <c r="Q26" s="1"/>
      <c r="R26" s="1"/>
      <c r="S26" s="1"/>
      <c r="T26" s="1"/>
      <c r="U26" s="1"/>
      <c r="V26" s="1"/>
      <c r="W26" s="1"/>
      <c r="X26" s="1"/>
      <c r="Y26" s="1"/>
      <c r="Z26" s="1"/>
    </row>
    <row r="27" ht="25.5" customHeight="1">
      <c r="A27" s="1"/>
      <c r="B27" s="9" t="s">
        <v>46</v>
      </c>
      <c r="C27" s="11" t="s">
        <v>47</v>
      </c>
      <c r="D27" s="12"/>
      <c r="E27" s="12"/>
      <c r="F27" s="12"/>
      <c r="G27" s="1"/>
      <c r="H27" s="1"/>
      <c r="I27" s="1"/>
      <c r="J27" s="1"/>
      <c r="K27" s="1"/>
      <c r="L27" s="1"/>
      <c r="M27" s="1"/>
      <c r="N27" s="1"/>
      <c r="O27" s="1"/>
      <c r="P27" s="1"/>
      <c r="Q27" s="1"/>
      <c r="R27" s="1"/>
      <c r="S27" s="1"/>
      <c r="T27" s="1"/>
      <c r="U27" s="1"/>
      <c r="V27" s="1"/>
      <c r="W27" s="1"/>
      <c r="X27" s="1"/>
      <c r="Y27" s="1"/>
      <c r="Z27" s="1"/>
    </row>
    <row r="28" ht="25.5" customHeight="1">
      <c r="A28" s="1"/>
      <c r="B28" s="9" t="s">
        <v>48</v>
      </c>
      <c r="C28" s="11" t="s">
        <v>49</v>
      </c>
      <c r="D28" s="12"/>
      <c r="E28" s="12"/>
      <c r="F28" s="12"/>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5" t="s">
        <v>50</v>
      </c>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3" t="s">
        <v>51</v>
      </c>
      <c r="C31" s="10" t="s">
        <v>52</v>
      </c>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4" t="s">
        <v>53</v>
      </c>
      <c r="C32" s="10" t="s">
        <v>54</v>
      </c>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5" t="s">
        <v>55</v>
      </c>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5" t="s">
        <v>56</v>
      </c>
      <c r="C35" s="15" t="s">
        <v>11</v>
      </c>
      <c r="D35" s="15" t="s">
        <v>57</v>
      </c>
      <c r="E35" s="15" t="s">
        <v>58</v>
      </c>
      <c r="F35" s="15" t="s">
        <v>59</v>
      </c>
      <c r="G35" s="1"/>
      <c r="H35" s="1"/>
      <c r="I35" s="1"/>
      <c r="J35" s="1"/>
      <c r="K35" s="1"/>
      <c r="L35" s="1"/>
      <c r="M35" s="1"/>
      <c r="N35" s="1"/>
      <c r="O35" s="1"/>
      <c r="P35" s="1"/>
      <c r="Q35" s="1"/>
      <c r="R35" s="1"/>
      <c r="S35" s="1"/>
      <c r="T35" s="1"/>
      <c r="U35" s="1"/>
      <c r="V35" s="1"/>
      <c r="W35" s="1"/>
      <c r="X35" s="1"/>
      <c r="Y35" s="1"/>
      <c r="Z35" s="1"/>
    </row>
    <row r="36" ht="33.0" customHeight="1">
      <c r="A36" s="1"/>
      <c r="B36" s="16" t="s">
        <v>60</v>
      </c>
      <c r="C36" s="17" t="s">
        <v>23</v>
      </c>
      <c r="D36" s="16" t="s">
        <v>61</v>
      </c>
      <c r="E36" s="16" t="s">
        <v>62</v>
      </c>
      <c r="F36" s="16" t="s">
        <v>63</v>
      </c>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5" t="s">
        <v>64</v>
      </c>
      <c r="C39" s="1"/>
      <c r="D39" s="1"/>
      <c r="E39" s="1"/>
      <c r="F39" s="1"/>
      <c r="G39" s="1"/>
      <c r="H39" s="1"/>
      <c r="I39" s="1"/>
      <c r="J39" s="1"/>
      <c r="K39" s="1"/>
      <c r="L39" s="1"/>
      <c r="M39" s="1"/>
      <c r="N39" s="1"/>
      <c r="O39" s="1"/>
      <c r="P39" s="1"/>
      <c r="Q39" s="1"/>
      <c r="R39" s="1"/>
      <c r="S39" s="1"/>
      <c r="T39" s="1"/>
      <c r="U39" s="1"/>
      <c r="V39" s="1"/>
      <c r="W39" s="1"/>
      <c r="X39" s="1"/>
      <c r="Y39" s="1"/>
      <c r="Z39" s="1"/>
    </row>
    <row r="40" ht="39.75" customHeight="1">
      <c r="A40" s="1"/>
      <c r="B40" s="13" t="s">
        <v>65</v>
      </c>
      <c r="C40" s="11" t="s">
        <v>66</v>
      </c>
      <c r="D40" s="12"/>
      <c r="E40" s="12"/>
      <c r="F40" s="18"/>
      <c r="G40" s="1"/>
      <c r="H40" s="1"/>
      <c r="I40" s="1"/>
      <c r="J40" s="1"/>
      <c r="K40" s="1"/>
      <c r="L40" s="1"/>
      <c r="M40" s="1"/>
      <c r="N40" s="1"/>
      <c r="O40" s="1"/>
      <c r="P40" s="1"/>
      <c r="Q40" s="1"/>
      <c r="R40" s="1"/>
      <c r="S40" s="1"/>
      <c r="T40" s="1"/>
      <c r="U40" s="1"/>
      <c r="V40" s="1"/>
      <c r="W40" s="1"/>
      <c r="X40" s="1"/>
      <c r="Y40" s="1"/>
      <c r="Z40" s="1"/>
    </row>
    <row r="41" ht="39.75" customHeight="1">
      <c r="A41" s="1"/>
      <c r="B41" s="13" t="s">
        <v>67</v>
      </c>
      <c r="C41" s="11" t="s">
        <v>68</v>
      </c>
      <c r="D41" s="12"/>
      <c r="E41" s="12"/>
      <c r="F41" s="18"/>
      <c r="G41" s="1"/>
      <c r="H41" s="1"/>
      <c r="I41" s="1"/>
      <c r="J41" s="1"/>
      <c r="K41" s="1"/>
      <c r="L41" s="1"/>
      <c r="M41" s="1"/>
      <c r="N41" s="1"/>
      <c r="O41" s="1"/>
      <c r="P41" s="1"/>
      <c r="Q41" s="1"/>
      <c r="R41" s="1"/>
      <c r="S41" s="1"/>
      <c r="T41" s="1"/>
      <c r="U41" s="1"/>
      <c r="V41" s="1"/>
      <c r="W41" s="1"/>
      <c r="X41" s="1"/>
      <c r="Y41" s="1"/>
      <c r="Z41" s="1"/>
    </row>
    <row r="42" ht="39.75" customHeight="1">
      <c r="A42" s="1"/>
      <c r="B42" s="13" t="s">
        <v>69</v>
      </c>
      <c r="C42" s="11" t="s">
        <v>70</v>
      </c>
      <c r="D42" s="12"/>
      <c r="E42" s="12"/>
      <c r="F42" s="18"/>
      <c r="G42" s="1"/>
      <c r="H42" s="1"/>
      <c r="I42" s="1"/>
      <c r="J42" s="1"/>
      <c r="K42" s="1"/>
      <c r="L42" s="1"/>
      <c r="M42" s="1"/>
      <c r="N42" s="1"/>
      <c r="O42" s="1"/>
      <c r="P42" s="1"/>
      <c r="Q42" s="1"/>
      <c r="R42" s="1"/>
      <c r="S42" s="1"/>
      <c r="T42" s="1"/>
      <c r="U42" s="1"/>
      <c r="V42" s="1"/>
      <c r="W42" s="1"/>
      <c r="X42" s="1"/>
      <c r="Y42" s="1"/>
      <c r="Z42" s="1"/>
    </row>
    <row r="43" ht="39.75" customHeight="1">
      <c r="A43" s="1"/>
      <c r="B43" s="13" t="s">
        <v>71</v>
      </c>
      <c r="C43" s="11" t="s">
        <v>72</v>
      </c>
      <c r="D43" s="12"/>
      <c r="E43" s="12"/>
      <c r="F43" s="18"/>
      <c r="G43" s="1"/>
      <c r="H43" s="1"/>
      <c r="I43" s="1"/>
      <c r="J43" s="1"/>
      <c r="K43" s="1"/>
      <c r="L43" s="1"/>
      <c r="M43" s="1"/>
      <c r="N43" s="1"/>
      <c r="O43" s="1"/>
      <c r="P43" s="1"/>
      <c r="Q43" s="1"/>
      <c r="R43" s="1"/>
      <c r="S43" s="1"/>
      <c r="T43" s="1"/>
      <c r="U43" s="1"/>
      <c r="V43" s="1"/>
      <c r="W43" s="1"/>
      <c r="X43" s="1"/>
      <c r="Y43" s="1"/>
      <c r="Z43" s="1"/>
    </row>
    <row r="44" ht="39.75" customHeight="1">
      <c r="A44" s="1"/>
      <c r="B44" s="13" t="s">
        <v>73</v>
      </c>
      <c r="C44" s="11" t="s">
        <v>74</v>
      </c>
      <c r="D44" s="12"/>
      <c r="E44" s="12"/>
      <c r="F44" s="18"/>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16">
    <mergeCell ref="B7:F7"/>
    <mergeCell ref="B8:F8"/>
    <mergeCell ref="B9:F9"/>
    <mergeCell ref="B10:F10"/>
    <mergeCell ref="B11:F11"/>
    <mergeCell ref="B12:F12"/>
    <mergeCell ref="C24:F24"/>
    <mergeCell ref="C43:F43"/>
    <mergeCell ref="C44:F44"/>
    <mergeCell ref="C25:F25"/>
    <mergeCell ref="C26:F26"/>
    <mergeCell ref="C27:F27"/>
    <mergeCell ref="C28:F28"/>
    <mergeCell ref="C40:F40"/>
    <mergeCell ref="C41:F41"/>
    <mergeCell ref="C42:F4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7.0"/>
    <col customWidth="1" min="3" max="3" width="44.0"/>
    <col customWidth="1" min="4" max="5" width="11.0"/>
    <col customWidth="1" min="6" max="6" width="13.0"/>
    <col customWidth="1" min="7" max="7" width="16.0"/>
    <col customWidth="1" min="8" max="8" width="14.0"/>
    <col customWidth="1" min="9" max="9" width="15.29"/>
    <col customWidth="1" min="10" max="10" width="12.0"/>
    <col customWidth="1" min="11" max="26" width="8.71"/>
  </cols>
  <sheetData>
    <row r="1" ht="15.0" customHeight="1">
      <c r="A1" s="1"/>
      <c r="B1" s="1"/>
      <c r="C1" s="1"/>
      <c r="D1" s="1"/>
      <c r="E1" s="1"/>
      <c r="F1" s="1"/>
      <c r="G1" s="1"/>
      <c r="H1" s="1"/>
      <c r="I1" s="1"/>
      <c r="J1" s="1"/>
      <c r="K1" s="1"/>
      <c r="L1" s="1"/>
      <c r="M1" s="1"/>
      <c r="N1" s="1"/>
      <c r="O1" s="1"/>
      <c r="P1" s="1"/>
      <c r="Q1" s="1"/>
      <c r="R1" s="1"/>
      <c r="S1" s="1"/>
      <c r="T1" s="1"/>
      <c r="U1" s="1"/>
      <c r="V1" s="1"/>
      <c r="W1" s="1"/>
      <c r="X1" s="1"/>
      <c r="Y1" s="1"/>
      <c r="Z1" s="1"/>
    </row>
    <row r="2" ht="17.25" customHeight="1">
      <c r="A2" s="1"/>
      <c r="B2" s="20" t="s">
        <v>75</v>
      </c>
      <c r="C2" s="1"/>
      <c r="D2" s="1"/>
      <c r="E2" s="1"/>
      <c r="F2" s="1"/>
      <c r="G2" s="1"/>
      <c r="H2" s="1"/>
      <c r="I2" s="1"/>
      <c r="J2" s="1"/>
      <c r="K2" s="1"/>
      <c r="L2" s="1"/>
      <c r="M2" s="1"/>
      <c r="N2" s="1"/>
      <c r="O2" s="1"/>
      <c r="P2" s="1"/>
      <c r="Q2" s="1"/>
      <c r="R2" s="1"/>
      <c r="S2" s="1"/>
      <c r="T2" s="1"/>
      <c r="U2" s="1"/>
      <c r="V2" s="1"/>
      <c r="W2" s="1"/>
      <c r="X2" s="1"/>
      <c r="Y2" s="1"/>
      <c r="Z2" s="1"/>
    </row>
    <row r="3" ht="15.0" customHeight="1">
      <c r="A3" s="1"/>
      <c r="B3" s="4" t="s">
        <v>76</v>
      </c>
      <c r="C3" s="1"/>
      <c r="D3" s="1"/>
      <c r="E3" s="1"/>
      <c r="F3" s="1"/>
      <c r="G3" s="1"/>
      <c r="H3" s="1"/>
      <c r="I3" s="1"/>
      <c r="J3" s="1"/>
      <c r="K3" s="1"/>
      <c r="L3" s="1"/>
      <c r="M3" s="1"/>
      <c r="N3" s="1"/>
      <c r="O3" s="1"/>
      <c r="P3" s="1"/>
      <c r="Q3" s="1"/>
      <c r="R3" s="1"/>
      <c r="S3" s="1"/>
      <c r="T3" s="1"/>
      <c r="U3" s="1"/>
      <c r="V3" s="1"/>
      <c r="W3" s="1"/>
      <c r="X3" s="1"/>
      <c r="Y3" s="1"/>
      <c r="Z3" s="1"/>
    </row>
    <row r="4" ht="15.0" customHeight="1">
      <c r="A4" s="1"/>
      <c r="B4" s="1"/>
      <c r="C4" s="1"/>
      <c r="D4" s="1"/>
      <c r="E4" s="1"/>
      <c r="F4" s="1"/>
      <c r="G4" s="1"/>
      <c r="H4" s="1"/>
      <c r="I4" s="1"/>
      <c r="J4" s="1"/>
      <c r="K4" s="1"/>
      <c r="L4" s="1"/>
      <c r="M4" s="1"/>
      <c r="N4" s="1"/>
      <c r="O4" s="1"/>
      <c r="P4" s="1"/>
      <c r="Q4" s="1"/>
      <c r="R4" s="1"/>
      <c r="S4" s="1"/>
      <c r="T4" s="1"/>
      <c r="U4" s="1"/>
      <c r="V4" s="1"/>
      <c r="W4" s="1"/>
      <c r="X4" s="1"/>
      <c r="Y4" s="1"/>
      <c r="Z4" s="1"/>
    </row>
    <row r="5" ht="31.5" customHeight="1">
      <c r="A5" s="1"/>
      <c r="B5" s="7" t="s">
        <v>77</v>
      </c>
      <c r="C5" s="7" t="s">
        <v>78</v>
      </c>
      <c r="D5" s="7" t="s">
        <v>79</v>
      </c>
      <c r="E5" s="7" t="s">
        <v>80</v>
      </c>
      <c r="F5" s="7" t="s">
        <v>81</v>
      </c>
      <c r="G5" s="7" t="s">
        <v>82</v>
      </c>
      <c r="H5" s="7" t="s">
        <v>83</v>
      </c>
      <c r="I5" s="7" t="s">
        <v>84</v>
      </c>
      <c r="J5" s="7" t="s">
        <v>85</v>
      </c>
      <c r="K5" s="1"/>
      <c r="L5" s="1"/>
      <c r="M5" s="1"/>
      <c r="N5" s="1"/>
      <c r="O5" s="1"/>
      <c r="P5" s="1"/>
      <c r="Q5" s="1"/>
      <c r="R5" s="1"/>
      <c r="S5" s="1"/>
      <c r="T5" s="1"/>
      <c r="U5" s="1"/>
      <c r="V5" s="1"/>
      <c r="W5" s="1"/>
      <c r="X5" s="1"/>
      <c r="Y5" s="1"/>
      <c r="Z5" s="1"/>
    </row>
    <row r="6" ht="15.0" customHeight="1">
      <c r="A6" s="1"/>
      <c r="B6" s="21" t="s">
        <v>86</v>
      </c>
      <c r="C6" s="22" t="s">
        <v>87</v>
      </c>
      <c r="D6" s="21">
        <f>COUNTIF(A_CDRRMO!$B$5:$B$96,B6)</f>
        <v>8</v>
      </c>
      <c r="E6" s="21">
        <f>SUMIF(A_CDRRMO!$B$5:$B$96,B6,A_CDRRMO!$S$5:$S$96)</f>
        <v>8</v>
      </c>
      <c r="F6" s="23">
        <f>IF(SUMIF(A_CDRRMO!$B$5:$B$96,B6,A_CDRRMO!$R$5:$R$96)=0,"",SUMIF(A_CDRRMO!$B$5:$B$96,B6,A_CDRRMO!$Q$5:$Q$96)/SUMIF(A_CDRRMO!$B$5:$B$96,B6,A_CDRRMO!$R$5:$R$96)*4)</f>
        <v>2.588235294</v>
      </c>
      <c r="G6" s="21" t="str">
        <f t="shared" ref="G6:G22" si="1">IF(F6="","",IF(F6&lt;0.5,"Absent",IF(F6&lt;1.5,"Initial",IF(F6&lt;2.5,"Developing",IF(F6&lt;3.5,"Compliant","Advanced")))))</f>
        <v>Compliant</v>
      </c>
      <c r="H6" s="24">
        <f>IF(SUMIF(A_CDRRMO!$B$5:$B$96,B6,A_CDRRMO!$T$5:$T$96)=0,"",SUMIF(A_CDRRMO!$B$5:$B$96,B6,A_CDRRMO!$U$5:$U$96)/SUMIF(A_CDRRMO!$B$5:$B$96,B6,A_CDRRMO!$T$5:$T$96))</f>
        <v>0.5</v>
      </c>
      <c r="I6" s="21">
        <f>COUNTIFS(A_CDRRMO!$B$5:$B$96,B6,A_CDRRMO!$N$5:$N$96,"High")</f>
        <v>2</v>
      </c>
      <c r="J6" s="24">
        <f t="shared" ref="J6:J22" si="2">IF(F6="",0,F6/4)</f>
        <v>0.6470588235</v>
      </c>
      <c r="K6" s="1"/>
      <c r="L6" s="1"/>
      <c r="M6" s="1"/>
      <c r="N6" s="1"/>
      <c r="O6" s="1"/>
      <c r="P6" s="1"/>
      <c r="Q6" s="1"/>
      <c r="R6" s="1"/>
      <c r="S6" s="1"/>
      <c r="T6" s="1"/>
      <c r="U6" s="1"/>
      <c r="V6" s="1"/>
      <c r="W6" s="1"/>
      <c r="X6" s="1"/>
      <c r="Y6" s="1"/>
      <c r="Z6" s="1"/>
    </row>
    <row r="7" ht="15.0" customHeight="1">
      <c r="A7" s="1"/>
      <c r="B7" s="21" t="s">
        <v>88</v>
      </c>
      <c r="C7" s="22" t="s">
        <v>89</v>
      </c>
      <c r="D7" s="21">
        <f>COUNTIF(A_CDRRMO!$B$5:$B$96,B7)</f>
        <v>10</v>
      </c>
      <c r="E7" s="21">
        <f>SUMIF(A_CDRRMO!$B$5:$B$96,B7,A_CDRRMO!$S$5:$S$96)</f>
        <v>10</v>
      </c>
      <c r="F7" s="23">
        <f>IF(SUMIF(A_CDRRMO!$B$5:$B$96,B7,A_CDRRMO!$R$5:$R$96)=0,"",SUMIF(A_CDRRMO!$B$5:$B$96,B7,A_CDRRMO!$Q$5:$Q$96)/SUMIF(A_CDRRMO!$B$5:$B$96,B7,A_CDRRMO!$R$5:$R$96)*4)</f>
        <v>1.772727273</v>
      </c>
      <c r="G7" s="21" t="str">
        <f t="shared" si="1"/>
        <v>Developing</v>
      </c>
      <c r="H7" s="24">
        <f>IF(SUMIF(A_CDRRMO!$B$5:$B$96,B7,A_CDRRMO!$T$5:$T$96)=0,"",SUMIF(A_CDRRMO!$B$5:$B$96,B7,A_CDRRMO!$U$5:$U$96)/SUMIF(A_CDRRMO!$B$5:$B$96,B7,A_CDRRMO!$T$5:$T$96))</f>
        <v>0.1428571429</v>
      </c>
      <c r="I7" s="21">
        <f>COUNTIFS(A_CDRRMO!$B$5:$B$96,B7,A_CDRRMO!$N$5:$N$96,"High")</f>
        <v>5</v>
      </c>
      <c r="J7" s="24">
        <f t="shared" si="2"/>
        <v>0.4431818182</v>
      </c>
      <c r="K7" s="1"/>
      <c r="L7" s="1"/>
      <c r="M7" s="1"/>
      <c r="N7" s="1"/>
      <c r="O7" s="1"/>
      <c r="P7" s="1"/>
      <c r="Q7" s="1"/>
      <c r="R7" s="1"/>
      <c r="S7" s="1"/>
      <c r="T7" s="1"/>
      <c r="U7" s="1"/>
      <c r="V7" s="1"/>
      <c r="W7" s="1"/>
      <c r="X7" s="1"/>
      <c r="Y7" s="1"/>
      <c r="Z7" s="1"/>
    </row>
    <row r="8" ht="15.0" customHeight="1">
      <c r="A8" s="1"/>
      <c r="B8" s="21" t="s">
        <v>90</v>
      </c>
      <c r="C8" s="22" t="s">
        <v>91</v>
      </c>
      <c r="D8" s="21">
        <f>COUNTIF(A_CDRRMO!$B$5:$B$96,B8)</f>
        <v>7</v>
      </c>
      <c r="E8" s="21">
        <f>SUMIF(A_CDRRMO!$B$5:$B$96,B8,A_CDRRMO!$S$5:$S$96)</f>
        <v>7</v>
      </c>
      <c r="F8" s="23">
        <f>IF(SUMIF(A_CDRRMO!$B$5:$B$96,B8,A_CDRRMO!$R$5:$R$96)=0,"",SUMIF(A_CDRRMO!$B$5:$B$96,B8,A_CDRRMO!$Q$5:$Q$96)/SUMIF(A_CDRRMO!$B$5:$B$96,B8,A_CDRRMO!$R$5:$R$96)*4)</f>
        <v>3.166666667</v>
      </c>
      <c r="G8" s="21" t="str">
        <f t="shared" si="1"/>
        <v>Compliant</v>
      </c>
      <c r="H8" s="24">
        <f>IF(SUMIF(A_CDRRMO!$B$5:$B$96,B8,A_CDRRMO!$T$5:$T$96)=0,"",SUMIF(A_CDRRMO!$B$5:$B$96,B8,A_CDRRMO!$U$5:$U$96)/SUMIF(A_CDRRMO!$B$5:$B$96,B8,A_CDRRMO!$T$5:$T$96))</f>
        <v>0.6666666667</v>
      </c>
      <c r="I8" s="21">
        <f>COUNTIFS(A_CDRRMO!$B$5:$B$96,B8,A_CDRRMO!$N$5:$N$96,"High")</f>
        <v>1</v>
      </c>
      <c r="J8" s="24">
        <f t="shared" si="2"/>
        <v>0.7916666667</v>
      </c>
      <c r="K8" s="1"/>
      <c r="L8" s="1"/>
      <c r="M8" s="1"/>
      <c r="N8" s="1"/>
      <c r="O8" s="1"/>
      <c r="P8" s="1"/>
      <c r="Q8" s="1"/>
      <c r="R8" s="1"/>
      <c r="S8" s="1"/>
      <c r="T8" s="1"/>
      <c r="U8" s="1"/>
      <c r="V8" s="1"/>
      <c r="W8" s="1"/>
      <c r="X8" s="1"/>
      <c r="Y8" s="1"/>
      <c r="Z8" s="1"/>
    </row>
    <row r="9" ht="15.0" customHeight="1">
      <c r="A9" s="1"/>
      <c r="B9" s="21" t="s">
        <v>92</v>
      </c>
      <c r="C9" s="22" t="s">
        <v>93</v>
      </c>
      <c r="D9" s="21">
        <f>COUNTIF(A_CDRRMO!$B$5:$B$96,B9)</f>
        <v>9</v>
      </c>
      <c r="E9" s="21">
        <f>SUMIF(A_CDRRMO!$B$5:$B$96,B9,A_CDRRMO!$S$5:$S$96)</f>
        <v>8</v>
      </c>
      <c r="F9" s="23">
        <f>IF(SUMIF(A_CDRRMO!$B$5:$B$96,B9,A_CDRRMO!$R$5:$R$96)=0,"",SUMIF(A_CDRRMO!$B$5:$B$96,B9,A_CDRRMO!$Q$5:$Q$96)/SUMIF(A_CDRRMO!$B$5:$B$96,B9,A_CDRRMO!$R$5:$R$96)*4)</f>
        <v>3.117647059</v>
      </c>
      <c r="G9" s="21" t="str">
        <f t="shared" si="1"/>
        <v>Compliant</v>
      </c>
      <c r="H9" s="24">
        <f>IF(SUMIF(A_CDRRMO!$B$5:$B$96,B9,A_CDRRMO!$T$5:$T$96)=0,"",SUMIF(A_CDRRMO!$B$5:$B$96,B9,A_CDRRMO!$U$5:$U$96)/SUMIF(A_CDRRMO!$B$5:$B$96,B9,A_CDRRMO!$T$5:$T$96))</f>
        <v>0.8333333333</v>
      </c>
      <c r="I9" s="21">
        <f>COUNTIFS(A_CDRRMO!$B$5:$B$96,B9,A_CDRRMO!$N$5:$N$96,"High")</f>
        <v>1</v>
      </c>
      <c r="J9" s="24">
        <f t="shared" si="2"/>
        <v>0.7794117647</v>
      </c>
      <c r="K9" s="1"/>
      <c r="L9" s="1"/>
      <c r="M9" s="1"/>
      <c r="N9" s="1"/>
      <c r="O9" s="1"/>
      <c r="P9" s="1"/>
      <c r="Q9" s="1"/>
      <c r="R9" s="1"/>
      <c r="S9" s="1"/>
      <c r="T9" s="1"/>
      <c r="U9" s="1"/>
      <c r="V9" s="1"/>
      <c r="W9" s="1"/>
      <c r="X9" s="1"/>
      <c r="Y9" s="1"/>
      <c r="Z9" s="1"/>
    </row>
    <row r="10" ht="23.25" customHeight="1">
      <c r="A10" s="1"/>
      <c r="B10" s="21" t="s">
        <v>94</v>
      </c>
      <c r="C10" s="22" t="s">
        <v>95</v>
      </c>
      <c r="D10" s="21">
        <f>COUNTIF(A_CDRRMO!$B$5:$B$96,B10)</f>
        <v>9</v>
      </c>
      <c r="E10" s="21">
        <f>SUMIF(A_CDRRMO!$B$5:$B$96,B10,A_CDRRMO!$S$5:$S$96)</f>
        <v>9</v>
      </c>
      <c r="F10" s="23">
        <f>IF(SUMIF(A_CDRRMO!$B$5:$B$96,B10,A_CDRRMO!$R$5:$R$96)=0,"",SUMIF(A_CDRRMO!$B$5:$B$96,B10,A_CDRRMO!$Q$5:$Q$96)/SUMIF(A_CDRRMO!$B$5:$B$96,B10,A_CDRRMO!$R$5:$R$96)*4)</f>
        <v>2.055555556</v>
      </c>
      <c r="G10" s="21" t="str">
        <f t="shared" si="1"/>
        <v>Developing</v>
      </c>
      <c r="H10" s="24">
        <f>IF(SUMIF(A_CDRRMO!$B$5:$B$96,B10,A_CDRRMO!$T$5:$T$96)=0,"",SUMIF(A_CDRRMO!$B$5:$B$96,B10,A_CDRRMO!$U$5:$U$96)/SUMIF(A_CDRRMO!$B$5:$B$96,B10,A_CDRRMO!$T$5:$T$96))</f>
        <v>0.75</v>
      </c>
      <c r="I10" s="21">
        <f>COUNTIFS(A_CDRRMO!$B$5:$B$96,B10,A_CDRRMO!$N$5:$N$96,"High")</f>
        <v>0</v>
      </c>
      <c r="J10" s="24">
        <f t="shared" si="2"/>
        <v>0.5138888889</v>
      </c>
      <c r="K10" s="1"/>
      <c r="L10" s="1"/>
      <c r="M10" s="1"/>
      <c r="N10" s="1"/>
      <c r="O10" s="1"/>
      <c r="P10" s="1"/>
      <c r="Q10" s="1"/>
      <c r="R10" s="1"/>
      <c r="S10" s="1"/>
      <c r="T10" s="1"/>
      <c r="U10" s="1"/>
      <c r="V10" s="1"/>
      <c r="W10" s="1"/>
      <c r="X10" s="1"/>
      <c r="Y10" s="1"/>
      <c r="Z10" s="1"/>
    </row>
    <row r="11" ht="15.0" customHeight="1">
      <c r="A11" s="1"/>
      <c r="B11" s="21" t="s">
        <v>96</v>
      </c>
      <c r="C11" s="22" t="s">
        <v>97</v>
      </c>
      <c r="D11" s="21">
        <f>COUNTIF(A_CDRRMO!$B$5:$B$96,B11)</f>
        <v>7</v>
      </c>
      <c r="E11" s="21">
        <f>SUMIF(A_CDRRMO!$B$5:$B$96,B11,A_CDRRMO!$S$5:$S$96)</f>
        <v>7</v>
      </c>
      <c r="F11" s="23">
        <f>IF(SUMIF(A_CDRRMO!$B$5:$B$96,B11,A_CDRRMO!$R$5:$R$96)=0,"",SUMIF(A_CDRRMO!$B$5:$B$96,B11,A_CDRRMO!$Q$5:$Q$96)/SUMIF(A_CDRRMO!$B$5:$B$96,B11,A_CDRRMO!$R$5:$R$96)*4)</f>
        <v>2.266666667</v>
      </c>
      <c r="G11" s="21" t="str">
        <f t="shared" si="1"/>
        <v>Developing</v>
      </c>
      <c r="H11" s="24">
        <f>IF(SUMIF(A_CDRRMO!$B$5:$B$96,B11,A_CDRRMO!$T$5:$T$96)=0,"",SUMIF(A_CDRRMO!$B$5:$B$96,B11,A_CDRRMO!$U$5:$U$96)/SUMIF(A_CDRRMO!$B$5:$B$96,B11,A_CDRRMO!$T$5:$T$96))</f>
        <v>0.25</v>
      </c>
      <c r="I11" s="21">
        <f>COUNTIFS(A_CDRRMO!$B$5:$B$96,B11,A_CDRRMO!$N$5:$N$96,"High")</f>
        <v>3</v>
      </c>
      <c r="J11" s="24">
        <f t="shared" si="2"/>
        <v>0.5666666667</v>
      </c>
      <c r="K11" s="1"/>
      <c r="L11" s="1"/>
      <c r="M11" s="1"/>
      <c r="N11" s="1"/>
      <c r="O11" s="1"/>
      <c r="P11" s="1"/>
      <c r="Q11" s="1"/>
      <c r="R11" s="1"/>
      <c r="S11" s="1"/>
      <c r="T11" s="1"/>
      <c r="U11" s="1"/>
      <c r="V11" s="1"/>
      <c r="W11" s="1"/>
      <c r="X11" s="1"/>
      <c r="Y11" s="1"/>
      <c r="Z11" s="1"/>
    </row>
    <row r="12" ht="15.0" customHeight="1">
      <c r="A12" s="1"/>
      <c r="B12" s="21" t="s">
        <v>98</v>
      </c>
      <c r="C12" s="22" t="s">
        <v>99</v>
      </c>
      <c r="D12" s="21">
        <f>COUNTIF(A_CDRRMO!$B$5:$B$96,B12)</f>
        <v>9</v>
      </c>
      <c r="E12" s="21">
        <f>SUMIF(A_CDRRMO!$B$5:$B$96,B12,A_CDRRMO!$S$5:$S$96)</f>
        <v>8</v>
      </c>
      <c r="F12" s="23">
        <f>IF(SUMIF(A_CDRRMO!$B$5:$B$96,B12,A_CDRRMO!$R$5:$R$96)=0,"",SUMIF(A_CDRRMO!$B$5:$B$96,B12,A_CDRRMO!$Q$5:$Q$96)/SUMIF(A_CDRRMO!$B$5:$B$96,B12,A_CDRRMO!$R$5:$R$96)*4)</f>
        <v>2.933333333</v>
      </c>
      <c r="G12" s="21" t="str">
        <f t="shared" si="1"/>
        <v>Compliant</v>
      </c>
      <c r="H12" s="24">
        <f>IF(SUMIF(A_CDRRMO!$B$5:$B$96,B12,A_CDRRMO!$T$5:$T$96)=0,"",SUMIF(A_CDRRMO!$B$5:$B$96,B12,A_CDRRMO!$U$5:$U$96)/SUMIF(A_CDRRMO!$B$5:$B$96,B12,A_CDRRMO!$T$5:$T$96))</f>
        <v>0.8</v>
      </c>
      <c r="I12" s="21">
        <f>COUNTIFS(A_CDRRMO!$B$5:$B$96,B12,A_CDRRMO!$N$5:$N$96,"High")</f>
        <v>1</v>
      </c>
      <c r="J12" s="24">
        <f t="shared" si="2"/>
        <v>0.7333333333</v>
      </c>
      <c r="K12" s="1"/>
      <c r="L12" s="1"/>
      <c r="M12" s="1"/>
      <c r="N12" s="1"/>
      <c r="O12" s="1"/>
      <c r="P12" s="1"/>
      <c r="Q12" s="1"/>
      <c r="R12" s="1"/>
      <c r="S12" s="1"/>
      <c r="T12" s="1"/>
      <c r="U12" s="1"/>
      <c r="V12" s="1"/>
      <c r="W12" s="1"/>
      <c r="X12" s="1"/>
      <c r="Y12" s="1"/>
      <c r="Z12" s="1"/>
    </row>
    <row r="13" ht="15.0" customHeight="1">
      <c r="A13" s="1"/>
      <c r="B13" s="21" t="s">
        <v>100</v>
      </c>
      <c r="C13" s="22" t="s">
        <v>101</v>
      </c>
      <c r="D13" s="21">
        <f>COUNTIF(A_CDRRMO!$B$5:$B$96,B13)</f>
        <v>9</v>
      </c>
      <c r="E13" s="21">
        <f>SUMIF(A_CDRRMO!$B$5:$B$96,B13,A_CDRRMO!$S$5:$S$96)</f>
        <v>9</v>
      </c>
      <c r="F13" s="23">
        <f>IF(SUMIF(A_CDRRMO!$B$5:$B$96,B13,A_CDRRMO!$R$5:$R$96)=0,"",SUMIF(A_CDRRMO!$B$5:$B$96,B13,A_CDRRMO!$Q$5:$Q$96)/SUMIF(A_CDRRMO!$B$5:$B$96,B13,A_CDRRMO!$R$5:$R$96)*4)</f>
        <v>1.681818182</v>
      </c>
      <c r="G13" s="21" t="str">
        <f t="shared" si="1"/>
        <v>Developing</v>
      </c>
      <c r="H13" s="24">
        <f>IF(SUMIF(A_CDRRMO!$B$5:$B$96,B13,A_CDRRMO!$T$5:$T$96)=0,"",SUMIF(A_CDRRMO!$B$5:$B$96,B13,A_CDRRMO!$U$5:$U$96)/SUMIF(A_CDRRMO!$B$5:$B$96,B13,A_CDRRMO!$T$5:$T$96))</f>
        <v>0.375</v>
      </c>
      <c r="I13" s="21">
        <f>COUNTIFS(A_CDRRMO!$B$5:$B$96,B13,A_CDRRMO!$N$5:$N$96,"High")</f>
        <v>5</v>
      </c>
      <c r="J13" s="24">
        <f t="shared" si="2"/>
        <v>0.4204545455</v>
      </c>
      <c r="K13" s="1"/>
      <c r="L13" s="1"/>
      <c r="M13" s="1"/>
      <c r="N13" s="1"/>
      <c r="O13" s="1"/>
      <c r="P13" s="1"/>
      <c r="Q13" s="1"/>
      <c r="R13" s="1"/>
      <c r="S13" s="1"/>
      <c r="T13" s="1"/>
      <c r="U13" s="1"/>
      <c r="V13" s="1"/>
      <c r="W13" s="1"/>
      <c r="X13" s="1"/>
      <c r="Y13" s="1"/>
      <c r="Z13" s="1"/>
    </row>
    <row r="14" ht="15.0" customHeight="1">
      <c r="A14" s="1"/>
      <c r="B14" s="21" t="s">
        <v>102</v>
      </c>
      <c r="C14" s="22" t="s">
        <v>103</v>
      </c>
      <c r="D14" s="21">
        <f>COUNTIF(A_CDRRMO!$B$5:$B$96,B14)</f>
        <v>5</v>
      </c>
      <c r="E14" s="21">
        <f>SUMIF(A_CDRRMO!$B$5:$B$96,B14,A_CDRRMO!$S$5:$S$96)</f>
        <v>5</v>
      </c>
      <c r="F14" s="23">
        <f>IF(SUMIF(A_CDRRMO!$B$5:$B$96,B14,A_CDRRMO!$R$5:$R$96)=0,"",SUMIF(A_CDRRMO!$B$5:$B$96,B14,A_CDRRMO!$Q$5:$Q$96)/SUMIF(A_CDRRMO!$B$5:$B$96,B14,A_CDRRMO!$R$5:$R$96)*4)</f>
        <v>1.875</v>
      </c>
      <c r="G14" s="21" t="str">
        <f t="shared" si="1"/>
        <v>Developing</v>
      </c>
      <c r="H14" s="24">
        <f>IF(SUMIF(A_CDRRMO!$B$5:$B$96,B14,A_CDRRMO!$T$5:$T$96)=0,"",SUMIF(A_CDRRMO!$B$5:$B$96,B14,A_CDRRMO!$U$5:$U$96)/SUMIF(A_CDRRMO!$B$5:$B$96,B14,A_CDRRMO!$T$5:$T$96))</f>
        <v>1</v>
      </c>
      <c r="I14" s="21">
        <f>COUNTIFS(A_CDRRMO!$B$5:$B$96,B14,A_CDRRMO!$N$5:$N$96,"High")</f>
        <v>0</v>
      </c>
      <c r="J14" s="24">
        <f t="shared" si="2"/>
        <v>0.46875</v>
      </c>
      <c r="K14" s="1"/>
      <c r="L14" s="1"/>
      <c r="M14" s="1"/>
      <c r="N14" s="1"/>
      <c r="O14" s="1"/>
      <c r="P14" s="1"/>
      <c r="Q14" s="1"/>
      <c r="R14" s="1"/>
      <c r="S14" s="1"/>
      <c r="T14" s="1"/>
      <c r="U14" s="1"/>
      <c r="V14" s="1"/>
      <c r="W14" s="1"/>
      <c r="X14" s="1"/>
      <c r="Y14" s="1"/>
      <c r="Z14" s="1"/>
    </row>
    <row r="15" ht="15.0" customHeight="1">
      <c r="A15" s="1"/>
      <c r="B15" s="21" t="s">
        <v>104</v>
      </c>
      <c r="C15" s="22" t="s">
        <v>105</v>
      </c>
      <c r="D15" s="21">
        <f>COUNTIF(A_CDRRMO!$B$5:$B$96,B15)</f>
        <v>9</v>
      </c>
      <c r="E15" s="21">
        <f>SUMIF(A_CDRRMO!$B$5:$B$96,B15,A_CDRRMO!$S$5:$S$96)</f>
        <v>9</v>
      </c>
      <c r="F15" s="23">
        <f>IF(SUMIF(A_CDRRMO!$B$5:$B$96,B15,A_CDRRMO!$R$5:$R$96)=0,"",SUMIF(A_CDRRMO!$B$5:$B$96,B15,A_CDRRMO!$Q$5:$Q$96)/SUMIF(A_CDRRMO!$B$5:$B$96,B15,A_CDRRMO!$R$5:$R$96)*4)</f>
        <v>2.5</v>
      </c>
      <c r="G15" s="21" t="str">
        <f t="shared" si="1"/>
        <v>Compliant</v>
      </c>
      <c r="H15" s="24">
        <f>IF(SUMIF(A_CDRRMO!$B$5:$B$96,B15,A_CDRRMO!$T$5:$T$96)=0,"",SUMIF(A_CDRRMO!$B$5:$B$96,B15,A_CDRRMO!$U$5:$U$96)/SUMIF(A_CDRRMO!$B$5:$B$96,B15,A_CDRRMO!$T$5:$T$96))</f>
        <v>0.5</v>
      </c>
      <c r="I15" s="21">
        <f>COUNTIFS(A_CDRRMO!$B$5:$B$96,B15,A_CDRRMO!$N$5:$N$96,"High")</f>
        <v>1</v>
      </c>
      <c r="J15" s="24">
        <f t="shared" si="2"/>
        <v>0.625</v>
      </c>
      <c r="K15" s="1"/>
      <c r="L15" s="1"/>
      <c r="M15" s="1"/>
      <c r="N15" s="1"/>
      <c r="O15" s="1"/>
      <c r="P15" s="1"/>
      <c r="Q15" s="1"/>
      <c r="R15" s="1"/>
      <c r="S15" s="1"/>
      <c r="T15" s="1"/>
      <c r="U15" s="1"/>
      <c r="V15" s="1"/>
      <c r="W15" s="1"/>
      <c r="X15" s="1"/>
      <c r="Y15" s="1"/>
      <c r="Z15" s="1"/>
    </row>
    <row r="16" ht="15.0" customHeight="1">
      <c r="A16" s="1"/>
      <c r="B16" s="21" t="s">
        <v>106</v>
      </c>
      <c r="C16" s="22" t="s">
        <v>107</v>
      </c>
      <c r="D16" s="21">
        <f>COUNTIF(B_EOC!$B$5:$B$54,B16)</f>
        <v>5</v>
      </c>
      <c r="E16" s="21">
        <f>SUMIF(B_EOC!$B$5:$B$54,B16,B_EOC!$S$5:$S$54)</f>
        <v>5</v>
      </c>
      <c r="F16" s="23">
        <f>IF(SUMIF(B_EOC!$B$5:$B$54,B16,B_EOC!$R$5:$R$54)=0,"",SUMIF(B_EOC!$B$5:$B$54,B16,B_EOC!$Q$5:$Q$54)/SUMIF(B_EOC!$B$5:$B$54,B16,B_EOC!$R$5:$R$54)*4)</f>
        <v>1.846153846</v>
      </c>
      <c r="G16" s="21" t="str">
        <f t="shared" si="1"/>
        <v>Developing</v>
      </c>
      <c r="H16" s="24">
        <f>IF(SUMIF(B_EOC!$B$5:$B$54,B16,B_EOC!$T$5:$T$54)=0,"",SUMIF(B_EOC!$B$5:$B$54,B16,B_EOC!$U$5:$U$54)/SUMIF(B_EOC!$B$5:$B$54,B16,B_EOC!$T$5:$T$54))</f>
        <v>0</v>
      </c>
      <c r="I16" s="21">
        <f>COUNTIFS(B_EOC!$B$5:$B$54,B16,B_EOC!$N$5:$N$54,"High")</f>
        <v>4</v>
      </c>
      <c r="J16" s="24">
        <f t="shared" si="2"/>
        <v>0.4615384615</v>
      </c>
      <c r="K16" s="1"/>
      <c r="L16" s="1"/>
      <c r="M16" s="1"/>
      <c r="N16" s="1"/>
      <c r="O16" s="1"/>
      <c r="P16" s="1"/>
      <c r="Q16" s="1"/>
      <c r="R16" s="1"/>
      <c r="S16" s="1"/>
      <c r="T16" s="1"/>
      <c r="U16" s="1"/>
      <c r="V16" s="1"/>
      <c r="W16" s="1"/>
      <c r="X16" s="1"/>
      <c r="Y16" s="1"/>
      <c r="Z16" s="1"/>
    </row>
    <row r="17" ht="15.0" customHeight="1">
      <c r="A17" s="1"/>
      <c r="B17" s="21" t="s">
        <v>108</v>
      </c>
      <c r="C17" s="22" t="s">
        <v>109</v>
      </c>
      <c r="D17" s="21">
        <f>COUNTIF(B_EOC!$B$5:$B$54,B17)</f>
        <v>7</v>
      </c>
      <c r="E17" s="21">
        <f>SUMIF(B_EOC!$B$5:$B$54,B17,B_EOC!$S$5:$S$54)</f>
        <v>0</v>
      </c>
      <c r="F17" s="23" t="str">
        <f>IF(SUMIF(B_EOC!$B$5:$B$54,B17,B_EOC!$R$5:$R$54)=0,"",SUMIF(B_EOC!$B$5:$B$54,B17,B_EOC!$Q$5:$Q$54)/SUMIF(B_EOC!$B$5:$B$54,B17,B_EOC!$R$5:$R$54)*4)</f>
        <v/>
      </c>
      <c r="G17" s="21" t="str">
        <f t="shared" si="1"/>
        <v/>
      </c>
      <c r="H17" s="24" t="str">
        <f>IF(SUMIF(B_EOC!$B$5:$B$54,B17,B_EOC!$T$5:$T$54)=0,"",SUMIF(B_EOC!$B$5:$B$54,B17,B_EOC!$U$5:$U$54)/SUMIF(B_EOC!$B$5:$B$54,B17,B_EOC!$T$5:$T$54))</f>
        <v/>
      </c>
      <c r="I17" s="21">
        <f>COUNTIFS(B_EOC!$B$5:$B$54,B17,B_EOC!$N$5:$N$54,"High")</f>
        <v>0</v>
      </c>
      <c r="J17" s="24">
        <f t="shared" si="2"/>
        <v>0</v>
      </c>
      <c r="K17" s="1"/>
      <c r="L17" s="1"/>
      <c r="M17" s="1"/>
      <c r="N17" s="1"/>
      <c r="O17" s="1"/>
      <c r="P17" s="1"/>
      <c r="Q17" s="1"/>
      <c r="R17" s="1"/>
      <c r="S17" s="1"/>
      <c r="T17" s="1"/>
      <c r="U17" s="1"/>
      <c r="V17" s="1"/>
      <c r="W17" s="1"/>
      <c r="X17" s="1"/>
      <c r="Y17" s="1"/>
      <c r="Z17" s="1"/>
    </row>
    <row r="18" ht="15.0" customHeight="1">
      <c r="A18" s="1"/>
      <c r="B18" s="21" t="s">
        <v>110</v>
      </c>
      <c r="C18" s="22" t="s">
        <v>111</v>
      </c>
      <c r="D18" s="21">
        <f>COUNTIF(B_EOC!$B$5:$B$54,B18)</f>
        <v>6</v>
      </c>
      <c r="E18" s="21">
        <f>SUMIF(B_EOC!$B$5:$B$54,B18,B_EOC!$S$5:$S$54)</f>
        <v>2</v>
      </c>
      <c r="F18" s="23">
        <f>IF(SUMIF(B_EOC!$B$5:$B$54,B18,B_EOC!$R$5:$R$54)=0,"",SUMIF(B_EOC!$B$5:$B$54,B18,B_EOC!$Q$5:$Q$54)/SUMIF(B_EOC!$B$5:$B$54,B18,B_EOC!$R$5:$R$54)*4)</f>
        <v>2</v>
      </c>
      <c r="G18" s="21" t="str">
        <f t="shared" si="1"/>
        <v>Developing</v>
      </c>
      <c r="H18" s="24">
        <f>IF(SUMIF(B_EOC!$B$5:$B$54,B18,B_EOC!$T$5:$T$54)=0,"",SUMIF(B_EOC!$B$5:$B$54,B18,B_EOC!$U$5:$U$54)/SUMIF(B_EOC!$B$5:$B$54,B18,B_EOC!$T$5:$T$54))</f>
        <v>0</v>
      </c>
      <c r="I18" s="21">
        <f>COUNTIFS(B_EOC!$B$5:$B$54,B18,B_EOC!$N$5:$N$54,"High")</f>
        <v>1</v>
      </c>
      <c r="J18" s="24">
        <f t="shared" si="2"/>
        <v>0.5</v>
      </c>
      <c r="K18" s="1"/>
      <c r="L18" s="1"/>
      <c r="M18" s="1"/>
      <c r="N18" s="1"/>
      <c r="O18" s="1"/>
      <c r="P18" s="1"/>
      <c r="Q18" s="1"/>
      <c r="R18" s="1"/>
      <c r="S18" s="1"/>
      <c r="T18" s="1"/>
      <c r="U18" s="1"/>
      <c r="V18" s="1"/>
      <c r="W18" s="1"/>
      <c r="X18" s="1"/>
      <c r="Y18" s="1"/>
      <c r="Z18" s="1"/>
    </row>
    <row r="19" ht="15.0" customHeight="1">
      <c r="A19" s="1"/>
      <c r="B19" s="21" t="s">
        <v>112</v>
      </c>
      <c r="C19" s="22" t="s">
        <v>113</v>
      </c>
      <c r="D19" s="21">
        <f>COUNTIF(B_EOC!$B$5:$B$54,B19)</f>
        <v>6</v>
      </c>
      <c r="E19" s="21">
        <f>SUMIF(B_EOC!$B$5:$B$54,B19,B_EOC!$S$5:$S$54)</f>
        <v>5</v>
      </c>
      <c r="F19" s="23">
        <f>IF(SUMIF(B_EOC!$B$5:$B$54,B19,B_EOC!$R$5:$R$54)=0,"",SUMIF(B_EOC!$B$5:$B$54,B19,B_EOC!$Q$5:$Q$54)/SUMIF(B_EOC!$B$5:$B$54,B19,B_EOC!$R$5:$R$54)*4)</f>
        <v>1.4</v>
      </c>
      <c r="G19" s="21" t="str">
        <f t="shared" si="1"/>
        <v>Initial</v>
      </c>
      <c r="H19" s="24">
        <f>IF(SUMIF(B_EOC!$B$5:$B$54,B19,B_EOC!$T$5:$T$54)=0,"",SUMIF(B_EOC!$B$5:$B$54,B19,B_EOC!$U$5:$U$54)/SUMIF(B_EOC!$B$5:$B$54,B19,B_EOC!$T$5:$T$54))</f>
        <v>0</v>
      </c>
      <c r="I19" s="21">
        <f>COUNTIFS(B_EOC!$B$5:$B$54,B19,B_EOC!$N$5:$N$54,"High")</f>
        <v>1</v>
      </c>
      <c r="J19" s="24">
        <f t="shared" si="2"/>
        <v>0.35</v>
      </c>
      <c r="K19" s="1"/>
      <c r="L19" s="1"/>
      <c r="M19" s="1"/>
      <c r="N19" s="1"/>
      <c r="O19" s="1"/>
      <c r="P19" s="1"/>
      <c r="Q19" s="1"/>
      <c r="R19" s="1"/>
      <c r="S19" s="1"/>
      <c r="T19" s="1"/>
      <c r="U19" s="1"/>
      <c r="V19" s="1"/>
      <c r="W19" s="1"/>
      <c r="X19" s="1"/>
      <c r="Y19" s="1"/>
      <c r="Z19" s="1"/>
    </row>
    <row r="20" ht="15.0" customHeight="1">
      <c r="A20" s="1"/>
      <c r="B20" s="21" t="s">
        <v>114</v>
      </c>
      <c r="C20" s="22" t="s">
        <v>115</v>
      </c>
      <c r="D20" s="21">
        <f>COUNTIF(B_EOC!$B$5:$B$54,B20)</f>
        <v>7</v>
      </c>
      <c r="E20" s="21">
        <f>SUMIF(B_EOC!$B$5:$B$54,B20,B_EOC!$S$5:$S$54)</f>
        <v>5</v>
      </c>
      <c r="F20" s="23">
        <f>IF(SUMIF(B_EOC!$B$5:$B$54,B20,B_EOC!$R$5:$R$54)=0,"",SUMIF(B_EOC!$B$5:$B$54,B20,B_EOC!$Q$5:$Q$54)/SUMIF(B_EOC!$B$5:$B$54,B20,B_EOC!$R$5:$R$54)*4)</f>
        <v>1.454545455</v>
      </c>
      <c r="G20" s="21" t="str">
        <f t="shared" si="1"/>
        <v>Initial</v>
      </c>
      <c r="H20" s="24">
        <f>IF(SUMIF(B_EOC!$B$5:$B$54,B20,B_EOC!$T$5:$T$54)=0,"",SUMIF(B_EOC!$B$5:$B$54,B20,B_EOC!$U$5:$U$54)/SUMIF(B_EOC!$B$5:$B$54,B20,B_EOC!$T$5:$T$54))</f>
        <v>0</v>
      </c>
      <c r="I20" s="21">
        <f>COUNTIFS(B_EOC!$B$5:$B$54,B20,B_EOC!$N$5:$N$54,"High")</f>
        <v>2</v>
      </c>
      <c r="J20" s="24">
        <f t="shared" si="2"/>
        <v>0.3636363636</v>
      </c>
      <c r="K20" s="1"/>
      <c r="L20" s="1"/>
      <c r="M20" s="1"/>
      <c r="N20" s="1"/>
      <c r="O20" s="1"/>
      <c r="P20" s="1"/>
      <c r="Q20" s="1"/>
      <c r="R20" s="1"/>
      <c r="S20" s="1"/>
      <c r="T20" s="1"/>
      <c r="U20" s="1"/>
      <c r="V20" s="1"/>
      <c r="W20" s="1"/>
      <c r="X20" s="1"/>
      <c r="Y20" s="1"/>
      <c r="Z20" s="1"/>
    </row>
    <row r="21" ht="15.75" customHeight="1">
      <c r="A21" s="1"/>
      <c r="B21" s="21" t="s">
        <v>116</v>
      </c>
      <c r="C21" s="22" t="s">
        <v>117</v>
      </c>
      <c r="D21" s="21">
        <f>COUNTIF(B_EOC!$B$5:$B$54,B21)</f>
        <v>6</v>
      </c>
      <c r="E21" s="21">
        <f>SUMIF(B_EOC!$B$5:$B$54,B21,B_EOC!$S$5:$S$54)</f>
        <v>5</v>
      </c>
      <c r="F21" s="23">
        <f>IF(SUMIF(B_EOC!$B$5:$B$54,B21,B_EOC!$R$5:$R$54)=0,"",SUMIF(B_EOC!$B$5:$B$54,B21,B_EOC!$Q$5:$Q$54)/SUMIF(B_EOC!$B$5:$B$54,B21,B_EOC!$R$5:$R$54)*4)</f>
        <v>1.272727273</v>
      </c>
      <c r="G21" s="21" t="str">
        <f t="shared" si="1"/>
        <v>Initial</v>
      </c>
      <c r="H21" s="24">
        <f>IF(SUMIF(B_EOC!$B$5:$B$54,B21,B_EOC!$T$5:$T$54)=0,"",SUMIF(B_EOC!$B$5:$B$54,B21,B_EOC!$U$5:$U$54)/SUMIF(B_EOC!$B$5:$B$54,B21,B_EOC!$T$5:$T$54))</f>
        <v>0</v>
      </c>
      <c r="I21" s="21">
        <f>COUNTIFS(B_EOC!$B$5:$B$54,B21,B_EOC!$N$5:$N$54,"High")</f>
        <v>2</v>
      </c>
      <c r="J21" s="24">
        <f t="shared" si="2"/>
        <v>0.3181818182</v>
      </c>
      <c r="K21" s="1"/>
      <c r="L21" s="1"/>
      <c r="M21" s="1"/>
      <c r="N21" s="1"/>
      <c r="O21" s="1"/>
      <c r="P21" s="1"/>
      <c r="Q21" s="1"/>
      <c r="R21" s="1"/>
      <c r="S21" s="1"/>
      <c r="T21" s="1"/>
      <c r="U21" s="1"/>
      <c r="V21" s="1"/>
      <c r="W21" s="1"/>
      <c r="X21" s="1"/>
      <c r="Y21" s="1"/>
      <c r="Z21" s="1"/>
    </row>
    <row r="22" ht="15.75" customHeight="1">
      <c r="A22" s="1"/>
      <c r="B22" s="21" t="s">
        <v>118</v>
      </c>
      <c r="C22" s="22" t="s">
        <v>119</v>
      </c>
      <c r="D22" s="21">
        <f>COUNTIF(B_EOC!$B$5:$B$54,B22)</f>
        <v>6</v>
      </c>
      <c r="E22" s="21">
        <f>SUMIF(B_EOC!$B$5:$B$54,B22,B_EOC!$S$5:$S$54)</f>
        <v>6</v>
      </c>
      <c r="F22" s="23">
        <f>IF(SUMIF(B_EOC!$B$5:$B$54,B22,B_EOC!$R$5:$R$54)=0,"",SUMIF(B_EOC!$B$5:$B$54,B22,B_EOC!$Q$5:$Q$54)/SUMIF(B_EOC!$B$5:$B$54,B22,B_EOC!$R$5:$R$54)*4)</f>
        <v>2.083333333</v>
      </c>
      <c r="G22" s="21" t="str">
        <f t="shared" si="1"/>
        <v>Developing</v>
      </c>
      <c r="H22" s="24">
        <f>IF(SUMIF(B_EOC!$B$5:$B$54,B22,B_EOC!$T$5:$T$54)=0,"",SUMIF(B_EOC!$B$5:$B$54,B22,B_EOC!$U$5:$U$54)/SUMIF(B_EOC!$B$5:$B$54,B22,B_EOC!$T$5:$T$54))</f>
        <v>0.25</v>
      </c>
      <c r="I22" s="21">
        <f>COUNTIFS(B_EOC!$B$5:$B$54,B22,B_EOC!$N$5:$N$54,"High")</f>
        <v>1</v>
      </c>
      <c r="J22" s="24">
        <f t="shared" si="2"/>
        <v>0.5208333333</v>
      </c>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25"/>
      <c r="C24" s="26" t="s">
        <v>120</v>
      </c>
      <c r="D24" s="25">
        <f>COUNTA(A_CDRRMO!$B$5:$B$96)</f>
        <v>82</v>
      </c>
      <c r="E24" s="25">
        <f>SUM(A_CDRRMO!$S$5:$S$96)</f>
        <v>80</v>
      </c>
      <c r="F24" s="27">
        <f>IF((SUM(A_CDRRMO!$R$5:$R$96))=0,"",(SUM(A_CDRRMO!$Q$5:$Q$96))/(SUM(A_CDRRMO!$R$5:$R$96))*4)</f>
        <v>2.379518072</v>
      </c>
      <c r="G24" s="25" t="str">
        <f t="shared" ref="G24:G27" si="3">IF(F24="","",IF(F24&lt;0.5,"Absent",IF(F24&lt;1.5,"Initial",IF(F24&lt;2.5,"Developing",IF(F24&lt;3.5,"Compliant","Advanced")))))</f>
        <v>Developing</v>
      </c>
      <c r="H24" s="28">
        <f>IF((SUM(A_CDRRMO!$T$5:$T$96))=0,"",(SUM(A_CDRRMO!$U$5:$U$96))/(SUM(A_CDRRMO!$T$5:$T$96)))</f>
        <v>0.5294117647</v>
      </c>
      <c r="I24" s="25">
        <f>COUNTIF(A_CDRRMO!$N$5:$N$96,"High")</f>
        <v>19</v>
      </c>
      <c r="J24" s="28">
        <f t="shared" ref="J24:J27" si="4">IF(F24="",0,F24/4)</f>
        <v>0.5948795181</v>
      </c>
      <c r="K24" s="1"/>
      <c r="L24" s="1"/>
      <c r="M24" s="1"/>
      <c r="N24" s="1"/>
      <c r="O24" s="1"/>
      <c r="P24" s="1"/>
      <c r="Q24" s="1"/>
      <c r="R24" s="1"/>
      <c r="S24" s="1"/>
      <c r="T24" s="1"/>
      <c r="U24" s="1"/>
      <c r="V24" s="1"/>
      <c r="W24" s="1"/>
      <c r="X24" s="1"/>
      <c r="Y24" s="1"/>
      <c r="Z24" s="1"/>
    </row>
    <row r="25" ht="15.75" customHeight="1">
      <c r="A25" s="1"/>
      <c r="B25" s="25"/>
      <c r="C25" s="26" t="s">
        <v>121</v>
      </c>
      <c r="D25" s="25">
        <f>COUNTA(B_EOC!$B$5:$B$54)</f>
        <v>43</v>
      </c>
      <c r="E25" s="25">
        <f>SUM(B_EOC!$S$5:$S$54)</f>
        <v>28</v>
      </c>
      <c r="F25" s="27">
        <f>IF((SUM(B_EOC!$R$5:$R$54))=0,"",(SUM(B_EOC!$Q$5:$Q$54))/(SUM(B_EOC!$R$5:$R$54))*4)</f>
        <v>1.661290323</v>
      </c>
      <c r="G25" s="25" t="str">
        <f t="shared" si="3"/>
        <v>Developing</v>
      </c>
      <c r="H25" s="28">
        <f>IF((SUM(B_EOC!$T$5:$T$54))=0,"",(SUM(B_EOC!$U$5:$U$54))/(SUM(B_EOC!$T$5:$T$54)))</f>
        <v>0.05</v>
      </c>
      <c r="I25" s="25">
        <f>COUNTIF(B_EOC!$N$5:$N$54,"High")</f>
        <v>11</v>
      </c>
      <c r="J25" s="28">
        <f t="shared" si="4"/>
        <v>0.4153225806</v>
      </c>
      <c r="K25" s="1"/>
      <c r="L25" s="1"/>
      <c r="M25" s="1"/>
      <c r="N25" s="1"/>
      <c r="O25" s="1"/>
      <c r="P25" s="1"/>
      <c r="Q25" s="1"/>
      <c r="R25" s="1"/>
      <c r="S25" s="1"/>
      <c r="T25" s="1"/>
      <c r="U25" s="1"/>
      <c r="V25" s="1"/>
      <c r="W25" s="1"/>
      <c r="X25" s="1"/>
      <c r="Y25" s="1"/>
      <c r="Z25" s="1"/>
    </row>
    <row r="26" ht="15.75" customHeight="1">
      <c r="A26" s="1"/>
      <c r="B26" s="25"/>
      <c r="C26" s="26" t="s">
        <v>122</v>
      </c>
      <c r="D26" s="25">
        <f>COUNTA(A_CDRRMO!$B$5:$B$96)+COUNTA(B_EOC!$B$5:$B$54)</f>
        <v>125</v>
      </c>
      <c r="E26" s="25">
        <f>SUM(A_CDRRMO!$S$5:$S$96)+SUM(B_EOC!$S$5:$S$54)</f>
        <v>108</v>
      </c>
      <c r="F26" s="27">
        <f>IF((SUM(A_CDRRMO!$R$5:$R$96)+SUM(B_EOC!$R$5:$R$54))=0,"",(SUM(A_CDRRMO!$Q$5:$Q$96)+SUM(B_EOC!$Q$5:$Q$54))/(SUM(A_CDRRMO!$R$5:$R$96)+SUM(B_EOC!$R$5:$R$54))*4)</f>
        <v>2.184210526</v>
      </c>
      <c r="G26" s="25" t="str">
        <f t="shared" si="3"/>
        <v>Developing</v>
      </c>
      <c r="H26" s="28">
        <f>IF((SUM(A_CDRRMO!$T$5:$T$96)+SUM(B_EOC!$T$5:$T$54))=0,"",(SUM(A_CDRRMO!$U$5:$U$96)+SUM(B_EOC!$U$5:$U$54))/(SUM(A_CDRRMO!$T$5:$T$96)+SUM(B_EOC!$T$5:$T$54)))</f>
        <v>0.3943661972</v>
      </c>
      <c r="I26" s="25">
        <f>COUNTIF(A_CDRRMO!$N$5:$N$96,"High")+COUNTIF(B_EOC!$N$5:$N$54,"High")</f>
        <v>30</v>
      </c>
      <c r="J26" s="28">
        <f t="shared" si="4"/>
        <v>0.5460526316</v>
      </c>
      <c r="K26" s="1"/>
      <c r="L26" s="1"/>
      <c r="M26" s="1"/>
      <c r="N26" s="1"/>
      <c r="O26" s="1"/>
      <c r="P26" s="1"/>
      <c r="Q26" s="1"/>
      <c r="R26" s="1"/>
      <c r="S26" s="1"/>
      <c r="T26" s="1"/>
      <c r="U26" s="1"/>
      <c r="V26" s="1"/>
      <c r="W26" s="1"/>
      <c r="X26" s="1"/>
      <c r="Y26" s="1"/>
      <c r="Z26" s="1"/>
    </row>
    <row r="27" ht="15.75" customHeight="1">
      <c r="A27" s="1"/>
      <c r="B27" s="29"/>
      <c r="C27" s="30" t="s">
        <v>123</v>
      </c>
      <c r="D27" s="29">
        <f>COUNTA(C_Interface!$B$5:$B$24)</f>
        <v>15</v>
      </c>
      <c r="E27" s="29">
        <f>SUM(C_Interface!$S$5:$S$24)</f>
        <v>7</v>
      </c>
      <c r="F27" s="31">
        <f>IF(SUM(C_Interface!$R$5:$R$24)=0,"",SUM(C_Interface!$Q$5:$Q$24)/SUM(C_Interface!$R$5:$R$24)*4)</f>
        <v>1.285714286</v>
      </c>
      <c r="G27" s="29" t="str">
        <f t="shared" si="3"/>
        <v>Initial</v>
      </c>
      <c r="H27" s="32" t="s">
        <v>124</v>
      </c>
      <c r="I27" s="29">
        <f>COUNTIF(C_Interface!$N$5:$N$24,"High")</f>
        <v>1</v>
      </c>
      <c r="J27" s="33">
        <f t="shared" si="4"/>
        <v>0.3214285714</v>
      </c>
      <c r="K27" s="1"/>
      <c r="L27" s="1"/>
      <c r="M27" s="1"/>
      <c r="N27" s="1"/>
      <c r="O27" s="1"/>
      <c r="P27" s="1"/>
      <c r="Q27" s="1"/>
      <c r="R27" s="1"/>
      <c r="S27" s="1"/>
      <c r="T27" s="1"/>
      <c r="U27" s="1"/>
      <c r="V27" s="1"/>
      <c r="W27" s="1"/>
      <c r="X27" s="1"/>
      <c r="Y27" s="1"/>
      <c r="Z27" s="1"/>
    </row>
    <row r="28" ht="42.0" customHeight="1">
      <c r="A28" s="1"/>
      <c r="B28" s="34" t="s">
        <v>125</v>
      </c>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1">
    <mergeCell ref="B28:J28"/>
  </mergeCells>
  <conditionalFormatting sqref="G6:G27">
    <cfRule type="cellIs" dxfId="0" priority="1" operator="equal">
      <formula>"Absent"</formula>
    </cfRule>
  </conditionalFormatting>
  <conditionalFormatting sqref="G6:G27">
    <cfRule type="cellIs" dxfId="1" priority="2" operator="equal">
      <formula>"Initial"</formula>
    </cfRule>
  </conditionalFormatting>
  <conditionalFormatting sqref="G6:G27">
    <cfRule type="cellIs" dxfId="2" priority="3" operator="equal">
      <formula>"Developing"</formula>
    </cfRule>
  </conditionalFormatting>
  <conditionalFormatting sqref="G6:G27">
    <cfRule type="cellIs" dxfId="3" priority="4" operator="equal">
      <formula>"Compliant"</formula>
    </cfRule>
  </conditionalFormatting>
  <conditionalFormatting sqref="G6:G27">
    <cfRule type="cellIs" dxfId="4" priority="5" operator="equal">
      <formula>"Advanced"</formula>
    </cfRule>
  </conditionalFormatting>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8.0"/>
    <col customWidth="1" min="3" max="3" width="60.0"/>
    <col customWidth="1" min="4" max="6" width="8.71"/>
  </cols>
  <sheetData>
    <row r="1">
      <c r="A1" s="19"/>
      <c r="B1" s="19"/>
      <c r="C1" s="19"/>
      <c r="D1" s="19"/>
      <c r="E1" s="19"/>
      <c r="F1" s="19"/>
      <c r="G1" s="19"/>
      <c r="H1" s="19"/>
      <c r="I1" s="19"/>
      <c r="J1" s="19"/>
      <c r="K1" s="19"/>
      <c r="L1" s="19"/>
      <c r="M1" s="19"/>
      <c r="N1" s="19"/>
      <c r="O1" s="19"/>
      <c r="P1" s="19"/>
      <c r="Q1" s="19"/>
      <c r="R1" s="19"/>
      <c r="S1" s="19"/>
      <c r="T1" s="19"/>
      <c r="U1" s="19"/>
      <c r="V1" s="19"/>
      <c r="W1" s="19"/>
      <c r="X1" s="19"/>
      <c r="Y1" s="19"/>
      <c r="Z1" s="19"/>
    </row>
    <row r="2" ht="17.25" customHeight="1">
      <c r="A2" s="19"/>
      <c r="B2" s="35" t="s">
        <v>126</v>
      </c>
      <c r="C2" s="19"/>
      <c r="D2" s="19"/>
      <c r="E2" s="19"/>
      <c r="F2" s="19"/>
      <c r="G2" s="19"/>
      <c r="H2" s="19"/>
      <c r="I2" s="19"/>
      <c r="J2" s="19"/>
      <c r="K2" s="19"/>
      <c r="L2" s="19"/>
      <c r="M2" s="19"/>
      <c r="N2" s="19"/>
      <c r="O2" s="19"/>
      <c r="P2" s="19"/>
      <c r="Q2" s="19"/>
      <c r="R2" s="19"/>
      <c r="S2" s="19"/>
      <c r="T2" s="19"/>
      <c r="U2" s="19"/>
      <c r="V2" s="19"/>
      <c r="W2" s="19"/>
      <c r="X2" s="19"/>
      <c r="Y2" s="19"/>
      <c r="Z2" s="19"/>
    </row>
    <row r="3">
      <c r="A3" s="19"/>
      <c r="B3" s="19"/>
      <c r="C3" s="19"/>
      <c r="D3" s="19"/>
      <c r="E3" s="19"/>
      <c r="F3" s="19"/>
      <c r="G3" s="19"/>
      <c r="H3" s="19"/>
      <c r="I3" s="19"/>
      <c r="J3" s="19"/>
      <c r="K3" s="19"/>
      <c r="L3" s="19"/>
      <c r="M3" s="19"/>
      <c r="N3" s="19"/>
      <c r="O3" s="19"/>
      <c r="P3" s="19"/>
      <c r="Q3" s="19"/>
      <c r="R3" s="19"/>
      <c r="S3" s="19"/>
      <c r="T3" s="19"/>
      <c r="U3" s="19"/>
      <c r="V3" s="19"/>
      <c r="W3" s="19"/>
      <c r="X3" s="19"/>
      <c r="Y3" s="19"/>
      <c r="Z3" s="19"/>
    </row>
    <row r="4" ht="21.75" customHeight="1">
      <c r="A4" s="19"/>
      <c r="B4" s="36" t="s">
        <v>127</v>
      </c>
      <c r="C4" s="37" t="s">
        <v>128</v>
      </c>
      <c r="D4" s="19"/>
      <c r="E4" s="19"/>
      <c r="F4" s="19"/>
      <c r="G4" s="19"/>
      <c r="H4" s="19"/>
      <c r="I4" s="19"/>
      <c r="J4" s="19"/>
      <c r="K4" s="19"/>
      <c r="L4" s="19"/>
      <c r="M4" s="19"/>
      <c r="N4" s="19"/>
      <c r="O4" s="19"/>
      <c r="P4" s="19"/>
      <c r="Q4" s="19"/>
      <c r="R4" s="19"/>
      <c r="S4" s="19"/>
      <c r="T4" s="19"/>
      <c r="U4" s="19"/>
      <c r="V4" s="19"/>
      <c r="W4" s="19"/>
      <c r="X4" s="19"/>
      <c r="Y4" s="19"/>
      <c r="Z4" s="19"/>
    </row>
    <row r="5" ht="21.75" customHeight="1">
      <c r="A5" s="19"/>
      <c r="B5" s="36" t="s">
        <v>129</v>
      </c>
      <c r="C5" s="37" t="s">
        <v>130</v>
      </c>
      <c r="D5" s="19"/>
      <c r="E5" s="19"/>
      <c r="F5" s="19"/>
      <c r="G5" s="19"/>
      <c r="H5" s="19"/>
      <c r="I5" s="19"/>
      <c r="J5" s="19"/>
      <c r="K5" s="19"/>
      <c r="L5" s="19"/>
      <c r="M5" s="19"/>
      <c r="N5" s="19"/>
      <c r="O5" s="19"/>
      <c r="P5" s="19"/>
      <c r="Q5" s="19"/>
      <c r="R5" s="19"/>
      <c r="S5" s="19"/>
      <c r="T5" s="19"/>
      <c r="U5" s="19"/>
      <c r="V5" s="19"/>
      <c r="W5" s="19"/>
      <c r="X5" s="19"/>
      <c r="Y5" s="19"/>
      <c r="Z5" s="19"/>
    </row>
    <row r="6" ht="21.75" customHeight="1">
      <c r="A6" s="19"/>
      <c r="B6" s="36" t="s">
        <v>131</v>
      </c>
      <c r="C6" s="37" t="s">
        <v>132</v>
      </c>
      <c r="D6" s="19"/>
      <c r="E6" s="19"/>
      <c r="F6" s="19"/>
      <c r="G6" s="19"/>
      <c r="H6" s="19"/>
      <c r="I6" s="19"/>
      <c r="J6" s="19"/>
      <c r="K6" s="19"/>
      <c r="L6" s="19"/>
      <c r="M6" s="19"/>
      <c r="N6" s="19"/>
      <c r="O6" s="19"/>
      <c r="P6" s="19"/>
      <c r="Q6" s="19"/>
      <c r="R6" s="19"/>
      <c r="S6" s="19"/>
      <c r="T6" s="19"/>
      <c r="U6" s="19"/>
      <c r="V6" s="19"/>
      <c r="W6" s="19"/>
      <c r="X6" s="19"/>
      <c r="Y6" s="19"/>
      <c r="Z6" s="19"/>
    </row>
    <row r="7" ht="21.75" customHeight="1">
      <c r="A7" s="19"/>
      <c r="B7" s="36" t="s">
        <v>133</v>
      </c>
      <c r="C7" s="37" t="s">
        <v>134</v>
      </c>
      <c r="D7" s="19"/>
      <c r="E7" s="19"/>
      <c r="F7" s="19"/>
      <c r="G7" s="19"/>
      <c r="H7" s="19"/>
      <c r="I7" s="19"/>
      <c r="J7" s="19"/>
      <c r="K7" s="19"/>
      <c r="L7" s="19"/>
      <c r="M7" s="19"/>
      <c r="N7" s="19"/>
      <c r="O7" s="19"/>
      <c r="P7" s="19"/>
      <c r="Q7" s="19"/>
      <c r="R7" s="19"/>
      <c r="S7" s="19"/>
      <c r="T7" s="19"/>
      <c r="U7" s="19"/>
      <c r="V7" s="19"/>
      <c r="W7" s="19"/>
      <c r="X7" s="19"/>
      <c r="Y7" s="19"/>
      <c r="Z7" s="19"/>
    </row>
    <row r="8" ht="21.75" customHeight="1">
      <c r="A8" s="19"/>
      <c r="B8" s="36" t="s">
        <v>135</v>
      </c>
      <c r="C8" s="37" t="s">
        <v>136</v>
      </c>
      <c r="D8" s="19"/>
      <c r="E8" s="19"/>
      <c r="F8" s="19"/>
      <c r="G8" s="19"/>
      <c r="H8" s="19"/>
      <c r="I8" s="19"/>
      <c r="J8" s="19"/>
      <c r="K8" s="19"/>
      <c r="L8" s="19"/>
      <c r="M8" s="19"/>
      <c r="N8" s="19"/>
      <c r="O8" s="19"/>
      <c r="P8" s="19"/>
      <c r="Q8" s="19"/>
      <c r="R8" s="19"/>
      <c r="S8" s="19"/>
      <c r="T8" s="19"/>
      <c r="U8" s="19"/>
      <c r="V8" s="19"/>
      <c r="W8" s="19"/>
      <c r="X8" s="19"/>
      <c r="Y8" s="19"/>
      <c r="Z8" s="19"/>
    </row>
    <row r="9" ht="21.75" customHeight="1">
      <c r="A9" s="19"/>
      <c r="B9" s="36" t="s">
        <v>137</v>
      </c>
      <c r="C9" s="38" t="s">
        <v>138</v>
      </c>
      <c r="D9" s="19"/>
      <c r="E9" s="19"/>
      <c r="F9" s="19"/>
      <c r="G9" s="19"/>
      <c r="H9" s="19"/>
      <c r="I9" s="19"/>
      <c r="J9" s="19"/>
      <c r="K9" s="19"/>
      <c r="L9" s="19"/>
      <c r="M9" s="19"/>
      <c r="N9" s="19"/>
      <c r="O9" s="19"/>
      <c r="P9" s="19"/>
      <c r="Q9" s="19"/>
      <c r="R9" s="19"/>
      <c r="S9" s="19"/>
      <c r="T9" s="19"/>
      <c r="U9" s="19"/>
      <c r="V9" s="19"/>
      <c r="W9" s="19"/>
      <c r="X9" s="19"/>
      <c r="Y9" s="19"/>
      <c r="Z9" s="19"/>
    </row>
    <row r="10" ht="25.5" customHeight="1">
      <c r="A10" s="19"/>
      <c r="B10" s="36" t="s">
        <v>139</v>
      </c>
      <c r="C10" s="37" t="s">
        <v>140</v>
      </c>
      <c r="D10" s="19"/>
      <c r="E10" s="19"/>
      <c r="F10" s="19"/>
      <c r="G10" s="19"/>
      <c r="H10" s="19"/>
      <c r="I10" s="19"/>
      <c r="J10" s="19"/>
      <c r="K10" s="19"/>
      <c r="L10" s="19"/>
      <c r="M10" s="19"/>
      <c r="N10" s="19"/>
      <c r="O10" s="19"/>
      <c r="P10" s="19"/>
      <c r="Q10" s="19"/>
      <c r="R10" s="19"/>
      <c r="S10" s="19"/>
      <c r="T10" s="19"/>
      <c r="U10" s="19"/>
      <c r="V10" s="19"/>
      <c r="W10" s="19"/>
      <c r="X10" s="19"/>
      <c r="Y10" s="19"/>
      <c r="Z10" s="19"/>
    </row>
    <row r="11" ht="21.75" customHeight="1">
      <c r="A11" s="19"/>
      <c r="B11" s="36" t="s">
        <v>141</v>
      </c>
      <c r="C11" s="37" t="s">
        <v>142</v>
      </c>
      <c r="D11" s="19"/>
      <c r="E11" s="19"/>
      <c r="F11" s="19"/>
      <c r="G11" s="19"/>
      <c r="H11" s="19"/>
      <c r="I11" s="19"/>
      <c r="J11" s="19"/>
      <c r="K11" s="19"/>
      <c r="L11" s="19"/>
      <c r="M11" s="19"/>
      <c r="N11" s="19"/>
      <c r="O11" s="19"/>
      <c r="P11" s="19"/>
      <c r="Q11" s="19"/>
      <c r="R11" s="19"/>
      <c r="S11" s="19"/>
      <c r="T11" s="19"/>
      <c r="U11" s="19"/>
      <c r="V11" s="19"/>
      <c r="W11" s="19"/>
      <c r="X11" s="19"/>
      <c r="Y11" s="19"/>
      <c r="Z11" s="19"/>
    </row>
    <row r="12" ht="27.0" customHeight="1">
      <c r="A12" s="19"/>
      <c r="B12" s="36" t="s">
        <v>143</v>
      </c>
      <c r="C12" s="37" t="s">
        <v>144</v>
      </c>
      <c r="D12" s="19"/>
      <c r="E12" s="19"/>
      <c r="F12" s="19"/>
      <c r="G12" s="19"/>
      <c r="H12" s="19"/>
      <c r="I12" s="19"/>
      <c r="J12" s="19"/>
      <c r="K12" s="19"/>
      <c r="L12" s="19"/>
      <c r="M12" s="19"/>
      <c r="N12" s="19"/>
      <c r="O12" s="19"/>
      <c r="P12" s="19"/>
      <c r="Q12" s="19"/>
      <c r="R12" s="19"/>
      <c r="S12" s="19"/>
      <c r="T12" s="19"/>
      <c r="U12" s="19"/>
      <c r="V12" s="19"/>
      <c r="W12" s="19"/>
      <c r="X12" s="19"/>
      <c r="Y12" s="19"/>
      <c r="Z12" s="19"/>
    </row>
    <row r="13" ht="21.75" customHeight="1">
      <c r="A13" s="19"/>
      <c r="B13" s="36" t="s">
        <v>145</v>
      </c>
      <c r="C13" s="37" t="s">
        <v>146</v>
      </c>
      <c r="D13" s="19"/>
      <c r="E13" s="19"/>
      <c r="F13" s="19"/>
      <c r="G13" s="19"/>
      <c r="H13" s="19"/>
      <c r="I13" s="19"/>
      <c r="J13" s="19"/>
      <c r="K13" s="19"/>
      <c r="L13" s="19"/>
      <c r="M13" s="19"/>
      <c r="N13" s="19"/>
      <c r="O13" s="19"/>
      <c r="P13" s="19"/>
      <c r="Q13" s="19"/>
      <c r="R13" s="19"/>
      <c r="S13" s="19"/>
      <c r="T13" s="19"/>
      <c r="U13" s="19"/>
      <c r="V13" s="19"/>
      <c r="W13" s="19"/>
      <c r="X13" s="19"/>
      <c r="Y13" s="19"/>
      <c r="Z13" s="19"/>
    </row>
    <row r="14" ht="26.25" customHeight="1">
      <c r="A14" s="19"/>
      <c r="B14" s="36" t="s">
        <v>147</v>
      </c>
      <c r="C14" s="37" t="s">
        <v>148</v>
      </c>
      <c r="D14" s="19"/>
      <c r="E14" s="19"/>
      <c r="F14" s="19"/>
      <c r="G14" s="19"/>
      <c r="H14" s="19"/>
      <c r="I14" s="19"/>
      <c r="J14" s="19"/>
      <c r="K14" s="19"/>
      <c r="L14" s="19"/>
      <c r="M14" s="19"/>
      <c r="N14" s="19"/>
      <c r="O14" s="19"/>
      <c r="P14" s="19"/>
      <c r="Q14" s="19"/>
      <c r="R14" s="19"/>
      <c r="S14" s="19"/>
      <c r="T14" s="19"/>
      <c r="U14" s="19"/>
      <c r="V14" s="19"/>
      <c r="W14" s="19"/>
      <c r="X14" s="19"/>
      <c r="Y14" s="19"/>
      <c r="Z14" s="19"/>
    </row>
    <row r="15" ht="30.0" customHeight="1">
      <c r="A15" s="19"/>
      <c r="B15" s="36" t="s">
        <v>149</v>
      </c>
      <c r="C15" s="37" t="s">
        <v>150</v>
      </c>
      <c r="D15" s="19"/>
      <c r="E15" s="19"/>
      <c r="F15" s="19"/>
      <c r="G15" s="19"/>
      <c r="H15" s="19"/>
      <c r="I15" s="19"/>
      <c r="J15" s="19"/>
      <c r="K15" s="19"/>
      <c r="L15" s="19"/>
      <c r="M15" s="19"/>
      <c r="N15" s="19"/>
      <c r="O15" s="19"/>
      <c r="P15" s="19"/>
      <c r="Q15" s="19"/>
      <c r="R15" s="19"/>
      <c r="S15" s="19"/>
      <c r="T15" s="19"/>
      <c r="U15" s="19"/>
      <c r="V15" s="19"/>
      <c r="W15" s="19"/>
      <c r="X15" s="19"/>
      <c r="Y15" s="19"/>
      <c r="Z15" s="19"/>
    </row>
    <row r="16" ht="21.75" customHeight="1">
      <c r="A16" s="19"/>
      <c r="B16" s="36" t="s">
        <v>151</v>
      </c>
      <c r="C16" s="37" t="s">
        <v>152</v>
      </c>
      <c r="D16" s="19"/>
      <c r="E16" s="19"/>
      <c r="F16" s="19"/>
      <c r="G16" s="19"/>
      <c r="H16" s="19"/>
      <c r="I16" s="19"/>
      <c r="J16" s="19"/>
      <c r="K16" s="19"/>
      <c r="L16" s="19"/>
      <c r="M16" s="19"/>
      <c r="N16" s="19"/>
      <c r="O16" s="19"/>
      <c r="P16" s="19"/>
      <c r="Q16" s="19"/>
      <c r="R16" s="19"/>
      <c r="S16" s="19"/>
      <c r="T16" s="19"/>
      <c r="U16" s="19"/>
      <c r="V16" s="19"/>
      <c r="W16" s="19"/>
      <c r="X16" s="19"/>
      <c r="Y16" s="19"/>
      <c r="Z16" s="19"/>
    </row>
    <row r="17" ht="21.75" customHeight="1">
      <c r="A17" s="19"/>
      <c r="B17" s="36" t="s">
        <v>153</v>
      </c>
      <c r="C17" s="37" t="s">
        <v>154</v>
      </c>
      <c r="D17" s="19"/>
      <c r="E17" s="19"/>
      <c r="F17" s="19"/>
      <c r="G17" s="19"/>
      <c r="H17" s="19"/>
      <c r="I17" s="19"/>
      <c r="J17" s="19"/>
      <c r="K17" s="19"/>
      <c r="L17" s="19"/>
      <c r="M17" s="19"/>
      <c r="N17" s="19"/>
      <c r="O17" s="19"/>
      <c r="P17" s="19"/>
      <c r="Q17" s="19"/>
      <c r="R17" s="19"/>
      <c r="S17" s="19"/>
      <c r="T17" s="19"/>
      <c r="U17" s="19"/>
      <c r="V17" s="19"/>
      <c r="W17" s="19"/>
      <c r="X17" s="19"/>
      <c r="Y17" s="19"/>
      <c r="Z17" s="19"/>
    </row>
    <row r="18" ht="21.75" customHeight="1">
      <c r="A18" s="19"/>
      <c r="B18" s="36" t="s">
        <v>155</v>
      </c>
      <c r="C18" s="37" t="s">
        <v>156</v>
      </c>
      <c r="D18" s="19"/>
      <c r="E18" s="19"/>
      <c r="F18" s="19"/>
      <c r="G18" s="19"/>
      <c r="H18" s="19"/>
      <c r="I18" s="19"/>
      <c r="J18" s="19"/>
      <c r="K18" s="19"/>
      <c r="L18" s="19"/>
      <c r="M18" s="19"/>
      <c r="N18" s="19"/>
      <c r="O18" s="19"/>
      <c r="P18" s="19"/>
      <c r="Q18" s="19"/>
      <c r="R18" s="19"/>
      <c r="S18" s="19"/>
      <c r="T18" s="19"/>
      <c r="U18" s="19"/>
      <c r="V18" s="19"/>
      <c r="W18" s="19"/>
      <c r="X18" s="19"/>
      <c r="Y18" s="19"/>
      <c r="Z18" s="19"/>
    </row>
    <row r="19">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ht="15.0" customHeight="1">
      <c r="A20" s="19"/>
      <c r="B20" s="39" t="s">
        <v>157</v>
      </c>
      <c r="C20" s="19"/>
      <c r="D20" s="19"/>
      <c r="E20" s="19"/>
      <c r="F20" s="19"/>
      <c r="G20" s="19"/>
      <c r="H20" s="19"/>
      <c r="I20" s="19"/>
      <c r="J20" s="19"/>
      <c r="K20" s="19"/>
      <c r="L20" s="19"/>
      <c r="M20" s="19"/>
      <c r="N20" s="19"/>
      <c r="O20" s="19"/>
      <c r="P20" s="19"/>
      <c r="Q20" s="19"/>
      <c r="R20" s="19"/>
      <c r="S20" s="19"/>
      <c r="T20" s="19"/>
      <c r="U20" s="19"/>
      <c r="V20" s="19"/>
      <c r="W20" s="19"/>
      <c r="X20" s="19"/>
      <c r="Y20" s="19"/>
      <c r="Z20" s="19"/>
    </row>
    <row r="21" ht="15.7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ht="15.7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ht="15.75" customHeight="1">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ht="15.75" customHeight="1">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ht="15.75" customHeight="1">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ht="15.7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ht="15.7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ht="15.7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ht="15.7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ht="15.7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ht="15.7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ht="15.7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ht="15.7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ht="15.7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ht="15.7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ht="15.7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ht="15.7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5.7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5.7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5.7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5.7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5.7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5.7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5.7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5.7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5.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5.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5.7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5.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5.7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5.7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5.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5.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5.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outlineLevelCol="1"/>
  <cols>
    <col customWidth="1" min="1" max="1" width="10.14"/>
    <col customWidth="1" min="2" max="2" width="11.0"/>
    <col customWidth="1" min="3" max="3" width="43.0"/>
    <col customWidth="1" min="4" max="4" width="28.0"/>
    <col customWidth="1" min="5" max="5" width="12.71"/>
    <col customWidth="1" min="6" max="6" width="26.0"/>
    <col customWidth="1" min="7" max="7" width="12.0"/>
    <col customWidth="1" min="8" max="8" width="10.86"/>
    <col customWidth="1" min="9" max="9" width="13.71"/>
    <col customWidth="1" min="10" max="10" width="30.0"/>
    <col customWidth="1" min="11" max="11" width="28.0"/>
    <col customWidth="1" min="12" max="12" width="30.0"/>
    <col customWidth="1" min="13" max="13" width="17.29"/>
    <col customWidth="1" min="14" max="14" width="12.86"/>
    <col customWidth="1" min="15" max="15" width="15.57"/>
    <col customWidth="1" min="16" max="16" width="20.0"/>
    <col customWidth="1" hidden="1" min="17" max="21" width="7.0" outlineLevel="1"/>
    <col customWidth="1" min="22" max="26" width="8.71"/>
  </cols>
  <sheetData>
    <row r="1" ht="15.75" customHeight="1">
      <c r="A1" s="40" t="s">
        <v>158</v>
      </c>
      <c r="B1" s="1"/>
      <c r="C1" s="1"/>
      <c r="D1" s="1"/>
      <c r="E1" s="1"/>
      <c r="F1" s="1"/>
      <c r="G1" s="41"/>
      <c r="H1" s="1"/>
      <c r="I1" s="1"/>
      <c r="J1" s="1"/>
      <c r="K1" s="1"/>
      <c r="L1" s="1"/>
      <c r="M1" s="1"/>
      <c r="N1" s="1"/>
      <c r="O1" s="1"/>
      <c r="P1" s="1"/>
      <c r="Q1" s="1"/>
      <c r="R1" s="1"/>
      <c r="S1" s="1"/>
      <c r="T1" s="1"/>
      <c r="U1" s="1"/>
      <c r="V1" s="1"/>
      <c r="W1" s="1"/>
      <c r="X1" s="1"/>
      <c r="Y1" s="1"/>
      <c r="Z1" s="1"/>
    </row>
    <row r="2" ht="15.0" customHeight="1">
      <c r="A2" s="42" t="s">
        <v>159</v>
      </c>
      <c r="B2" s="1"/>
      <c r="C2" s="1"/>
      <c r="D2" s="1"/>
      <c r="E2" s="1"/>
      <c r="F2" s="1"/>
      <c r="G2" s="41"/>
      <c r="H2" s="1"/>
      <c r="I2" s="1"/>
      <c r="J2" s="1"/>
      <c r="K2" s="1"/>
      <c r="L2" s="1"/>
      <c r="M2" s="1"/>
      <c r="N2" s="1"/>
      <c r="O2" s="1"/>
      <c r="P2" s="1"/>
      <c r="Q2" s="1"/>
      <c r="R2" s="1"/>
      <c r="S2" s="1"/>
      <c r="T2" s="1"/>
      <c r="U2" s="1"/>
      <c r="V2" s="1"/>
      <c r="W2" s="1"/>
      <c r="X2" s="1"/>
      <c r="Y2" s="1"/>
      <c r="Z2" s="1"/>
    </row>
    <row r="3" ht="15.0" customHeight="1">
      <c r="A3" s="1"/>
      <c r="B3" s="1"/>
      <c r="C3" s="1"/>
      <c r="D3" s="1"/>
      <c r="E3" s="1"/>
      <c r="F3" s="1"/>
      <c r="G3" s="41"/>
      <c r="H3" s="1"/>
      <c r="I3" s="1"/>
      <c r="J3" s="1"/>
      <c r="K3" s="1"/>
      <c r="L3" s="1"/>
      <c r="M3" s="1"/>
      <c r="N3" s="1"/>
      <c r="O3" s="1"/>
      <c r="P3" s="1"/>
      <c r="Q3" s="1"/>
      <c r="R3" s="1"/>
      <c r="S3" s="1"/>
      <c r="T3" s="1"/>
      <c r="U3" s="1"/>
      <c r="V3" s="1"/>
      <c r="W3" s="1"/>
      <c r="X3" s="1"/>
      <c r="Y3" s="1"/>
      <c r="Z3" s="1"/>
    </row>
    <row r="4" ht="31.5" customHeight="1">
      <c r="A4" s="7" t="s">
        <v>160</v>
      </c>
      <c r="B4" s="7" t="s">
        <v>78</v>
      </c>
      <c r="C4" s="7" t="s">
        <v>56</v>
      </c>
      <c r="D4" s="7" t="s">
        <v>161</v>
      </c>
      <c r="E4" s="7" t="s">
        <v>162</v>
      </c>
      <c r="F4" s="7" t="s">
        <v>163</v>
      </c>
      <c r="G4" s="7" t="s">
        <v>164</v>
      </c>
      <c r="H4" s="7" t="s">
        <v>48</v>
      </c>
      <c r="I4" s="7" t="s">
        <v>165</v>
      </c>
      <c r="J4" s="7" t="s">
        <v>57</v>
      </c>
      <c r="K4" s="7" t="s">
        <v>58</v>
      </c>
      <c r="L4" s="7" t="s">
        <v>59</v>
      </c>
      <c r="M4" s="7" t="s">
        <v>46</v>
      </c>
      <c r="N4" s="7" t="s">
        <v>166</v>
      </c>
      <c r="O4" s="7" t="s">
        <v>167</v>
      </c>
      <c r="P4" s="7" t="s">
        <v>168</v>
      </c>
      <c r="Q4" s="43" t="s">
        <v>169</v>
      </c>
      <c r="R4" s="43" t="s">
        <v>170</v>
      </c>
      <c r="S4" s="43" t="s">
        <v>80</v>
      </c>
      <c r="T4" s="43" t="s">
        <v>171</v>
      </c>
      <c r="U4" s="43" t="s">
        <v>172</v>
      </c>
      <c r="V4" s="41"/>
      <c r="W4" s="41"/>
      <c r="X4" s="41"/>
      <c r="Y4" s="41"/>
      <c r="Z4" s="41"/>
    </row>
    <row r="5" ht="15.0" customHeight="1">
      <c r="A5" s="44" t="s">
        <v>173</v>
      </c>
      <c r="B5" s="45"/>
      <c r="C5" s="45"/>
      <c r="D5" s="45"/>
      <c r="E5" s="45"/>
      <c r="F5" s="45"/>
      <c r="G5" s="45"/>
      <c r="H5" s="45"/>
      <c r="I5" s="45"/>
      <c r="J5" s="45"/>
      <c r="K5" s="45"/>
      <c r="L5" s="45"/>
      <c r="M5" s="45"/>
      <c r="N5" s="45"/>
      <c r="O5" s="45"/>
      <c r="P5" s="46"/>
      <c r="Q5" s="1"/>
      <c r="R5" s="1"/>
      <c r="S5" s="1"/>
      <c r="T5" s="1"/>
      <c r="U5" s="1"/>
      <c r="V5" s="1"/>
      <c r="W5" s="1"/>
      <c r="X5" s="1"/>
      <c r="Y5" s="1"/>
      <c r="Z5" s="1"/>
    </row>
    <row r="6" ht="43.5" customHeight="1">
      <c r="A6" s="47" t="s">
        <v>174</v>
      </c>
      <c r="B6" s="47" t="s">
        <v>86</v>
      </c>
      <c r="C6" s="10" t="s">
        <v>175</v>
      </c>
      <c r="D6" s="10" t="s">
        <v>176</v>
      </c>
      <c r="E6" s="47" t="s">
        <v>177</v>
      </c>
      <c r="F6" s="10" t="s">
        <v>178</v>
      </c>
      <c r="G6" s="47" t="s">
        <v>179</v>
      </c>
      <c r="H6" s="47">
        <v>3.0</v>
      </c>
      <c r="I6" s="17">
        <v>2.0</v>
      </c>
      <c r="J6" s="16" t="s">
        <v>180</v>
      </c>
      <c r="K6" s="16" t="s">
        <v>181</v>
      </c>
      <c r="L6" s="16" t="s">
        <v>182</v>
      </c>
      <c r="M6" s="48">
        <f t="shared" ref="M6:M13" si="1">IF(ISNUMBER(I6),(4-I6)*H6*IF(E6="M",1.5,1),"")</f>
        <v>9</v>
      </c>
      <c r="N6" s="49" t="str">
        <f t="shared" ref="N6:N13" si="2">IF(M6="","",IF(M6&gt;=9,"High",IF(M6&gt;=4,"Medium","Low")))</f>
        <v>High</v>
      </c>
      <c r="O6" s="49" t="str">
        <f t="shared" ref="O6:O13" si="3">IF(NOT(ISNUMBER(I6)),IF(I6="NA","N/A","Not scored"),IF(E6="M",IF(I6&gt;=3,"Compliant","Non-compliant"),IF(I6&gt;=3,"Meets GP","Below GP")))</f>
        <v>Non-compliant</v>
      </c>
      <c r="P6" s="10" t="s">
        <v>183</v>
      </c>
      <c r="Q6" s="49">
        <f t="shared" ref="Q6:Q13" si="4">IF(ISNUMBER(I6),I6*H6,0)</f>
        <v>6</v>
      </c>
      <c r="R6" s="49">
        <f t="shared" ref="R6:R13" si="5">IF(ISNUMBER(I6),4*H6,0)</f>
        <v>12</v>
      </c>
      <c r="S6" s="49">
        <f t="shared" ref="S6:S13" si="6">IF(ISNUMBER(I6),1,0)</f>
        <v>1</v>
      </c>
      <c r="T6" s="49">
        <f t="shared" ref="T6:T13" si="7">IF(AND(E6="M",ISNUMBER(I6)),1,0)</f>
        <v>1</v>
      </c>
      <c r="U6" s="49">
        <f t="shared" ref="U6:U13" si="8">IF(AND(E6="M",ISNUMBER(I6)),IF(I6&gt;=3,1,0),0)</f>
        <v>0</v>
      </c>
      <c r="V6" s="1"/>
      <c r="W6" s="1"/>
      <c r="X6" s="1"/>
      <c r="Y6" s="1"/>
      <c r="Z6" s="1"/>
    </row>
    <row r="7" ht="43.5" customHeight="1">
      <c r="A7" s="47" t="s">
        <v>184</v>
      </c>
      <c r="B7" s="47" t="s">
        <v>86</v>
      </c>
      <c r="C7" s="10" t="s">
        <v>185</v>
      </c>
      <c r="D7" s="10" t="s">
        <v>186</v>
      </c>
      <c r="E7" s="47" t="s">
        <v>177</v>
      </c>
      <c r="F7" s="10" t="s">
        <v>187</v>
      </c>
      <c r="G7" s="47" t="s">
        <v>179</v>
      </c>
      <c r="H7" s="47">
        <v>2.0</v>
      </c>
      <c r="I7" s="17">
        <v>2.0</v>
      </c>
      <c r="J7" s="16" t="s">
        <v>188</v>
      </c>
      <c r="K7" s="16" t="s">
        <v>189</v>
      </c>
      <c r="L7" s="16" t="s">
        <v>190</v>
      </c>
      <c r="M7" s="48">
        <f t="shared" si="1"/>
        <v>6</v>
      </c>
      <c r="N7" s="49" t="str">
        <f t="shared" si="2"/>
        <v>Medium</v>
      </c>
      <c r="O7" s="49" t="str">
        <f t="shared" si="3"/>
        <v>Non-compliant</v>
      </c>
      <c r="P7" s="10" t="s">
        <v>191</v>
      </c>
      <c r="Q7" s="49">
        <f t="shared" si="4"/>
        <v>4</v>
      </c>
      <c r="R7" s="49">
        <f t="shared" si="5"/>
        <v>8</v>
      </c>
      <c r="S7" s="49">
        <f t="shared" si="6"/>
        <v>1</v>
      </c>
      <c r="T7" s="49">
        <f t="shared" si="7"/>
        <v>1</v>
      </c>
      <c r="U7" s="49">
        <f t="shared" si="8"/>
        <v>0</v>
      </c>
      <c r="V7" s="1"/>
      <c r="W7" s="1"/>
      <c r="X7" s="1"/>
      <c r="Y7" s="1"/>
      <c r="Z7" s="1"/>
    </row>
    <row r="8" ht="30.75" customHeight="1">
      <c r="A8" s="47" t="s">
        <v>192</v>
      </c>
      <c r="B8" s="47" t="s">
        <v>86</v>
      </c>
      <c r="C8" s="10" t="s">
        <v>193</v>
      </c>
      <c r="D8" s="10" t="s">
        <v>194</v>
      </c>
      <c r="E8" s="47" t="s">
        <v>177</v>
      </c>
      <c r="F8" s="10" t="s">
        <v>195</v>
      </c>
      <c r="G8" s="47" t="s">
        <v>196</v>
      </c>
      <c r="H8" s="47">
        <v>2.0</v>
      </c>
      <c r="I8" s="17">
        <v>4.0</v>
      </c>
      <c r="J8" s="16" t="s">
        <v>197</v>
      </c>
      <c r="K8" s="16" t="s">
        <v>198</v>
      </c>
      <c r="L8" s="16" t="s">
        <v>199</v>
      </c>
      <c r="M8" s="48">
        <f t="shared" si="1"/>
        <v>0</v>
      </c>
      <c r="N8" s="49" t="str">
        <f t="shared" si="2"/>
        <v>Low</v>
      </c>
      <c r="O8" s="49" t="str">
        <f t="shared" si="3"/>
        <v>Compliant</v>
      </c>
      <c r="P8" s="10" t="s">
        <v>191</v>
      </c>
      <c r="Q8" s="49">
        <f t="shared" si="4"/>
        <v>8</v>
      </c>
      <c r="R8" s="49">
        <f t="shared" si="5"/>
        <v>8</v>
      </c>
      <c r="S8" s="49">
        <f t="shared" si="6"/>
        <v>1</v>
      </c>
      <c r="T8" s="49">
        <f t="shared" si="7"/>
        <v>1</v>
      </c>
      <c r="U8" s="49">
        <f t="shared" si="8"/>
        <v>1</v>
      </c>
      <c r="V8" s="1"/>
      <c r="W8" s="1"/>
      <c r="X8" s="1"/>
      <c r="Y8" s="1"/>
      <c r="Z8" s="1"/>
    </row>
    <row r="9" ht="30.75" customHeight="1">
      <c r="A9" s="47" t="s">
        <v>200</v>
      </c>
      <c r="B9" s="47" t="s">
        <v>86</v>
      </c>
      <c r="C9" s="10" t="s">
        <v>201</v>
      </c>
      <c r="D9" s="10" t="s">
        <v>202</v>
      </c>
      <c r="E9" s="47" t="s">
        <v>177</v>
      </c>
      <c r="F9" s="10" t="s">
        <v>203</v>
      </c>
      <c r="G9" s="47" t="s">
        <v>196</v>
      </c>
      <c r="H9" s="47">
        <v>1.0</v>
      </c>
      <c r="I9" s="17">
        <v>4.0</v>
      </c>
      <c r="J9" s="16" t="s">
        <v>204</v>
      </c>
      <c r="K9" s="16" t="s">
        <v>205</v>
      </c>
      <c r="L9" s="16" t="s">
        <v>206</v>
      </c>
      <c r="M9" s="48">
        <f t="shared" si="1"/>
        <v>0</v>
      </c>
      <c r="N9" s="49" t="str">
        <f t="shared" si="2"/>
        <v>Low</v>
      </c>
      <c r="O9" s="49" t="str">
        <f t="shared" si="3"/>
        <v>Compliant</v>
      </c>
      <c r="P9" s="10" t="s">
        <v>207</v>
      </c>
      <c r="Q9" s="49">
        <f t="shared" si="4"/>
        <v>4</v>
      </c>
      <c r="R9" s="49">
        <f t="shared" si="5"/>
        <v>4</v>
      </c>
      <c r="S9" s="49">
        <f t="shared" si="6"/>
        <v>1</v>
      </c>
      <c r="T9" s="49">
        <f t="shared" si="7"/>
        <v>1</v>
      </c>
      <c r="U9" s="49">
        <f t="shared" si="8"/>
        <v>1</v>
      </c>
      <c r="V9" s="1"/>
      <c r="W9" s="1"/>
      <c r="X9" s="1"/>
      <c r="Y9" s="1"/>
      <c r="Z9" s="1"/>
    </row>
    <row r="10" ht="43.5" customHeight="1">
      <c r="A10" s="47" t="s">
        <v>208</v>
      </c>
      <c r="B10" s="47" t="s">
        <v>86</v>
      </c>
      <c r="C10" s="10" t="s">
        <v>209</v>
      </c>
      <c r="D10" s="10" t="s">
        <v>210</v>
      </c>
      <c r="E10" s="47" t="s">
        <v>211</v>
      </c>
      <c r="F10" s="10" t="s">
        <v>212</v>
      </c>
      <c r="G10" s="47" t="s">
        <v>179</v>
      </c>
      <c r="H10" s="47">
        <v>2.0</v>
      </c>
      <c r="I10" s="17">
        <v>3.0</v>
      </c>
      <c r="J10" s="16" t="inlineStr">
        <is>
          <t xml:space="preserve">F: pre-emptive/forced evacuation ordinance in force but needs amendment; granular class suspension needed. DR: CLUP/ZO 2017-2027 in force with Water Code river easements, a 5-m easement on the Marina Fault trace and no-build zones, but no flood, landslide or storm-surge overlay zone (its overlays are heritage, critical habitat, eco-tourism, KBA, TOD and urban corridor). 10-Yr Plan cites an approved Shelter Plan.</t>
        </is>
      </c>
      <c r="K10" s="16" t="inlineStr">
        <is>
          <t xml:space="preserve">Evacuation ordinance lacks procedural steps (who orders, triggers, enforcement); class-suspension rules not barangay-specific; ZO has no hazard overlay zones.</t>
        </is>
      </c>
      <c r="L10" s="16" t="inlineStr">
        <is>
          <t xml:space="preserve">Amend the evacuation ordinance to add procedural statements: triggers tied to the warning-action matrix (A6.2), authority to order, assistance to PWD/elderly, livestock and pets (RA 12287 IRR Rule IV), and enforcement. Add granular (barangay/school-level) class and work suspension. In the CLUP/ZO update, add flood, landslide, storm-surge, liquefaction and tsunami overlay zones (CDRA MDA 1).</t>
        </is>
      </c>
      <c r="M10" s="48">
        <f t="shared" si="1"/>
        <v>2</v>
      </c>
      <c r="N10" s="49" t="str">
        <f t="shared" si="2"/>
        <v>Low</v>
      </c>
      <c r="O10" s="49" t="str">
        <f t="shared" si="3"/>
        <v>Meets GP</v>
      </c>
      <c r="P10" s="10" t="s">
        <v>191</v>
      </c>
      <c r="Q10" s="49">
        <f t="shared" si="4"/>
        <v>6</v>
      </c>
      <c r="R10" s="49">
        <f t="shared" si="5"/>
        <v>8</v>
      </c>
      <c r="S10" s="49">
        <f t="shared" si="6"/>
        <v>1</v>
      </c>
      <c r="T10" s="49">
        <f t="shared" si="7"/>
        <v>0</v>
      </c>
      <c r="U10" s="49">
        <f t="shared" si="8"/>
        <v>0</v>
      </c>
      <c r="V10" s="1"/>
      <c r="W10" s="1"/>
      <c r="X10" s="1"/>
      <c r="Y10" s="1"/>
      <c r="Z10" s="1"/>
    </row>
    <row r="11" ht="55.5" customHeight="1">
      <c r="A11" s="47" t="s">
        <v>216</v>
      </c>
      <c r="B11" s="47" t="s">
        <v>86</v>
      </c>
      <c r="C11" s="10" t="s">
        <v>217</v>
      </c>
      <c r="D11" s="10" t="s">
        <v>218</v>
      </c>
      <c r="E11" s="47" t="s">
        <v>177</v>
      </c>
      <c r="F11" s="10" t="s">
        <v>219</v>
      </c>
      <c r="G11" s="47" t="s">
        <v>196</v>
      </c>
      <c r="H11" s="47">
        <v>3.0</v>
      </c>
      <c r="I11" s="17">
        <v>3.0</v>
      </c>
      <c r="J11" s="16" t="s">
        <v>220</v>
      </c>
      <c r="K11" s="16" t="s">
        <v>221</v>
      </c>
      <c r="L11" s="16" t="s">
        <v>222</v>
      </c>
      <c r="M11" s="48">
        <f t="shared" si="1"/>
        <v>4.5</v>
      </c>
      <c r="N11" s="49" t="str">
        <f t="shared" si="2"/>
        <v>Medium</v>
      </c>
      <c r="O11" s="49" t="str">
        <f t="shared" si="3"/>
        <v>Compliant</v>
      </c>
      <c r="P11" s="10" t="s">
        <v>191</v>
      </c>
      <c r="Q11" s="49">
        <f t="shared" si="4"/>
        <v>9</v>
      </c>
      <c r="R11" s="49">
        <f t="shared" si="5"/>
        <v>12</v>
      </c>
      <c r="S11" s="49">
        <f t="shared" si="6"/>
        <v>1</v>
      </c>
      <c r="T11" s="49">
        <f t="shared" si="7"/>
        <v>1</v>
      </c>
      <c r="U11" s="49">
        <f t="shared" si="8"/>
        <v>1</v>
      </c>
      <c r="V11" s="1"/>
      <c r="W11" s="1"/>
      <c r="X11" s="1"/>
      <c r="Y11" s="1"/>
      <c r="Z11" s="1"/>
    </row>
    <row r="12" ht="30.75" customHeight="1">
      <c r="A12" s="47" t="s">
        <v>223</v>
      </c>
      <c r="B12" s="47" t="s">
        <v>86</v>
      </c>
      <c r="C12" s="10" t="s">
        <v>224</v>
      </c>
      <c r="D12" s="10" t="s">
        <v>225</v>
      </c>
      <c r="E12" s="47" t="s">
        <v>211</v>
      </c>
      <c r="F12" s="10" t="s">
        <v>226</v>
      </c>
      <c r="G12" s="47" t="s">
        <v>196</v>
      </c>
      <c r="H12" s="47">
        <v>1.0</v>
      </c>
      <c r="I12" s="17">
        <v>4.0</v>
      </c>
      <c r="J12" s="16" t="s">
        <v>227</v>
      </c>
      <c r="K12" s="16" t="s">
        <v>228</v>
      </c>
      <c r="L12" s="16" t="s">
        <v>229</v>
      </c>
      <c r="M12" s="48">
        <f t="shared" si="1"/>
        <v>0</v>
      </c>
      <c r="N12" s="49" t="str">
        <f t="shared" si="2"/>
        <v>Low</v>
      </c>
      <c r="O12" s="49" t="str">
        <f t="shared" si="3"/>
        <v>Meets GP</v>
      </c>
      <c r="P12" s="10" t="s">
        <v>191</v>
      </c>
      <c r="Q12" s="49">
        <f t="shared" si="4"/>
        <v>4</v>
      </c>
      <c r="R12" s="49">
        <f t="shared" si="5"/>
        <v>4</v>
      </c>
      <c r="S12" s="49">
        <f t="shared" si="6"/>
        <v>1</v>
      </c>
      <c r="T12" s="49">
        <f t="shared" si="7"/>
        <v>0</v>
      </c>
      <c r="U12" s="49">
        <f t="shared" si="8"/>
        <v>0</v>
      </c>
      <c r="V12" s="1"/>
      <c r="W12" s="1"/>
      <c r="X12" s="1"/>
      <c r="Y12" s="1"/>
      <c r="Z12" s="1"/>
    </row>
    <row r="13" ht="105.75" customHeight="1">
      <c r="A13" s="47" t="s">
        <v>230</v>
      </c>
      <c r="B13" s="47" t="s">
        <v>86</v>
      </c>
      <c r="C13" s="10" t="s">
        <v>231</v>
      </c>
      <c r="D13" s="10" t="s">
        <v>232</v>
      </c>
      <c r="E13" s="47" t="s">
        <v>177</v>
      </c>
      <c r="F13" s="10" t="s">
        <v>233</v>
      </c>
      <c r="G13" s="47" t="s">
        <v>196</v>
      </c>
      <c r="H13" s="47">
        <v>3.0</v>
      </c>
      <c r="I13" s="17">
        <v>1.0</v>
      </c>
      <c r="J13" s="16" t="s">
        <v>234</v>
      </c>
      <c r="K13" s="16" t="s">
        <v>235</v>
      </c>
      <c r="L13" s="16" t="s">
        <v>236</v>
      </c>
      <c r="M13" s="48">
        <f t="shared" si="1"/>
        <v>13.5</v>
      </c>
      <c r="N13" s="49" t="str">
        <f t="shared" si="2"/>
        <v>High</v>
      </c>
      <c r="O13" s="49" t="str">
        <f t="shared" si="3"/>
        <v>Non-compliant</v>
      </c>
      <c r="P13" s="10" t="s">
        <v>237</v>
      </c>
      <c r="Q13" s="49">
        <f t="shared" si="4"/>
        <v>3</v>
      </c>
      <c r="R13" s="49">
        <f t="shared" si="5"/>
        <v>12</v>
      </c>
      <c r="S13" s="49">
        <f t="shared" si="6"/>
        <v>1</v>
      </c>
      <c r="T13" s="49">
        <f t="shared" si="7"/>
        <v>1</v>
      </c>
      <c r="U13" s="49">
        <f t="shared" si="8"/>
        <v>0</v>
      </c>
      <c r="V13" s="1"/>
      <c r="W13" s="1"/>
      <c r="X13" s="1"/>
      <c r="Y13" s="1"/>
      <c r="Z13" s="1"/>
    </row>
    <row r="14" ht="15.0" customHeight="1">
      <c r="A14" s="44" t="s">
        <v>238</v>
      </c>
      <c r="B14" s="45"/>
      <c r="C14" s="45"/>
      <c r="D14" s="45"/>
      <c r="E14" s="45"/>
      <c r="F14" s="45"/>
      <c r="G14" s="45"/>
      <c r="H14" s="45"/>
      <c r="I14" s="45"/>
      <c r="J14" s="45"/>
      <c r="K14" s="45"/>
      <c r="L14" s="45"/>
      <c r="M14" s="45"/>
      <c r="N14" s="45"/>
      <c r="O14" s="45"/>
      <c r="P14" s="46"/>
      <c r="Q14" s="1"/>
      <c r="R14" s="1"/>
      <c r="S14" s="1"/>
      <c r="T14" s="1"/>
      <c r="U14" s="1"/>
      <c r="V14" s="1"/>
      <c r="W14" s="1"/>
      <c r="X14" s="1"/>
      <c r="Y14" s="1"/>
      <c r="Z14" s="1"/>
    </row>
    <row r="15" ht="43.5" customHeight="1">
      <c r="A15" s="47" t="s">
        <v>239</v>
      </c>
      <c r="B15" s="47" t="s">
        <v>88</v>
      </c>
      <c r="C15" s="10" t="s">
        <v>240</v>
      </c>
      <c r="D15" s="10" t="s">
        <v>241</v>
      </c>
      <c r="E15" s="47" t="s">
        <v>177</v>
      </c>
      <c r="F15" s="10" t="s">
        <v>242</v>
      </c>
      <c r="G15" s="47" t="s">
        <v>179</v>
      </c>
      <c r="H15" s="47">
        <v>3.0</v>
      </c>
      <c r="I15" s="17">
        <v>2.0</v>
      </c>
      <c r="J15" s="16" t="s">
        <v>243</v>
      </c>
      <c r="K15" s="16" t="s">
        <v>244</v>
      </c>
      <c r="L15" s="16" t="s">
        <v>245</v>
      </c>
      <c r="M15" s="48">
        <f t="shared" ref="M15:M24" si="9">IF(ISNUMBER(I15),(4-I15)*H15*IF(E15="M",1.5,1),"")</f>
        <v>9</v>
      </c>
      <c r="N15" s="49" t="str">
        <f t="shared" ref="N15:N24" si="10">IF(M15="","",IF(M15&gt;=9,"High",IF(M15&gt;=4,"Medium","Low")))</f>
        <v>High</v>
      </c>
      <c r="O15" s="49" t="str">
        <f t="shared" ref="O15:O24" si="11">IF(NOT(ISNUMBER(I15)),IF(I15="NA","N/A","Not scored"),IF(E15="M",IF(I15&gt;=3,"Compliant","Non-compliant"),IF(I15&gt;=3,"Meets GP","Below GP")))</f>
        <v>Non-compliant</v>
      </c>
      <c r="P15" s="10" t="s">
        <v>207</v>
      </c>
      <c r="Q15" s="49">
        <f t="shared" ref="Q15:Q24" si="12">IF(ISNUMBER(I15),I15*H15,0)</f>
        <v>6</v>
      </c>
      <c r="R15" s="49">
        <f t="shared" ref="R15:R24" si="13">IF(ISNUMBER(I15),4*H15,0)</f>
        <v>12</v>
      </c>
      <c r="S15" s="49">
        <f t="shared" ref="S15:S24" si="14">IF(ISNUMBER(I15),1,0)</f>
        <v>1</v>
      </c>
      <c r="T15" s="49">
        <f t="shared" ref="T15:T24" si="15">IF(AND(E15="M",ISNUMBER(I15)),1,0)</f>
        <v>1</v>
      </c>
      <c r="U15" s="49">
        <f t="shared" ref="U15:U24" si="16">IF(AND(E15="M",ISNUMBER(I15)),IF(I15&gt;=3,1,0),0)</f>
        <v>0</v>
      </c>
      <c r="V15" s="1"/>
      <c r="W15" s="1"/>
      <c r="X15" s="1"/>
      <c r="Y15" s="1"/>
      <c r="Z15" s="1"/>
    </row>
    <row r="16" ht="30.75" customHeight="1">
      <c r="A16" s="47" t="s">
        <v>246</v>
      </c>
      <c r="B16" s="47" t="s">
        <v>88</v>
      </c>
      <c r="C16" s="10" t="s">
        <v>247</v>
      </c>
      <c r="D16" s="10" t="s">
        <v>248</v>
      </c>
      <c r="E16" s="47" t="s">
        <v>177</v>
      </c>
      <c r="F16" s="10" t="s">
        <v>249</v>
      </c>
      <c r="G16" s="47" t="s">
        <v>179</v>
      </c>
      <c r="H16" s="47">
        <v>3.0</v>
      </c>
      <c r="I16" s="17">
        <v>4.0</v>
      </c>
      <c r="J16" s="16" t="s">
        <v>250</v>
      </c>
      <c r="K16" s="16" t="s">
        <v>251</v>
      </c>
      <c r="L16" s="16" t="s">
        <v>252</v>
      </c>
      <c r="M16" s="48">
        <f t="shared" si="9"/>
        <v>0</v>
      </c>
      <c r="N16" s="49" t="str">
        <f t="shared" si="10"/>
        <v>Low</v>
      </c>
      <c r="O16" s="49" t="str">
        <f t="shared" si="11"/>
        <v>Compliant</v>
      </c>
      <c r="P16" s="10" t="s">
        <v>253</v>
      </c>
      <c r="Q16" s="49">
        <f t="shared" si="12"/>
        <v>12</v>
      </c>
      <c r="R16" s="49">
        <f t="shared" si="13"/>
        <v>12</v>
      </c>
      <c r="S16" s="49">
        <f t="shared" si="14"/>
        <v>1</v>
      </c>
      <c r="T16" s="49">
        <f t="shared" si="15"/>
        <v>1</v>
      </c>
      <c r="U16" s="49">
        <f t="shared" si="16"/>
        <v>1</v>
      </c>
      <c r="V16" s="1"/>
      <c r="W16" s="1"/>
      <c r="X16" s="1"/>
      <c r="Y16" s="1"/>
      <c r="Z16" s="1"/>
    </row>
    <row r="17" ht="30.75" customHeight="1">
      <c r="A17" s="47" t="s">
        <v>254</v>
      </c>
      <c r="B17" s="47" t="s">
        <v>88</v>
      </c>
      <c r="C17" s="10" t="s">
        <v>255</v>
      </c>
      <c r="D17" s="10" t="s">
        <v>256</v>
      </c>
      <c r="E17" s="47" t="s">
        <v>177</v>
      </c>
      <c r="F17" s="10" t="s">
        <v>257</v>
      </c>
      <c r="G17" s="47" t="s">
        <v>179</v>
      </c>
      <c r="H17" s="47">
        <v>3.0</v>
      </c>
      <c r="I17" s="17">
        <v>2.0</v>
      </c>
      <c r="J17" s="16" t="s">
        <v>258</v>
      </c>
      <c r="K17" s="16" t="s">
        <v>259</v>
      </c>
      <c r="L17" s="16" t="s">
        <v>260</v>
      </c>
      <c r="M17" s="48">
        <f t="shared" si="9"/>
        <v>9</v>
      </c>
      <c r="N17" s="49" t="str">
        <f t="shared" si="10"/>
        <v>High</v>
      </c>
      <c r="O17" s="49" t="str">
        <f t="shared" si="11"/>
        <v>Non-compliant</v>
      </c>
      <c r="P17" s="10" t="s">
        <v>253</v>
      </c>
      <c r="Q17" s="49">
        <f t="shared" si="12"/>
        <v>6</v>
      </c>
      <c r="R17" s="49">
        <f t="shared" si="13"/>
        <v>12</v>
      </c>
      <c r="S17" s="49">
        <f t="shared" si="14"/>
        <v>1</v>
      </c>
      <c r="T17" s="49">
        <f t="shared" si="15"/>
        <v>1</v>
      </c>
      <c r="U17" s="49">
        <f t="shared" si="16"/>
        <v>0</v>
      </c>
      <c r="V17" s="1"/>
      <c r="W17" s="1"/>
      <c r="X17" s="1"/>
      <c r="Y17" s="1"/>
      <c r="Z17" s="1"/>
    </row>
    <row r="18" ht="30.75" customHeight="1">
      <c r="A18" s="47" t="s">
        <v>261</v>
      </c>
      <c r="B18" s="47" t="s">
        <v>88</v>
      </c>
      <c r="C18" s="10" t="s">
        <v>262</v>
      </c>
      <c r="D18" s="10" t="s">
        <v>263</v>
      </c>
      <c r="E18" s="47" t="s">
        <v>177</v>
      </c>
      <c r="F18" s="10" t="s">
        <v>264</v>
      </c>
      <c r="G18" s="47" t="s">
        <v>179</v>
      </c>
      <c r="H18" s="47">
        <v>2.0</v>
      </c>
      <c r="I18" s="17">
        <v>2.0</v>
      </c>
      <c r="J18" s="16" t="s">
        <v>265</v>
      </c>
      <c r="K18" s="16" t="s">
        <v>266</v>
      </c>
      <c r="L18" s="16" t="s">
        <v>267</v>
      </c>
      <c r="M18" s="48">
        <f t="shared" si="9"/>
        <v>6</v>
      </c>
      <c r="N18" s="49" t="str">
        <f t="shared" si="10"/>
        <v>Medium</v>
      </c>
      <c r="O18" s="49" t="str">
        <f t="shared" si="11"/>
        <v>Non-compliant</v>
      </c>
      <c r="P18" s="10" t="s">
        <v>268</v>
      </c>
      <c r="Q18" s="49">
        <f t="shared" si="12"/>
        <v>4</v>
      </c>
      <c r="R18" s="49">
        <f t="shared" si="13"/>
        <v>8</v>
      </c>
      <c r="S18" s="49">
        <f t="shared" si="14"/>
        <v>1</v>
      </c>
      <c r="T18" s="49">
        <f t="shared" si="15"/>
        <v>1</v>
      </c>
      <c r="U18" s="49">
        <f t="shared" si="16"/>
        <v>0</v>
      </c>
      <c r="V18" s="1"/>
      <c r="W18" s="1"/>
      <c r="X18" s="1"/>
      <c r="Y18" s="1"/>
      <c r="Z18" s="1"/>
    </row>
    <row r="19" ht="30.75" customHeight="1">
      <c r="A19" s="47" t="s">
        <v>269</v>
      </c>
      <c r="B19" s="47" t="s">
        <v>88</v>
      </c>
      <c r="C19" s="10" t="s">
        <v>270</v>
      </c>
      <c r="D19" s="10" t="s">
        <v>271</v>
      </c>
      <c r="E19" s="47" t="s">
        <v>177</v>
      </c>
      <c r="F19" s="10" t="s">
        <v>272</v>
      </c>
      <c r="G19" s="47" t="s">
        <v>273</v>
      </c>
      <c r="H19" s="47">
        <v>3.0</v>
      </c>
      <c r="I19" s="17">
        <v>1.0</v>
      </c>
      <c r="J19" s="16" t="s">
        <v>274</v>
      </c>
      <c r="K19" s="16" t="s">
        <v>275</v>
      </c>
      <c r="L19" s="16" t="inlineStr">
        <is>
          <t xml:space="preserve">Write the OpCen normal-operations SOP (shifts, handover, monitoring, logbook, reporting times 6AM/6PM per RDRRMC8 Res. 12-006) as EOC Manual Ch.4/Ch.5, using the RDRRMOC SOPG 2022 forms (turn-over document, swapping form, duty composition by alert level); have it approved and keep 3 months of rosters as proof of use.</t>
        </is>
      </c>
      <c r="M19" s="48">
        <f t="shared" si="9"/>
        <v>13.5</v>
      </c>
      <c r="N19" s="49" t="str">
        <f t="shared" si="10"/>
        <v>High</v>
      </c>
      <c r="O19" s="49" t="str">
        <f t="shared" si="11"/>
        <v>Non-compliant</v>
      </c>
      <c r="P19" s="10" t="s">
        <v>277</v>
      </c>
      <c r="Q19" s="49">
        <f t="shared" si="12"/>
        <v>3</v>
      </c>
      <c r="R19" s="49">
        <f t="shared" si="13"/>
        <v>12</v>
      </c>
      <c r="S19" s="49">
        <f t="shared" si="14"/>
        <v>1</v>
      </c>
      <c r="T19" s="49">
        <f t="shared" si="15"/>
        <v>1</v>
      </c>
      <c r="U19" s="49">
        <f t="shared" si="16"/>
        <v>0</v>
      </c>
      <c r="V19" s="1"/>
      <c r="W19" s="1"/>
      <c r="X19" s="1"/>
      <c r="Y19" s="1"/>
      <c r="Z19" s="1"/>
    </row>
    <row r="20" ht="43.5" customHeight="1">
      <c r="A20" s="47" t="s">
        <v>278</v>
      </c>
      <c r="B20" s="47" t="s">
        <v>88</v>
      </c>
      <c r="C20" s="10" t="s">
        <v>279</v>
      </c>
      <c r="D20" s="10" t="s">
        <v>280</v>
      </c>
      <c r="E20" s="47" t="s">
        <v>211</v>
      </c>
      <c r="F20" s="10" t="s">
        <v>281</v>
      </c>
      <c r="G20" s="47" t="s">
        <v>196</v>
      </c>
      <c r="H20" s="47">
        <v>2.0</v>
      </c>
      <c r="I20" s="17">
        <v>1.0</v>
      </c>
      <c r="J20" s="16" t="s">
        <v>282</v>
      </c>
      <c r="K20" s="16" t="s">
        <v>283</v>
      </c>
      <c r="L20" s="16" t="s">
        <v>284</v>
      </c>
      <c r="M20" s="48">
        <f t="shared" si="9"/>
        <v>6</v>
      </c>
      <c r="N20" s="49" t="str">
        <f t="shared" si="10"/>
        <v>Medium</v>
      </c>
      <c r="O20" s="49" t="str">
        <f t="shared" si="11"/>
        <v>Below GP</v>
      </c>
      <c r="P20" s="10" t="s">
        <v>285</v>
      </c>
      <c r="Q20" s="49">
        <f t="shared" si="12"/>
        <v>2</v>
      </c>
      <c r="R20" s="49">
        <f t="shared" si="13"/>
        <v>8</v>
      </c>
      <c r="S20" s="49">
        <f t="shared" si="14"/>
        <v>1</v>
      </c>
      <c r="T20" s="49">
        <f t="shared" si="15"/>
        <v>0</v>
      </c>
      <c r="U20" s="49">
        <f t="shared" si="16"/>
        <v>0</v>
      </c>
      <c r="V20" s="1"/>
      <c r="W20" s="1"/>
      <c r="X20" s="1"/>
      <c r="Y20" s="1"/>
      <c r="Z20" s="1"/>
    </row>
    <row r="21" ht="30.75" customHeight="1">
      <c r="A21" s="47" t="s">
        <v>286</v>
      </c>
      <c r="B21" s="47" t="s">
        <v>88</v>
      </c>
      <c r="C21" s="10" t="s">
        <v>287</v>
      </c>
      <c r="D21" s="10" t="s">
        <v>288</v>
      </c>
      <c r="E21" s="47" t="s">
        <v>177</v>
      </c>
      <c r="F21" s="10" t="s">
        <v>289</v>
      </c>
      <c r="G21" s="47" t="s">
        <v>196</v>
      </c>
      <c r="H21" s="47">
        <v>2.0</v>
      </c>
      <c r="I21" s="17">
        <v>1.0</v>
      </c>
      <c r="J21" s="16" t="s">
        <v>290</v>
      </c>
      <c r="K21" s="16" t="s">
        <v>291</v>
      </c>
      <c r="L21" s="16" t="s">
        <v>292</v>
      </c>
      <c r="M21" s="48">
        <f t="shared" si="9"/>
        <v>9</v>
      </c>
      <c r="N21" s="49" t="str">
        <f t="shared" si="10"/>
        <v>High</v>
      </c>
      <c r="O21" s="49" t="str">
        <f t="shared" si="11"/>
        <v>Non-compliant</v>
      </c>
      <c r="P21" s="10" t="s">
        <v>293</v>
      </c>
      <c r="Q21" s="49">
        <f t="shared" si="12"/>
        <v>2</v>
      </c>
      <c r="R21" s="49">
        <f t="shared" si="13"/>
        <v>8</v>
      </c>
      <c r="S21" s="49">
        <f t="shared" si="14"/>
        <v>1</v>
      </c>
      <c r="T21" s="49">
        <f t="shared" si="15"/>
        <v>1</v>
      </c>
      <c r="U21" s="49">
        <f t="shared" si="16"/>
        <v>0</v>
      </c>
      <c r="V21" s="1"/>
      <c r="W21" s="1"/>
      <c r="X21" s="1"/>
      <c r="Y21" s="1"/>
      <c r="Z21" s="1"/>
    </row>
    <row r="22" ht="55.5" customHeight="1">
      <c r="A22" s="47" t="s">
        <v>294</v>
      </c>
      <c r="B22" s="47" t="s">
        <v>88</v>
      </c>
      <c r="C22" s="10" t="s">
        <v>295</v>
      </c>
      <c r="D22" s="10" t="s">
        <v>296</v>
      </c>
      <c r="E22" s="47" t="s">
        <v>211</v>
      </c>
      <c r="F22" s="10" t="s">
        <v>297</v>
      </c>
      <c r="G22" s="47" t="s">
        <v>196</v>
      </c>
      <c r="H22" s="47">
        <v>1.0</v>
      </c>
      <c r="I22" s="17">
        <v>3.0</v>
      </c>
      <c r="J22" s="16" t="s">
        <v>298</v>
      </c>
      <c r="K22" s="16" t="s">
        <v>299</v>
      </c>
      <c r="L22" s="16" t="s">
        <v>300</v>
      </c>
      <c r="M22" s="48">
        <f t="shared" si="9"/>
        <v>1</v>
      </c>
      <c r="N22" s="49" t="str">
        <f t="shared" si="10"/>
        <v>Low</v>
      </c>
      <c r="O22" s="49" t="str">
        <f t="shared" si="11"/>
        <v>Meets GP</v>
      </c>
      <c r="P22" s="10" t="s">
        <v>301</v>
      </c>
      <c r="Q22" s="49">
        <f t="shared" si="12"/>
        <v>3</v>
      </c>
      <c r="R22" s="49">
        <f t="shared" si="13"/>
        <v>4</v>
      </c>
      <c r="S22" s="49">
        <f t="shared" si="14"/>
        <v>1</v>
      </c>
      <c r="T22" s="49">
        <f t="shared" si="15"/>
        <v>0</v>
      </c>
      <c r="U22" s="49">
        <f t="shared" si="16"/>
        <v>0</v>
      </c>
      <c r="V22" s="1"/>
      <c r="W22" s="1"/>
      <c r="X22" s="1"/>
      <c r="Y22" s="1"/>
      <c r="Z22" s="1"/>
    </row>
    <row r="23" ht="55.5" customHeight="1">
      <c r="A23" s="47" t="s">
        <v>302</v>
      </c>
      <c r="B23" s="47" t="s">
        <v>88</v>
      </c>
      <c r="C23" s="10" t="s">
        <v>303</v>
      </c>
      <c r="D23" s="10" t="s">
        <v>304</v>
      </c>
      <c r="E23" s="47" t="s">
        <v>177</v>
      </c>
      <c r="F23" s="10" t="s">
        <v>305</v>
      </c>
      <c r="G23" s="47" t="s">
        <v>179</v>
      </c>
      <c r="H23" s="47">
        <v>2.0</v>
      </c>
      <c r="I23" s="17">
        <v>0.0</v>
      </c>
      <c r="J23" s="16" t="s">
        <v>306</v>
      </c>
      <c r="K23" s="16" t="s">
        <v>307</v>
      </c>
      <c r="L23" s="16" t="s">
        <v>308</v>
      </c>
      <c r="M23" s="48">
        <f t="shared" si="9"/>
        <v>12</v>
      </c>
      <c r="N23" s="49" t="str">
        <f t="shared" si="10"/>
        <v>High</v>
      </c>
      <c r="O23" s="49" t="str">
        <f t="shared" si="11"/>
        <v>Non-compliant</v>
      </c>
      <c r="P23" s="10" t="s">
        <v>309</v>
      </c>
      <c r="Q23" s="49">
        <f t="shared" si="12"/>
        <v>0</v>
      </c>
      <c r="R23" s="49">
        <f t="shared" si="13"/>
        <v>8</v>
      </c>
      <c r="S23" s="49">
        <f t="shared" si="14"/>
        <v>1</v>
      </c>
      <c r="T23" s="49">
        <f t="shared" si="15"/>
        <v>1</v>
      </c>
      <c r="U23" s="49">
        <f t="shared" si="16"/>
        <v>0</v>
      </c>
      <c r="V23" s="1"/>
      <c r="W23" s="1"/>
      <c r="X23" s="1"/>
      <c r="Y23" s="1"/>
      <c r="Z23" s="1"/>
    </row>
    <row r="24" ht="55.5" customHeight="1">
      <c r="A24" s="47" t="s">
        <v>310</v>
      </c>
      <c r="B24" s="47" t="s">
        <v>88</v>
      </c>
      <c r="C24" s="10" t="s">
        <v>311</v>
      </c>
      <c r="D24" s="10" t="s">
        <v>312</v>
      </c>
      <c r="E24" s="47" t="s">
        <v>211</v>
      </c>
      <c r="F24" s="10" t="s">
        <v>313</v>
      </c>
      <c r="G24" s="47" t="s">
        <v>179</v>
      </c>
      <c r="H24" s="47">
        <v>1.0</v>
      </c>
      <c r="I24" s="17">
        <v>1.0</v>
      </c>
      <c r="J24" s="16" t="s">
        <v>314</v>
      </c>
      <c r="K24" s="16" t="s">
        <v>315</v>
      </c>
      <c r="L24" s="16" t="s">
        <v>316</v>
      </c>
      <c r="M24" s="48">
        <f t="shared" si="9"/>
        <v>3</v>
      </c>
      <c r="N24" s="49" t="str">
        <f t="shared" si="10"/>
        <v>Low</v>
      </c>
      <c r="O24" s="49" t="str">
        <f t="shared" si="11"/>
        <v>Below GP</v>
      </c>
      <c r="P24" s="10" t="s">
        <v>301</v>
      </c>
      <c r="Q24" s="49">
        <f t="shared" si="12"/>
        <v>1</v>
      </c>
      <c r="R24" s="49">
        <f t="shared" si="13"/>
        <v>4</v>
      </c>
      <c r="S24" s="49">
        <f t="shared" si="14"/>
        <v>1</v>
      </c>
      <c r="T24" s="49">
        <f t="shared" si="15"/>
        <v>0</v>
      </c>
      <c r="U24" s="49">
        <f t="shared" si="16"/>
        <v>0</v>
      </c>
      <c r="V24" s="1"/>
      <c r="W24" s="1"/>
      <c r="X24" s="1"/>
      <c r="Y24" s="1"/>
      <c r="Z24" s="1"/>
    </row>
    <row r="25" ht="15.0" customHeight="1">
      <c r="A25" s="44" t="s">
        <v>317</v>
      </c>
      <c r="B25" s="45"/>
      <c r="C25" s="45"/>
      <c r="D25" s="45"/>
      <c r="E25" s="45"/>
      <c r="F25" s="45"/>
      <c r="G25" s="45"/>
      <c r="H25" s="45"/>
      <c r="I25" s="45"/>
      <c r="J25" s="45"/>
      <c r="K25" s="45"/>
      <c r="L25" s="45"/>
      <c r="M25" s="45"/>
      <c r="N25" s="45"/>
      <c r="O25" s="45"/>
      <c r="P25" s="46"/>
      <c r="Q25" s="1"/>
      <c r="R25" s="1"/>
      <c r="S25" s="1"/>
      <c r="T25" s="1"/>
      <c r="U25" s="1"/>
      <c r="V25" s="1"/>
      <c r="W25" s="1"/>
      <c r="X25" s="1"/>
      <c r="Y25" s="1"/>
      <c r="Z25" s="1"/>
    </row>
    <row r="26" ht="43.5" customHeight="1">
      <c r="A26" s="47" t="s">
        <v>318</v>
      </c>
      <c r="B26" s="47" t="s">
        <v>90</v>
      </c>
      <c r="C26" s="10" t="s">
        <v>319</v>
      </c>
      <c r="D26" s="10" t="s">
        <v>320</v>
      </c>
      <c r="E26" s="47" t="s">
        <v>177</v>
      </c>
      <c r="F26" s="10" t="s">
        <v>321</v>
      </c>
      <c r="G26" s="47" t="s">
        <v>179</v>
      </c>
      <c r="H26" s="47">
        <v>3.0</v>
      </c>
      <c r="I26" s="17">
        <v>4.0</v>
      </c>
      <c r="J26" s="16" t="s">
        <v>322</v>
      </c>
      <c r="K26" s="16" t="s">
        <v>323</v>
      </c>
      <c r="L26" s="16" t="s">
        <v>324</v>
      </c>
      <c r="M26" s="48">
        <f t="shared" ref="M26:M32" si="17">IF(ISNUMBER(I26),(4-I26)*H26*IF(E26="M",1.5,1),"")</f>
        <v>0</v>
      </c>
      <c r="N26" s="49" t="str">
        <f t="shared" ref="N26:N32" si="18">IF(M26="","",IF(M26&gt;=9,"High",IF(M26&gt;=4,"Medium","Low")))</f>
        <v>Low</v>
      </c>
      <c r="O26" s="49" t="str">
        <f t="shared" ref="O26:O32" si="19">IF(NOT(ISNUMBER(I26)),IF(I26="NA","N/A","Not scored"),IF(E26="M",IF(I26&gt;=3,"Compliant","Non-compliant"),IF(I26&gt;=3,"Meets GP","Below GP")))</f>
        <v>Compliant</v>
      </c>
      <c r="P26" s="10" t="s">
        <v>325</v>
      </c>
      <c r="Q26" s="49">
        <f t="shared" ref="Q26:Q32" si="20">IF(ISNUMBER(I26),I26*H26,0)</f>
        <v>12</v>
      </c>
      <c r="R26" s="49">
        <f t="shared" ref="R26:R32" si="21">IF(ISNUMBER(I26),4*H26,0)</f>
        <v>12</v>
      </c>
      <c r="S26" s="49">
        <f t="shared" ref="S26:S32" si="22">IF(ISNUMBER(I26),1,0)</f>
        <v>1</v>
      </c>
      <c r="T26" s="49">
        <f t="shared" ref="T26:T32" si="23">IF(AND(E26="M",ISNUMBER(I26)),1,0)</f>
        <v>1</v>
      </c>
      <c r="U26" s="49">
        <f t="shared" ref="U26:U32" si="24">IF(AND(E26="M",ISNUMBER(I26)),IF(I26&gt;=3,1,0),0)</f>
        <v>1</v>
      </c>
      <c r="V26" s="1"/>
      <c r="W26" s="1"/>
      <c r="X26" s="1"/>
      <c r="Y26" s="1"/>
      <c r="Z26" s="1"/>
    </row>
    <row r="27" ht="43.5" customHeight="1">
      <c r="A27" s="47" t="s">
        <v>326</v>
      </c>
      <c r="B27" s="47" t="s">
        <v>90</v>
      </c>
      <c r="C27" s="10" t="s">
        <v>327</v>
      </c>
      <c r="D27" s="10" t="s">
        <v>328</v>
      </c>
      <c r="E27" s="47" t="s">
        <v>177</v>
      </c>
      <c r="F27" s="10" t="s">
        <v>329</v>
      </c>
      <c r="G27" s="47" t="s">
        <v>179</v>
      </c>
      <c r="H27" s="47">
        <v>2.0</v>
      </c>
      <c r="I27" s="17">
        <v>2</v>
      </c>
      <c r="J27" s="16" t="inlineStr">
        <is>
          <t xml:space="preserve">F: plans mainstreaming and provisions need review. DR: CLUP 2017-2027 has a DRRM-CCA sectoral chapter and fault/river easements, but no hazard overlay zones; it still uses 110 barangays and predates the CDRA. CDRA Final Report (TWG under EO 2023-0025) Ch.6 sets 8 Major Decision Areas to feed the CLUP, ZO, CDP, LCCAP, LDRRMP and LDRRMFIP.</t>
        </is>
      </c>
      <c r="K27" s="16" t="inlineStr">
        <is>
          <t xml:space="preserve">Assessor adjustment 3 -&gt; 2 (conflicting evidence, take the lower): CDRA results are not yet carried into zoning overlays, a project screening step (C1.2) or the CDP/AIP. Restore to 3 when the updated CLUP/ZO is approved with CDRA overlays.</t>
        </is>
      </c>
      <c r="L27" s="16" t="inlineStr">
        <is>
          <t xml:space="preserve">Use the CLUP/ZO update to adopt CDRA hazard overlays and the MDA 1-8 interventions; tag CDP/AIP and LCCAP projects to CDRA risk-register entries; review mainstreaming in CDP, CLUP, ELA and LCCAP (see C1.1-C1.4).</t>
        </is>
      </c>
      <c r="M27" s="48">
        <f t="shared" si="17"/>
        <v>3</v>
      </c>
      <c r="N27" s="49" t="str">
        <f t="shared" si="18"/>
        <v>Low</v>
      </c>
      <c r="O27" s="49" t="str">
        <f t="shared" si="19"/>
        <v>Compliant</v>
      </c>
      <c r="P27" s="10" t="s">
        <v>333</v>
      </c>
      <c r="Q27" s="49">
        <f t="shared" si="20"/>
        <v>6</v>
      </c>
      <c r="R27" s="49">
        <f t="shared" si="21"/>
        <v>8</v>
      </c>
      <c r="S27" s="49">
        <f t="shared" si="22"/>
        <v>1</v>
      </c>
      <c r="T27" s="49">
        <f t="shared" si="23"/>
        <v>1</v>
      </c>
      <c r="U27" s="49">
        <f t="shared" si="24"/>
        <v>1</v>
      </c>
      <c r="V27" s="1"/>
      <c r="W27" s="1"/>
      <c r="X27" s="1"/>
      <c r="Y27" s="1"/>
      <c r="Z27" s="1"/>
    </row>
    <row r="28" ht="55.5" customHeight="1">
      <c r="A28" s="47" t="s">
        <v>334</v>
      </c>
      <c r="B28" s="47" t="s">
        <v>90</v>
      </c>
      <c r="C28" s="10" t="s">
        <v>335</v>
      </c>
      <c r="D28" s="10" t="s">
        <v>336</v>
      </c>
      <c r="E28" s="47" t="s">
        <v>177</v>
      </c>
      <c r="F28" s="10" t="s">
        <v>337</v>
      </c>
      <c r="G28" s="47" t="s">
        <v>179</v>
      </c>
      <c r="H28" s="47">
        <v>3.0</v>
      </c>
      <c r="I28" s="17">
        <v>3.0</v>
      </c>
      <c r="J28" s="16" t="inlineStr">
        <is>
          <t xml:space="preserve">F: CPs updated but tested only for earthquake and flooding. DR: 10-Yr Plan says CPs exist but need updating; new CPs are planned. CDRA MDA 7 calls for hazard-specific CPs for flood, landslide, storm surge, earthquake and tsunami.</t>
        </is>
      </c>
      <c r="K28" s="16" t="s">
        <v>339</v>
      </c>
      <c r="L28" s="16" t="s">
        <v>340</v>
      </c>
      <c r="M28" s="48">
        <f t="shared" si="17"/>
        <v>4.5</v>
      </c>
      <c r="N28" s="49" t="str">
        <f t="shared" si="18"/>
        <v>Medium</v>
      </c>
      <c r="O28" s="49" t="str">
        <f t="shared" si="19"/>
        <v>Compliant</v>
      </c>
      <c r="P28" s="10" t="s">
        <v>341</v>
      </c>
      <c r="Q28" s="49">
        <f t="shared" si="20"/>
        <v>9</v>
      </c>
      <c r="R28" s="49">
        <f t="shared" si="21"/>
        <v>12</v>
      </c>
      <c r="S28" s="49">
        <f t="shared" si="22"/>
        <v>1</v>
      </c>
      <c r="T28" s="49">
        <f t="shared" si="23"/>
        <v>1</v>
      </c>
      <c r="U28" s="49">
        <f t="shared" si="24"/>
        <v>1</v>
      </c>
      <c r="V28" s="1"/>
      <c r="W28" s="1"/>
      <c r="X28" s="1"/>
      <c r="Y28" s="1"/>
      <c r="Z28" s="1"/>
    </row>
    <row r="29" ht="30.75" customHeight="1">
      <c r="A29" s="47" t="s">
        <v>342</v>
      </c>
      <c r="B29" s="47" t="s">
        <v>90</v>
      </c>
      <c r="C29" s="10" t="s">
        <v>343</v>
      </c>
      <c r="D29" s="10" t="s">
        <v>344</v>
      </c>
      <c r="E29" s="47" t="s">
        <v>177</v>
      </c>
      <c r="F29" s="10" t="s">
        <v>345</v>
      </c>
      <c r="G29" s="47" t="s">
        <v>179</v>
      </c>
      <c r="H29" s="47">
        <v>2.0</v>
      </c>
      <c r="I29" s="17">
        <v>2.0</v>
      </c>
      <c r="J29" s="16" t="s">
        <v>346</v>
      </c>
      <c r="K29" s="16" t="s">
        <v>347</v>
      </c>
      <c r="L29" s="16" t="s">
        <v>348</v>
      </c>
      <c r="M29" s="48">
        <f t="shared" si="17"/>
        <v>6</v>
      </c>
      <c r="N29" s="49" t="str">
        <f t="shared" si="18"/>
        <v>Medium</v>
      </c>
      <c r="O29" s="49" t="str">
        <f t="shared" si="19"/>
        <v>Non-compliant</v>
      </c>
      <c r="P29" s="10" t="s">
        <v>349</v>
      </c>
      <c r="Q29" s="49">
        <f t="shared" si="20"/>
        <v>4</v>
      </c>
      <c r="R29" s="49">
        <f t="shared" si="21"/>
        <v>8</v>
      </c>
      <c r="S29" s="49">
        <f t="shared" si="22"/>
        <v>1</v>
      </c>
      <c r="T29" s="49">
        <f t="shared" si="23"/>
        <v>1</v>
      </c>
      <c r="U29" s="49">
        <f t="shared" si="24"/>
        <v>0</v>
      </c>
      <c r="V29" s="1"/>
      <c r="W29" s="1"/>
      <c r="X29" s="1"/>
      <c r="Y29" s="1"/>
      <c r="Z29" s="1"/>
    </row>
    <row r="30" ht="30.75" customHeight="1">
      <c r="A30" s="47" t="s">
        <v>350</v>
      </c>
      <c r="B30" s="47" t="s">
        <v>90</v>
      </c>
      <c r="C30" s="10" t="s">
        <v>351</v>
      </c>
      <c r="D30" s="10" t="s">
        <v>352</v>
      </c>
      <c r="E30" s="47" t="s">
        <v>177</v>
      </c>
      <c r="F30" s="10" t="s">
        <v>353</v>
      </c>
      <c r="G30" s="47" t="s">
        <v>179</v>
      </c>
      <c r="H30" s="47">
        <v>3.0</v>
      </c>
      <c r="I30" s="17">
        <v>4.0</v>
      </c>
      <c r="J30" s="16" t="inlineStr">
        <is>
          <t xml:space="preserve">F: scored 4; LDRRMFIP prepared and approved. DR: 10-Yr Plan includes a 10-year LDRRMFIP of PHP 14.63 B (80% construction; 52% digital governance) with no anticipatory action line.</t>
        </is>
      </c>
      <c r="K30" s="16" t="s">
        <v>355</v>
      </c>
      <c r="L30" s="16" t="s">
        <v>356</v>
      </c>
      <c r="M30" s="48">
        <f t="shared" si="17"/>
        <v>0</v>
      </c>
      <c r="N30" s="49" t="str">
        <f t="shared" si="18"/>
        <v>Low</v>
      </c>
      <c r="O30" s="49" t="str">
        <f t="shared" si="19"/>
        <v>Compliant</v>
      </c>
      <c r="P30" s="10" t="s">
        <v>357</v>
      </c>
      <c r="Q30" s="49">
        <f t="shared" si="20"/>
        <v>12</v>
      </c>
      <c r="R30" s="49">
        <f t="shared" si="21"/>
        <v>12</v>
      </c>
      <c r="S30" s="49">
        <f t="shared" si="22"/>
        <v>1</v>
      </c>
      <c r="T30" s="49">
        <f t="shared" si="23"/>
        <v>1</v>
      </c>
      <c r="U30" s="49">
        <f t="shared" si="24"/>
        <v>1</v>
      </c>
      <c r="V30" s="1"/>
      <c r="W30" s="1"/>
      <c r="X30" s="1"/>
      <c r="Y30" s="1"/>
      <c r="Z30" s="1"/>
    </row>
    <row r="31" ht="43.5" customHeight="1">
      <c r="A31" s="47" t="s">
        <v>358</v>
      </c>
      <c r="B31" s="47" t="s">
        <v>90</v>
      </c>
      <c r="C31" s="10" t="s">
        <v>359</v>
      </c>
      <c r="D31" s="10" t="s">
        <v>360</v>
      </c>
      <c r="E31" s="47" t="s">
        <v>177</v>
      </c>
      <c r="F31" s="10" t="s">
        <v>361</v>
      </c>
      <c r="G31" s="47" t="s">
        <v>273</v>
      </c>
      <c r="H31" s="47">
        <v>3.0</v>
      </c>
      <c r="I31" s="17">
        <v>2.0</v>
      </c>
      <c r="J31" s="16" t="s">
        <v>362</v>
      </c>
      <c r="K31" s="16" t="s">
        <v>363</v>
      </c>
      <c r="L31" s="16" t="s">
        <v>364</v>
      </c>
      <c r="M31" s="48">
        <f t="shared" si="17"/>
        <v>9</v>
      </c>
      <c r="N31" s="49" t="str">
        <f t="shared" si="18"/>
        <v>High</v>
      </c>
      <c r="O31" s="49" t="str">
        <f t="shared" si="19"/>
        <v>Non-compliant</v>
      </c>
      <c r="P31" s="10" t="s">
        <v>365</v>
      </c>
      <c r="Q31" s="49">
        <f t="shared" si="20"/>
        <v>6</v>
      </c>
      <c r="R31" s="49">
        <f t="shared" si="21"/>
        <v>12</v>
      </c>
      <c r="S31" s="49">
        <f t="shared" si="22"/>
        <v>1</v>
      </c>
      <c r="T31" s="49">
        <f t="shared" si="23"/>
        <v>1</v>
      </c>
      <c r="U31" s="49">
        <f t="shared" si="24"/>
        <v>0</v>
      </c>
      <c r="V31" s="1"/>
      <c r="W31" s="1"/>
      <c r="X31" s="1"/>
      <c r="Y31" s="1"/>
      <c r="Z31" s="1"/>
    </row>
    <row r="32" ht="30.75" customHeight="1">
      <c r="A32" s="47" t="s">
        <v>366</v>
      </c>
      <c r="B32" s="47" t="s">
        <v>90</v>
      </c>
      <c r="C32" s="10" t="s">
        <v>367</v>
      </c>
      <c r="D32" s="10" t="s">
        <v>368</v>
      </c>
      <c r="E32" s="47" t="s">
        <v>211</v>
      </c>
      <c r="F32" s="10" t="s">
        <v>369</v>
      </c>
      <c r="G32" s="47" t="s">
        <v>179</v>
      </c>
      <c r="H32" s="47">
        <v>2.0</v>
      </c>
      <c r="I32" s="17">
        <v>4.0</v>
      </c>
      <c r="J32" s="16" t="s">
        <v>370</v>
      </c>
      <c r="K32" s="16" t="s">
        <v>371</v>
      </c>
      <c r="L32" s="16" t="s">
        <v>372</v>
      </c>
      <c r="M32" s="48">
        <f t="shared" si="17"/>
        <v>0</v>
      </c>
      <c r="N32" s="49" t="str">
        <f t="shared" si="18"/>
        <v>Low</v>
      </c>
      <c r="O32" s="49" t="str">
        <f t="shared" si="19"/>
        <v>Meets GP</v>
      </c>
      <c r="P32" s="10" t="s">
        <v>333</v>
      </c>
      <c r="Q32" s="49">
        <f t="shared" si="20"/>
        <v>8</v>
      </c>
      <c r="R32" s="49">
        <f t="shared" si="21"/>
        <v>8</v>
      </c>
      <c r="S32" s="49">
        <f t="shared" si="22"/>
        <v>1</v>
      </c>
      <c r="T32" s="49">
        <f t="shared" si="23"/>
        <v>0</v>
      </c>
      <c r="U32" s="49">
        <f t="shared" si="24"/>
        <v>0</v>
      </c>
      <c r="V32" s="1"/>
      <c r="W32" s="1"/>
      <c r="X32" s="1"/>
      <c r="Y32" s="1"/>
      <c r="Z32" s="1"/>
    </row>
    <row r="33" ht="15.0" customHeight="1">
      <c r="A33" s="44" t="s">
        <v>373</v>
      </c>
      <c r="B33" s="45"/>
      <c r="C33" s="45"/>
      <c r="D33" s="45"/>
      <c r="E33" s="45"/>
      <c r="F33" s="45"/>
      <c r="G33" s="45"/>
      <c r="H33" s="45"/>
      <c r="I33" s="45"/>
      <c r="J33" s="45"/>
      <c r="K33" s="45"/>
      <c r="L33" s="45"/>
      <c r="M33" s="45"/>
      <c r="N33" s="45"/>
      <c r="O33" s="45"/>
      <c r="P33" s="46"/>
      <c r="Q33" s="1"/>
      <c r="R33" s="1"/>
      <c r="S33" s="1"/>
      <c r="T33" s="1"/>
      <c r="U33" s="1"/>
      <c r="V33" s="1"/>
      <c r="W33" s="1"/>
      <c r="X33" s="1"/>
      <c r="Y33" s="1"/>
      <c r="Z33" s="1"/>
    </row>
    <row r="34" ht="30.75" customHeight="1">
      <c r="A34" s="47" t="s">
        <v>374</v>
      </c>
      <c r="B34" s="47" t="s">
        <v>92</v>
      </c>
      <c r="C34" s="10" t="s">
        <v>375</v>
      </c>
      <c r="D34" s="10" t="s">
        <v>376</v>
      </c>
      <c r="E34" s="47" t="s">
        <v>177</v>
      </c>
      <c r="F34" s="10" t="s">
        <v>377</v>
      </c>
      <c r="G34" s="47" t="s">
        <v>179</v>
      </c>
      <c r="H34" s="47">
        <v>3.0</v>
      </c>
      <c r="I34" s="17">
        <v>4.0</v>
      </c>
      <c r="J34" s="16" t="s">
        <v>378</v>
      </c>
      <c r="K34" s="16" t="s">
        <v>379</v>
      </c>
      <c r="L34" s="16" t="s">
        <v>380</v>
      </c>
      <c r="M34" s="48">
        <f t="shared" ref="M34:M42" si="25">IF(ISNUMBER(I34),(4-I34)*H34*IF(E34="M",1.5,1),"")</f>
        <v>0</v>
      </c>
      <c r="N34" s="49" t="str">
        <f t="shared" ref="N34:N42" si="26">IF(M34="","",IF(M34&gt;=9,"High",IF(M34&gt;=4,"Medium","Low")))</f>
        <v>Low</v>
      </c>
      <c r="O34" s="49" t="str">
        <f t="shared" ref="O34:O42" si="27">IF(NOT(ISNUMBER(I34)),IF(I34="NA","N/A","Not scored"),IF(E34="M",IF(I34&gt;=3,"Compliant","Non-compliant"),IF(I34&gt;=3,"Meets GP","Below GP")))</f>
        <v>Compliant</v>
      </c>
      <c r="P34" s="10" t="s">
        <v>357</v>
      </c>
      <c r="Q34" s="49">
        <f t="shared" ref="Q34:Q42" si="28">IF(ISNUMBER(I34),I34*H34,0)</f>
        <v>12</v>
      </c>
      <c r="R34" s="49">
        <f t="shared" ref="R34:R42" si="29">IF(ISNUMBER(I34),4*H34,0)</f>
        <v>12</v>
      </c>
      <c r="S34" s="49">
        <f t="shared" ref="S34:S42" si="30">IF(ISNUMBER(I34),1,0)</f>
        <v>1</v>
      </c>
      <c r="T34" s="49">
        <f t="shared" ref="T34:T42" si="31">IF(AND(E34="M",ISNUMBER(I34)),1,0)</f>
        <v>1</v>
      </c>
      <c r="U34" s="49">
        <f t="shared" ref="U34:U42" si="32">IF(AND(E34="M",ISNUMBER(I34)),IF(I34&gt;=3,1,0),0)</f>
        <v>1</v>
      </c>
      <c r="V34" s="1"/>
      <c r="W34" s="1"/>
      <c r="X34" s="1"/>
      <c r="Y34" s="1"/>
      <c r="Z34" s="1"/>
    </row>
    <row r="35" ht="30.75" customHeight="1">
      <c r="A35" s="47" t="s">
        <v>381</v>
      </c>
      <c r="B35" s="47" t="s">
        <v>92</v>
      </c>
      <c r="C35" s="10" t="s">
        <v>382</v>
      </c>
      <c r="D35" s="10" t="s">
        <v>376</v>
      </c>
      <c r="E35" s="47" t="s">
        <v>177</v>
      </c>
      <c r="F35" s="10" t="s">
        <v>383</v>
      </c>
      <c r="G35" s="47" t="s">
        <v>179</v>
      </c>
      <c r="H35" s="47">
        <v>3.0</v>
      </c>
      <c r="I35" s="17">
        <v>4.0</v>
      </c>
      <c r="J35" s="16" t="s">
        <v>378</v>
      </c>
      <c r="K35" s="16" t="s">
        <v>384</v>
      </c>
      <c r="L35" s="16" t="s">
        <v>385</v>
      </c>
      <c r="M35" s="48">
        <f t="shared" si="25"/>
        <v>0</v>
      </c>
      <c r="N35" s="49" t="str">
        <f t="shared" si="26"/>
        <v>Low</v>
      </c>
      <c r="O35" s="49" t="str">
        <f t="shared" si="27"/>
        <v>Compliant</v>
      </c>
      <c r="P35" s="10" t="s">
        <v>386</v>
      </c>
      <c r="Q35" s="49">
        <f t="shared" si="28"/>
        <v>12</v>
      </c>
      <c r="R35" s="49">
        <f t="shared" si="29"/>
        <v>12</v>
      </c>
      <c r="S35" s="49">
        <f t="shared" si="30"/>
        <v>1</v>
      </c>
      <c r="T35" s="49">
        <f t="shared" si="31"/>
        <v>1</v>
      </c>
      <c r="U35" s="49">
        <f t="shared" si="32"/>
        <v>1</v>
      </c>
      <c r="V35" s="1"/>
      <c r="W35" s="1"/>
      <c r="X35" s="1"/>
      <c r="Y35" s="1"/>
      <c r="Z35" s="1"/>
    </row>
    <row r="36" ht="30.75" customHeight="1">
      <c r="A36" s="47" t="s">
        <v>387</v>
      </c>
      <c r="B36" s="47" t="s">
        <v>92</v>
      </c>
      <c r="C36" s="10" t="s">
        <v>388</v>
      </c>
      <c r="D36" s="10" t="s">
        <v>389</v>
      </c>
      <c r="E36" s="47" t="s">
        <v>177</v>
      </c>
      <c r="F36" s="10" t="s">
        <v>390</v>
      </c>
      <c r="G36" s="47" t="s">
        <v>179</v>
      </c>
      <c r="H36" s="47">
        <v>2.0</v>
      </c>
      <c r="I36" s="17">
        <v>4.0</v>
      </c>
      <c r="J36" s="16" t="s">
        <v>378</v>
      </c>
      <c r="K36" s="16" t="s">
        <v>391</v>
      </c>
      <c r="L36" s="16" t="s">
        <v>392</v>
      </c>
      <c r="M36" s="48">
        <f t="shared" si="25"/>
        <v>0</v>
      </c>
      <c r="N36" s="49" t="str">
        <f t="shared" si="26"/>
        <v>Low</v>
      </c>
      <c r="O36" s="49" t="str">
        <f t="shared" si="27"/>
        <v>Compliant</v>
      </c>
      <c r="P36" s="10" t="s">
        <v>386</v>
      </c>
      <c r="Q36" s="49">
        <f t="shared" si="28"/>
        <v>8</v>
      </c>
      <c r="R36" s="49">
        <f t="shared" si="29"/>
        <v>8</v>
      </c>
      <c r="S36" s="49">
        <f t="shared" si="30"/>
        <v>1</v>
      </c>
      <c r="T36" s="49">
        <f t="shared" si="31"/>
        <v>1</v>
      </c>
      <c r="U36" s="49">
        <f t="shared" si="32"/>
        <v>1</v>
      </c>
      <c r="V36" s="1"/>
      <c r="W36" s="1"/>
      <c r="X36" s="1"/>
      <c r="Y36" s="1"/>
      <c r="Z36" s="1"/>
    </row>
    <row r="37" ht="30.75" customHeight="1">
      <c r="A37" s="47" t="s">
        <v>393</v>
      </c>
      <c r="B37" s="47" t="s">
        <v>92</v>
      </c>
      <c r="C37" s="10" t="s">
        <v>394</v>
      </c>
      <c r="D37" s="10" t="s">
        <v>395</v>
      </c>
      <c r="E37" s="47" t="s">
        <v>211</v>
      </c>
      <c r="F37" s="10" t="s">
        <v>396</v>
      </c>
      <c r="G37" s="47" t="s">
        <v>179</v>
      </c>
      <c r="H37" s="47">
        <v>2.0</v>
      </c>
      <c r="I37" s="17">
        <v>3.0</v>
      </c>
      <c r="J37" s="16" t="s">
        <v>397</v>
      </c>
      <c r="K37" s="16" t="s">
        <v>398</v>
      </c>
      <c r="L37" s="16" t="s">
        <v>399</v>
      </c>
      <c r="M37" s="48">
        <f t="shared" si="25"/>
        <v>2</v>
      </c>
      <c r="N37" s="49" t="str">
        <f t="shared" si="26"/>
        <v>Low</v>
      </c>
      <c r="O37" s="49" t="str">
        <f t="shared" si="27"/>
        <v>Meets GP</v>
      </c>
      <c r="P37" s="10" t="s">
        <v>386</v>
      </c>
      <c r="Q37" s="49">
        <f t="shared" si="28"/>
        <v>6</v>
      </c>
      <c r="R37" s="49">
        <f t="shared" si="29"/>
        <v>8</v>
      </c>
      <c r="S37" s="49">
        <f t="shared" si="30"/>
        <v>1</v>
      </c>
      <c r="T37" s="49">
        <f t="shared" si="31"/>
        <v>0</v>
      </c>
      <c r="U37" s="49">
        <f t="shared" si="32"/>
        <v>0</v>
      </c>
      <c r="V37" s="1"/>
      <c r="W37" s="1"/>
      <c r="X37" s="1"/>
      <c r="Y37" s="1"/>
      <c r="Z37" s="1"/>
    </row>
    <row r="38" ht="55.5" customHeight="1">
      <c r="A38" s="47" t="s">
        <v>400</v>
      </c>
      <c r="B38" s="47" t="s">
        <v>92</v>
      </c>
      <c r="C38" s="10" t="s">
        <v>401</v>
      </c>
      <c r="D38" s="10" t="s">
        <v>402</v>
      </c>
      <c r="E38" s="47" t="s">
        <v>177</v>
      </c>
      <c r="F38" s="10" t="s">
        <v>403</v>
      </c>
      <c r="G38" s="47" t="s">
        <v>196</v>
      </c>
      <c r="H38" s="47">
        <v>2.0</v>
      </c>
      <c r="I38" s="17">
        <v>3.0</v>
      </c>
      <c r="J38" s="16" t="s">
        <v>404</v>
      </c>
      <c r="K38" s="16" t="s">
        <v>405</v>
      </c>
      <c r="L38" s="16" t="s">
        <v>406</v>
      </c>
      <c r="M38" s="48">
        <f t="shared" si="25"/>
        <v>3</v>
      </c>
      <c r="N38" s="49" t="str">
        <f t="shared" si="26"/>
        <v>Low</v>
      </c>
      <c r="O38" s="49" t="str">
        <f t="shared" si="27"/>
        <v>Compliant</v>
      </c>
      <c r="P38" s="10" t="s">
        <v>407</v>
      </c>
      <c r="Q38" s="49">
        <f t="shared" si="28"/>
        <v>6</v>
      </c>
      <c r="R38" s="49">
        <f t="shared" si="29"/>
        <v>8</v>
      </c>
      <c r="S38" s="49">
        <f t="shared" si="30"/>
        <v>1</v>
      </c>
      <c r="T38" s="49">
        <f t="shared" si="31"/>
        <v>1</v>
      </c>
      <c r="U38" s="49">
        <f t="shared" si="32"/>
        <v>1</v>
      </c>
      <c r="V38" s="1"/>
      <c r="W38" s="1"/>
      <c r="X38" s="1"/>
      <c r="Y38" s="1"/>
      <c r="Z38" s="1"/>
    </row>
    <row r="39" ht="93.0" customHeight="1">
      <c r="A39" s="47" t="s">
        <v>408</v>
      </c>
      <c r="B39" s="47" t="s">
        <v>92</v>
      </c>
      <c r="C39" s="10" t="s">
        <v>409</v>
      </c>
      <c r="D39" s="10" t="s">
        <v>410</v>
      </c>
      <c r="E39" s="47" t="s">
        <v>177</v>
      </c>
      <c r="F39" s="10" t="s">
        <v>411</v>
      </c>
      <c r="G39" s="47" t="s">
        <v>196</v>
      </c>
      <c r="H39" s="47">
        <v>2.0</v>
      </c>
      <c r="I39" s="17">
        <v>0.0</v>
      </c>
      <c r="J39" s="16" t="s">
        <v>412</v>
      </c>
      <c r="K39" s="16" t="s">
        <v>413</v>
      </c>
      <c r="L39" s="16" t="s">
        <v>414</v>
      </c>
      <c r="M39" s="48">
        <f t="shared" si="25"/>
        <v>12</v>
      </c>
      <c r="N39" s="49" t="str">
        <f t="shared" si="26"/>
        <v>High</v>
      </c>
      <c r="O39" s="49" t="str">
        <f t="shared" si="27"/>
        <v>Non-compliant</v>
      </c>
      <c r="P39" s="10" t="s">
        <v>386</v>
      </c>
      <c r="Q39" s="49">
        <f t="shared" si="28"/>
        <v>0</v>
      </c>
      <c r="R39" s="49">
        <f t="shared" si="29"/>
        <v>8</v>
      </c>
      <c r="S39" s="49">
        <f t="shared" si="30"/>
        <v>1</v>
      </c>
      <c r="T39" s="49">
        <f t="shared" si="31"/>
        <v>1</v>
      </c>
      <c r="U39" s="49">
        <f t="shared" si="32"/>
        <v>0</v>
      </c>
      <c r="V39" s="1"/>
      <c r="W39" s="1"/>
      <c r="X39" s="1"/>
      <c r="Y39" s="1"/>
      <c r="Z39" s="1"/>
    </row>
    <row r="40" ht="43.5" customHeight="1">
      <c r="A40" s="47" t="s">
        <v>415</v>
      </c>
      <c r="B40" s="47" t="s">
        <v>92</v>
      </c>
      <c r="C40" s="10" t="s">
        <v>416</v>
      </c>
      <c r="D40" s="10" t="s">
        <v>417</v>
      </c>
      <c r="E40" s="47" t="s">
        <v>211</v>
      </c>
      <c r="F40" s="10" t="s">
        <v>418</v>
      </c>
      <c r="G40" s="47" t="s">
        <v>179</v>
      </c>
      <c r="H40" s="47">
        <v>1.0</v>
      </c>
      <c r="I40" s="17">
        <v>3.0</v>
      </c>
      <c r="J40" s="16" t="inlineStr">
        <is>
          <t xml:space="preserve">F: scored 3. DR: CDRA reports that only 15% of critical-point facilities are insured and that no lifeline utility is insured.</t>
        </is>
      </c>
      <c r="K40" s="16" t="inlineStr">
        <is>
          <t xml:space="preserve">Validate GSIS coverage of public assets and PSF proposals; CDRA shows low insurance coverage of critical facilities and none for lifelines.</t>
        </is>
      </c>
      <c r="L40" s="16" t="inlineStr">
        <is>
          <t xml:space="preserve">Check that the EOC, ECs and city-owned critical facilities are on the GSIS indemnity schedule; use the CDRA facility list to set coverage priorities.</t>
        </is>
      </c>
      <c r="M40" s="48">
        <f t="shared" si="25"/>
        <v>1</v>
      </c>
      <c r="N40" s="49" t="str">
        <f t="shared" si="26"/>
        <v>Low</v>
      </c>
      <c r="O40" s="49" t="str">
        <f t="shared" si="27"/>
        <v>Meets GP</v>
      </c>
      <c r="P40" s="10" t="s">
        <v>386</v>
      </c>
      <c r="Q40" s="49">
        <f t="shared" si="28"/>
        <v>3</v>
      </c>
      <c r="R40" s="49">
        <f t="shared" si="29"/>
        <v>4</v>
      </c>
      <c r="S40" s="49">
        <f t="shared" si="30"/>
        <v>1</v>
      </c>
      <c r="T40" s="49">
        <f t="shared" si="31"/>
        <v>0</v>
      </c>
      <c r="U40" s="49">
        <f t="shared" si="32"/>
        <v>0</v>
      </c>
      <c r="V40" s="1"/>
      <c r="W40" s="1"/>
      <c r="X40" s="1"/>
      <c r="Y40" s="1"/>
      <c r="Z40" s="1"/>
    </row>
    <row r="41" ht="30.75" customHeight="1">
      <c r="A41" s="47" t="s">
        <v>422</v>
      </c>
      <c r="B41" s="47" t="s">
        <v>92</v>
      </c>
      <c r="C41" s="10" t="s">
        <v>423</v>
      </c>
      <c r="D41" s="10" t="s">
        <v>424</v>
      </c>
      <c r="E41" s="47" t="s">
        <v>177</v>
      </c>
      <c r="F41" s="10" t="s">
        <v>425</v>
      </c>
      <c r="G41" s="47" t="s">
        <v>179</v>
      </c>
      <c r="H41" s="47">
        <v>2.0</v>
      </c>
      <c r="I41" s="17">
        <v>3.0</v>
      </c>
      <c r="J41" s="16" t="s">
        <v>426</v>
      </c>
      <c r="K41" s="16" t="s">
        <v>427</v>
      </c>
      <c r="L41" s="16" t="s">
        <v>428</v>
      </c>
      <c r="M41" s="48">
        <f t="shared" si="25"/>
        <v>3</v>
      </c>
      <c r="N41" s="49" t="str">
        <f t="shared" si="26"/>
        <v>Low</v>
      </c>
      <c r="O41" s="49" t="str">
        <f t="shared" si="27"/>
        <v>Compliant</v>
      </c>
      <c r="P41" s="10" t="s">
        <v>386</v>
      </c>
      <c r="Q41" s="49">
        <f t="shared" si="28"/>
        <v>6</v>
      </c>
      <c r="R41" s="49">
        <f t="shared" si="29"/>
        <v>8</v>
      </c>
      <c r="S41" s="49">
        <f t="shared" si="30"/>
        <v>1</v>
      </c>
      <c r="T41" s="49">
        <f t="shared" si="31"/>
        <v>1</v>
      </c>
      <c r="U41" s="49">
        <f t="shared" si="32"/>
        <v>1</v>
      </c>
      <c r="V41" s="1"/>
      <c r="W41" s="1"/>
      <c r="X41" s="1"/>
      <c r="Y41" s="1"/>
      <c r="Z41" s="1"/>
    </row>
    <row r="42" ht="55.5" customHeight="1">
      <c r="A42" s="47" t="s">
        <v>429</v>
      </c>
      <c r="B42" s="47" t="s">
        <v>92</v>
      </c>
      <c r="C42" s="10" t="s">
        <v>430</v>
      </c>
      <c r="D42" s="10" t="s">
        <v>431</v>
      </c>
      <c r="E42" s="47" t="s">
        <v>211</v>
      </c>
      <c r="F42" s="10" t="s">
        <v>432</v>
      </c>
      <c r="G42" s="47" t="s">
        <v>196</v>
      </c>
      <c r="H42" s="47">
        <v>2.0</v>
      </c>
      <c r="I42" s="17">
        <v>1</v>
      </c>
      <c r="J42" s="16" t="inlineStr">
        <is>
          <t xml:space="preserve">DR: 10-Yr Plan (GeoRiskPH) gives potential asset damage by hazard (flood PHP 222.4 B; rain-induced landslide PHP 205.5 B; liquefaction PHP 189.3 B; tsunami PHP 59.0 B). CLUP set the QRF at PHP 13.99 M (2017 figure). No costed response scenario compared with QRF/STF found; 10-Yr Plan SWOC notes QRF access is a challenge.</t>
        </is>
      </c>
      <c r="K42" s="16" t="inlineStr">
        <is>
          <t xml:space="preserve">Provisional desk score: asset-damage figures exist, but the cost of responding to the most severe credible event has not been set against the QRF, STF and other sources. Confirm with the City Budget Office.</t>
        </is>
      </c>
      <c r="L42" s="16" t="inlineStr">
        <is>
          <t xml:space="preserve">Cost response and early recovery (relief, evacuation, debris, emergency repair) for a Thelma-type flash flood and a Yolanda-type typhoon from the flood and TC CPs; compare with the current QRF, STF balances and NDRRM Fund access; record the shortfall and fallback sources in the LDRRMFIP.</t>
        </is>
      </c>
      <c r="M42" s="48" t="str">
        <f t="shared" si="25"/>
        <v/>
      </c>
      <c r="N42" s="49" t="str">
        <f t="shared" si="26"/>
        <v/>
      </c>
      <c r="O42" s="49" t="str">
        <f t="shared" si="27"/>
        <v>Not scored</v>
      </c>
      <c r="P42" s="10" t="s">
        <v>386</v>
      </c>
      <c r="Q42" s="49">
        <f t="shared" si="28"/>
        <v>0</v>
      </c>
      <c r="R42" s="49">
        <f t="shared" si="29"/>
        <v>0</v>
      </c>
      <c r="S42" s="49">
        <f t="shared" si="30"/>
        <v>0</v>
      </c>
      <c r="T42" s="49">
        <f t="shared" si="31"/>
        <v>0</v>
      </c>
      <c r="U42" s="49">
        <f t="shared" si="32"/>
        <v>0</v>
      </c>
      <c r="V42" s="1"/>
      <c r="W42" s="1"/>
      <c r="X42" s="1"/>
      <c r="Y42" s="1"/>
      <c r="Z42" s="1"/>
    </row>
    <row r="43" ht="15.0" customHeight="1">
      <c r="A43" s="44" t="s">
        <v>436</v>
      </c>
      <c r="B43" s="45"/>
      <c r="C43" s="45"/>
      <c r="D43" s="45"/>
      <c r="E43" s="45"/>
      <c r="F43" s="45"/>
      <c r="G43" s="45"/>
      <c r="H43" s="45"/>
      <c r="I43" s="45"/>
      <c r="J43" s="45"/>
      <c r="K43" s="45"/>
      <c r="L43" s="45"/>
      <c r="M43" s="45"/>
      <c r="N43" s="45"/>
      <c r="O43" s="45"/>
      <c r="P43" s="46"/>
      <c r="Q43" s="1"/>
      <c r="R43" s="1"/>
      <c r="S43" s="1"/>
      <c r="T43" s="1"/>
      <c r="U43" s="1"/>
      <c r="V43" s="1"/>
      <c r="W43" s="1"/>
      <c r="X43" s="1"/>
      <c r="Y43" s="1"/>
      <c r="Z43" s="1"/>
    </row>
    <row r="44" ht="43.5" customHeight="1">
      <c r="A44" s="47" t="s">
        <v>437</v>
      </c>
      <c r="B44" s="47" t="s">
        <v>94</v>
      </c>
      <c r="C44" s="10" t="s">
        <v>438</v>
      </c>
      <c r="D44" s="10" t="s">
        <v>439</v>
      </c>
      <c r="E44" s="47" t="s">
        <v>177</v>
      </c>
      <c r="F44" s="10" t="s">
        <v>440</v>
      </c>
      <c r="G44" s="47" t="s">
        <v>273</v>
      </c>
      <c r="H44" s="47">
        <v>3.0</v>
      </c>
      <c r="I44" s="17">
        <v>3.0</v>
      </c>
      <c r="J44" s="16" t="s">
        <v>441</v>
      </c>
      <c r="K44" s="16" t="s">
        <v>442</v>
      </c>
      <c r="L44" s="16" t="s">
        <v>443</v>
      </c>
      <c r="M44" s="48">
        <f t="shared" ref="M44:M52" si="33">IF(ISNUMBER(I44),(4-I44)*H44*IF(E44="M",1.5,1),"")</f>
        <v>4.5</v>
      </c>
      <c r="N44" s="49" t="str">
        <f t="shared" ref="N44:N52" si="34">IF(M44="","",IF(M44&gt;=9,"High",IF(M44&gt;=4,"Medium","Low")))</f>
        <v>Medium</v>
      </c>
      <c r="O44" s="49" t="str">
        <f t="shared" ref="O44:O52" si="35">IF(NOT(ISNUMBER(I44)),IF(I44="NA","N/A","Not scored"),IF(E44="M",IF(I44&gt;=3,"Compliant","Non-compliant"),IF(I44&gt;=3,"Meets GP","Below GP")))</f>
        <v>Compliant</v>
      </c>
      <c r="P44" s="10" t="s">
        <v>444</v>
      </c>
      <c r="Q44" s="49">
        <f t="shared" ref="Q44:Q52" si="36">IF(ISNUMBER(I44),I44*H44,0)</f>
        <v>9</v>
      </c>
      <c r="R44" s="49">
        <f t="shared" ref="R44:R52" si="37">IF(ISNUMBER(I44),4*H44,0)</f>
        <v>12</v>
      </c>
      <c r="S44" s="49">
        <f t="shared" ref="S44:S52" si="38">IF(ISNUMBER(I44),1,0)</f>
        <v>1</v>
      </c>
      <c r="T44" s="49">
        <f t="shared" ref="T44:T52" si="39">IF(AND(E44="M",ISNUMBER(I44)),1,0)</f>
        <v>1</v>
      </c>
      <c r="U44" s="49">
        <f t="shared" ref="U44:U52" si="40">IF(AND(E44="M",ISNUMBER(I44)),IF(I44&gt;=3,1,0),0)</f>
        <v>1</v>
      </c>
      <c r="V44" s="1"/>
      <c r="W44" s="1"/>
      <c r="X44" s="1"/>
      <c r="Y44" s="1"/>
      <c r="Z44" s="1"/>
    </row>
    <row r="45" ht="43.5" customHeight="1">
      <c r="A45" s="47" t="s">
        <v>445</v>
      </c>
      <c r="B45" s="47" t="s">
        <v>94</v>
      </c>
      <c r="C45" s="10" t="s">
        <v>446</v>
      </c>
      <c r="D45" s="10" t="s">
        <v>447</v>
      </c>
      <c r="E45" s="47" t="s">
        <v>177</v>
      </c>
      <c r="F45" s="10" t="s">
        <v>448</v>
      </c>
      <c r="G45" s="47" t="s">
        <v>179</v>
      </c>
      <c r="H45" s="47">
        <v>3.0</v>
      </c>
      <c r="I45" s="17">
        <v>3.0</v>
      </c>
      <c r="J45" s="16" t="inlineStr">
        <is>
          <t xml:space="preserve">F: CDRA for updating. DR: CDRA Final Report (TWG under EO 2023-0025) reviewed: exposure, vulnerability and risk for flood, rain-induced landslide and storm surge across population, urban use areas, production areas, critical-point facilities and lifelines in 85 barangays, plus climate impact chains and Ch.6 policy interventions. Earthquake, liquefaction and tsunami are cited from GeoRiskPH figures, not assessed.</t>
        </is>
      </c>
      <c r="K45" s="16" t="inlineStr">
        <is>
          <t xml:space="preserve">No earthquake, liquefaction or tsunami DRA; climate-projection tables still labelled 'Municipality of Naval, Province of Biliran' (template error); SP adoption and use in plans to validate.</t>
        </is>
      </c>
      <c r="L45" s="16" t="inlineStr">
        <is>
          <t xml:space="preserve">Add earthquake, liquefaction and tsunami DRA; correct the Naval/Biliran table labels; adopt the CDRA with the CLUP update and set its update cycle (A5.9); cover exposure of critical facilities (A5.8) and non-asset losses (C1.3).</t>
        </is>
      </c>
      <c r="M45" s="48">
        <f t="shared" si="33"/>
        <v>4.5</v>
      </c>
      <c r="N45" s="49" t="str">
        <f t="shared" si="34"/>
        <v>Medium</v>
      </c>
      <c r="O45" s="49" t="str">
        <f t="shared" si="35"/>
        <v>Compliant</v>
      </c>
      <c r="P45" s="10" t="s">
        <v>333</v>
      </c>
      <c r="Q45" s="49">
        <f t="shared" si="36"/>
        <v>9</v>
      </c>
      <c r="R45" s="49">
        <f t="shared" si="37"/>
        <v>12</v>
      </c>
      <c r="S45" s="49">
        <f t="shared" si="38"/>
        <v>1</v>
      </c>
      <c r="T45" s="49">
        <f t="shared" si="39"/>
        <v>1</v>
      </c>
      <c r="U45" s="49">
        <f t="shared" si="40"/>
        <v>1</v>
      </c>
      <c r="V45" s="1"/>
      <c r="W45" s="1"/>
      <c r="X45" s="1"/>
      <c r="Y45" s="1"/>
      <c r="Z45" s="1"/>
    </row>
    <row r="46" ht="43.5" customHeight="1">
      <c r="A46" s="47" t="s">
        <v>452</v>
      </c>
      <c r="B46" s="47" t="s">
        <v>94</v>
      </c>
      <c r="C46" s="10" t="s">
        <v>453</v>
      </c>
      <c r="D46" s="10" t="s">
        <v>454</v>
      </c>
      <c r="E46" s="47" t="s">
        <v>177</v>
      </c>
      <c r="F46" s="10" t="s">
        <v>455</v>
      </c>
      <c r="G46" s="47" t="s">
        <v>273</v>
      </c>
      <c r="H46" s="47">
        <v>2.0</v>
      </c>
      <c r="I46" s="17">
        <v>4.0</v>
      </c>
      <c r="J46" s="16" t="s">
        <v>456</v>
      </c>
      <c r="K46" s="16" t="s">
        <v>457</v>
      </c>
      <c r="L46" s="16" t="s">
        <v>458</v>
      </c>
      <c r="M46" s="48">
        <f t="shared" si="33"/>
        <v>0</v>
      </c>
      <c r="N46" s="49" t="str">
        <f t="shared" si="34"/>
        <v>Low</v>
      </c>
      <c r="O46" s="49" t="str">
        <f t="shared" si="35"/>
        <v>Compliant</v>
      </c>
      <c r="P46" s="10" t="s">
        <v>444</v>
      </c>
      <c r="Q46" s="49">
        <f t="shared" si="36"/>
        <v>8</v>
      </c>
      <c r="R46" s="49">
        <f t="shared" si="37"/>
        <v>8</v>
      </c>
      <c r="S46" s="49">
        <f t="shared" si="38"/>
        <v>1</v>
      </c>
      <c r="T46" s="49">
        <f t="shared" si="39"/>
        <v>1</v>
      </c>
      <c r="U46" s="49">
        <f t="shared" si="40"/>
        <v>1</v>
      </c>
      <c r="V46" s="1"/>
      <c r="W46" s="1"/>
      <c r="X46" s="1"/>
      <c r="Y46" s="1"/>
      <c r="Z46" s="1"/>
    </row>
    <row r="47" ht="43.5" customHeight="1">
      <c r="A47" s="47" t="s">
        <v>459</v>
      </c>
      <c r="B47" s="47" t="s">
        <v>94</v>
      </c>
      <c r="C47" s="10" t="s">
        <v>460</v>
      </c>
      <c r="D47" s="10" t="s">
        <v>461</v>
      </c>
      <c r="E47" s="47" t="s">
        <v>211</v>
      </c>
      <c r="F47" s="10" t="s">
        <v>462</v>
      </c>
      <c r="G47" s="47" t="s">
        <v>273</v>
      </c>
      <c r="H47" s="47">
        <v>2.0</v>
      </c>
      <c r="I47" s="17">
        <v>0.0</v>
      </c>
      <c r="J47" s="16" t="inlineStr">
        <is>
          <t xml:space="preserve">F: scored 0. DR: 10-Yr Plan has a top-6 disaster event table and cites RDANA reports and a PDNA report (Paglaum); CDRA Table 4 lists previous disasters with damage figures. CDRA MDA 8 recommends a disaster-event and loss database.</t>
        </is>
      </c>
      <c r="K47" s="16" t="s">
        <v>464</v>
      </c>
      <c r="L47" s="16" t="s">
        <v>465</v>
      </c>
      <c r="M47" s="48">
        <f t="shared" si="33"/>
        <v>8</v>
      </c>
      <c r="N47" s="49" t="str">
        <f t="shared" si="34"/>
        <v>Medium</v>
      </c>
      <c r="O47" s="49" t="str">
        <f t="shared" si="35"/>
        <v>Below GP</v>
      </c>
      <c r="P47" s="10" t="s">
        <v>466</v>
      </c>
      <c r="Q47" s="49">
        <f t="shared" si="36"/>
        <v>0</v>
      </c>
      <c r="R47" s="49">
        <f t="shared" si="37"/>
        <v>8</v>
      </c>
      <c r="S47" s="49">
        <f t="shared" si="38"/>
        <v>1</v>
      </c>
      <c r="T47" s="49">
        <f t="shared" si="39"/>
        <v>0</v>
      </c>
      <c r="U47" s="49">
        <f t="shared" si="40"/>
        <v>0</v>
      </c>
      <c r="V47" s="1"/>
      <c r="W47" s="1"/>
      <c r="X47" s="1"/>
      <c r="Y47" s="1"/>
      <c r="Z47" s="1"/>
    </row>
    <row r="48" ht="43.5" customHeight="1">
      <c r="A48" s="47" t="s">
        <v>467</v>
      </c>
      <c r="B48" s="47" t="s">
        <v>94</v>
      </c>
      <c r="C48" s="10" t="s">
        <v>468</v>
      </c>
      <c r="D48" s="10" t="s">
        <v>469</v>
      </c>
      <c r="E48" s="47" t="s">
        <v>177</v>
      </c>
      <c r="F48" s="10" t="s">
        <v>470</v>
      </c>
      <c r="G48" s="47" t="s">
        <v>196</v>
      </c>
      <c r="H48" s="47">
        <v>2.0</v>
      </c>
      <c r="I48" s="17">
        <v>2.0</v>
      </c>
      <c r="J48" s="16" t="s">
        <v>471</v>
      </c>
      <c r="K48" s="16" t="s">
        <v>472</v>
      </c>
      <c r="L48" s="16" t="s">
        <v>473</v>
      </c>
      <c r="M48" s="48">
        <f t="shared" si="33"/>
        <v>6</v>
      </c>
      <c r="N48" s="49" t="str">
        <f t="shared" si="34"/>
        <v>Medium</v>
      </c>
      <c r="O48" s="49" t="str">
        <f t="shared" si="35"/>
        <v>Non-compliant</v>
      </c>
      <c r="P48" s="10" t="s">
        <v>474</v>
      </c>
      <c r="Q48" s="49">
        <f t="shared" si="36"/>
        <v>4</v>
      </c>
      <c r="R48" s="49">
        <f t="shared" si="37"/>
        <v>8</v>
      </c>
      <c r="S48" s="49">
        <f t="shared" si="38"/>
        <v>1</v>
      </c>
      <c r="T48" s="49">
        <f t="shared" si="39"/>
        <v>1</v>
      </c>
      <c r="U48" s="49">
        <f t="shared" si="40"/>
        <v>0</v>
      </c>
      <c r="V48" s="1"/>
      <c r="W48" s="1"/>
      <c r="X48" s="1"/>
      <c r="Y48" s="1"/>
      <c r="Z48" s="1"/>
    </row>
    <row r="49" ht="30.75" customHeight="1">
      <c r="A49" s="47" t="s">
        <v>475</v>
      </c>
      <c r="B49" s="47" t="s">
        <v>94</v>
      </c>
      <c r="C49" s="10" t="s">
        <v>476</v>
      </c>
      <c r="D49" s="10" t="s">
        <v>477</v>
      </c>
      <c r="E49" s="47" t="s">
        <v>211</v>
      </c>
      <c r="F49" s="10" t="s">
        <v>478</v>
      </c>
      <c r="G49" s="47" t="s">
        <v>479</v>
      </c>
      <c r="H49" s="47">
        <v>1.0</v>
      </c>
      <c r="I49" s="17">
        <v>2.0</v>
      </c>
      <c r="J49" s="16" t="s">
        <v>471</v>
      </c>
      <c r="K49" s="16" t="s">
        <v>480</v>
      </c>
      <c r="L49" s="16" t="s">
        <v>481</v>
      </c>
      <c r="M49" s="48">
        <f t="shared" si="33"/>
        <v>2</v>
      </c>
      <c r="N49" s="49" t="str">
        <f t="shared" si="34"/>
        <v>Low</v>
      </c>
      <c r="O49" s="49" t="str">
        <f t="shared" si="35"/>
        <v>Below GP</v>
      </c>
      <c r="P49" s="10" t="s">
        <v>474</v>
      </c>
      <c r="Q49" s="49">
        <f t="shared" si="36"/>
        <v>2</v>
      </c>
      <c r="R49" s="49">
        <f t="shared" si="37"/>
        <v>4</v>
      </c>
      <c r="S49" s="49">
        <f t="shared" si="38"/>
        <v>1</v>
      </c>
      <c r="T49" s="49">
        <f t="shared" si="39"/>
        <v>0</v>
      </c>
      <c r="U49" s="49">
        <f t="shared" si="40"/>
        <v>0</v>
      </c>
      <c r="V49" s="1"/>
      <c r="W49" s="1"/>
      <c r="X49" s="1"/>
      <c r="Y49" s="1"/>
      <c r="Z49" s="1"/>
    </row>
    <row r="50" ht="55.5" customHeight="1">
      <c r="A50" s="47" t="s">
        <v>482</v>
      </c>
      <c r="B50" s="47" t="s">
        <v>94</v>
      </c>
      <c r="C50" s="10" t="s">
        <v>483</v>
      </c>
      <c r="D50" s="10" t="s">
        <v>484</v>
      </c>
      <c r="E50" s="47" t="s">
        <v>211</v>
      </c>
      <c r="F50" s="10" t="s">
        <v>485</v>
      </c>
      <c r="G50" s="47" t="s">
        <v>273</v>
      </c>
      <c r="H50" s="47">
        <v>2.0</v>
      </c>
      <c r="I50" s="17">
        <v>1.0</v>
      </c>
      <c r="J50" s="16" t="inlineStr">
        <is>
          <t xml:space="preserve">DR: 10-Yr Plan lists a database management team and a cloud IMS as planned PPAs; CDRA MDA 8 recommends a common risk information system with data custodians, but none is in place.</t>
        </is>
      </c>
      <c r="K50" s="16" t="s">
        <v>487</v>
      </c>
      <c r="L50" s="16" t="s">
        <v>488</v>
      </c>
      <c r="M50" s="48">
        <f t="shared" si="33"/>
        <v>6</v>
      </c>
      <c r="N50" s="49" t="str">
        <f t="shared" si="34"/>
        <v>Medium</v>
      </c>
      <c r="O50" s="49" t="str">
        <f t="shared" si="35"/>
        <v>Below GP</v>
      </c>
      <c r="P50" s="10" t="s">
        <v>474</v>
      </c>
      <c r="Q50" s="49">
        <f t="shared" si="36"/>
        <v>2</v>
      </c>
      <c r="R50" s="49">
        <f t="shared" si="37"/>
        <v>8</v>
      </c>
      <c r="S50" s="49">
        <f t="shared" si="38"/>
        <v>1</v>
      </c>
      <c r="T50" s="49">
        <f t="shared" si="39"/>
        <v>0</v>
      </c>
      <c r="U50" s="49">
        <f t="shared" si="40"/>
        <v>0</v>
      </c>
      <c r="V50" s="1"/>
      <c r="W50" s="1"/>
      <c r="X50" s="1"/>
      <c r="Y50" s="1"/>
      <c r="Z50" s="1"/>
    </row>
    <row r="51" ht="68.25" customHeight="1">
      <c r="A51" s="47" t="s">
        <v>489</v>
      </c>
      <c r="B51" s="47" t="s">
        <v>94</v>
      </c>
      <c r="C51" s="10" t="s">
        <v>490</v>
      </c>
      <c r="D51" s="10" t="s">
        <v>491</v>
      </c>
      <c r="E51" s="47" t="s">
        <v>211</v>
      </c>
      <c r="F51" s="10" t="s">
        <v>492</v>
      </c>
      <c r="G51" s="47" t="s">
        <v>179</v>
      </c>
      <c r="H51" s="47">
        <v>2.0</v>
      </c>
      <c r="I51" s="17">
        <v>2</v>
      </c>
      <c r="J51" s="16" t="inlineStr">
        <is>
          <t xml:space="preserve">DR: CDRA exposure databases list critical-point facilities (schools, hospitals, government offices, NGCP substation, geothermal plants, solar farm, Ormoc Port, fuel depot) and lifeline roads by barangay and hazard, with risk scores (e.g., 86 facilities and 101 lifelines rated high risk to rain-induced landslide). Critical infrastructure inventory update is a 10-Yr Plan PPA.</t>
        </is>
      </c>
      <c r="K51" s="16" t="inlineStr">
        <is>
          <t xml:space="preserve">A facility and lifeline list exists, but dependencies and failure chains are not mapped and are not used to set protection and restoration priorities.</t>
        </is>
      </c>
      <c r="L51" s="16" t="inlineStr">
        <is>
          <t xml:space="preserve">Start from the CDRA facility and lifeline tables; map dependencies among power, water, telecom, roads, hospitals, ECs and the EOC (CDRA MDA 2 items 1, 5, 6); use CREST systems-mapping to draw failure chains and set restoration priorities.</t>
        </is>
      </c>
      <c r="M51" s="48">
        <f t="shared" si="33"/>
        <v>6</v>
      </c>
      <c r="N51" s="49" t="str">
        <f t="shared" si="34"/>
        <v>Medium</v>
      </c>
      <c r="O51" s="49" t="str">
        <f t="shared" si="35"/>
        <v>Below GP</v>
      </c>
      <c r="P51" s="10" t="s">
        <v>341</v>
      </c>
      <c r="Q51" s="49">
        <f t="shared" si="36"/>
        <v>2</v>
      </c>
      <c r="R51" s="49">
        <f t="shared" si="37"/>
        <v>8</v>
      </c>
      <c r="S51" s="49">
        <f t="shared" si="38"/>
        <v>1</v>
      </c>
      <c r="T51" s="49">
        <f t="shared" si="39"/>
        <v>0</v>
      </c>
      <c r="U51" s="49">
        <f t="shared" si="40"/>
        <v>0</v>
      </c>
      <c r="V51" s="1"/>
      <c r="W51" s="1"/>
      <c r="X51" s="1"/>
      <c r="Y51" s="1"/>
      <c r="Z51" s="1"/>
    </row>
    <row r="52" ht="43.5" customHeight="1">
      <c r="A52" s="47" t="s">
        <v>496</v>
      </c>
      <c r="B52" s="47" t="s">
        <v>94</v>
      </c>
      <c r="C52" s="10" t="s">
        <v>497</v>
      </c>
      <c r="D52" s="10" t="s">
        <v>498</v>
      </c>
      <c r="E52" s="47" t="s">
        <v>211</v>
      </c>
      <c r="F52" s="10" t="s">
        <v>499</v>
      </c>
      <c r="G52" s="47" t="s">
        <v>179</v>
      </c>
      <c r="H52" s="47">
        <v>1.0</v>
      </c>
      <c r="I52" s="17">
        <v>1.0</v>
      </c>
      <c r="J52" s="16" t="inlineStr">
        <is>
          <t xml:space="preserve">DR: CDRA and CBMS overdue for updating (10-Yr Plan). CDRA 6.7.2 proposes annual review of exposure and critical-facility inventories and event-triggered updates; not yet adopted.</t>
        </is>
      </c>
      <c r="K52" s="16" t="s">
        <v>501</v>
      </c>
      <c r="L52" s="16" t="s">
        <v>502</v>
      </c>
      <c r="M52" s="48">
        <f t="shared" si="33"/>
        <v>3</v>
      </c>
      <c r="N52" s="49" t="str">
        <f t="shared" si="34"/>
        <v>Low</v>
      </c>
      <c r="O52" s="49" t="str">
        <f t="shared" si="35"/>
        <v>Below GP</v>
      </c>
      <c r="P52" s="10" t="s">
        <v>474</v>
      </c>
      <c r="Q52" s="49">
        <f t="shared" si="36"/>
        <v>1</v>
      </c>
      <c r="R52" s="49">
        <f t="shared" si="37"/>
        <v>4</v>
      </c>
      <c r="S52" s="49">
        <f t="shared" si="38"/>
        <v>1</v>
      </c>
      <c r="T52" s="49">
        <f t="shared" si="39"/>
        <v>0</v>
      </c>
      <c r="U52" s="49">
        <f t="shared" si="40"/>
        <v>0</v>
      </c>
      <c r="V52" s="1"/>
      <c r="W52" s="1"/>
      <c r="X52" s="1"/>
      <c r="Y52" s="1"/>
      <c r="Z52" s="1"/>
    </row>
    <row r="53" ht="15.0" customHeight="1">
      <c r="A53" s="44" t="s">
        <v>503</v>
      </c>
      <c r="B53" s="45"/>
      <c r="C53" s="45"/>
      <c r="D53" s="45"/>
      <c r="E53" s="45"/>
      <c r="F53" s="45"/>
      <c r="G53" s="45"/>
      <c r="H53" s="45"/>
      <c r="I53" s="45"/>
      <c r="J53" s="45"/>
      <c r="K53" s="45"/>
      <c r="L53" s="45"/>
      <c r="M53" s="45"/>
      <c r="N53" s="45"/>
      <c r="O53" s="45"/>
      <c r="P53" s="46"/>
      <c r="Q53" s="1"/>
      <c r="R53" s="1"/>
      <c r="S53" s="1"/>
      <c r="T53" s="1"/>
      <c r="U53" s="1"/>
      <c r="V53" s="1"/>
      <c r="W53" s="1"/>
      <c r="X53" s="1"/>
      <c r="Y53" s="1"/>
      <c r="Z53" s="1"/>
    </row>
    <row r="54" ht="43.5" customHeight="1">
      <c r="A54" s="47" t="s">
        <v>504</v>
      </c>
      <c r="B54" s="47" t="s">
        <v>96</v>
      </c>
      <c r="C54" s="10" t="s">
        <v>505</v>
      </c>
      <c r="D54" s="10" t="s">
        <v>506</v>
      </c>
      <c r="E54" s="47" t="s">
        <v>177</v>
      </c>
      <c r="F54" s="10" t="s">
        <v>507</v>
      </c>
      <c r="G54" s="47" t="s">
        <v>508</v>
      </c>
      <c r="H54" s="47">
        <v>3.0</v>
      </c>
      <c r="I54" s="17">
        <v>3.0</v>
      </c>
      <c r="J54" s="16" t="s">
        <v>509</v>
      </c>
      <c r="K54" s="16" t="s">
        <v>510</v>
      </c>
      <c r="L54" s="16" t="s">
        <v>511</v>
      </c>
      <c r="M54" s="48">
        <f t="shared" ref="M54:M60" si="41">IF(ISNUMBER(I54),(4-I54)*H54*IF(E54="M",1.5,1),"")</f>
        <v>4.5</v>
      </c>
      <c r="N54" s="49" t="str">
        <f t="shared" ref="N54:N60" si="42">IF(M54="","",IF(M54&gt;=9,"High",IF(M54&gt;=4,"Medium","Low")))</f>
        <v>Medium</v>
      </c>
      <c r="O54" s="49" t="str">
        <f t="shared" ref="O54:O60" si="43">IF(NOT(ISNUMBER(I54)),IF(I54="NA","N/A","Not scored"),IF(E54="M",IF(I54&gt;=3,"Compliant","Non-compliant"),IF(I54&gt;=3,"Meets GP","Below GP")))</f>
        <v>Compliant</v>
      </c>
      <c r="P54" s="10" t="s">
        <v>365</v>
      </c>
      <c r="Q54" s="49">
        <f t="shared" ref="Q54:Q60" si="44">IF(ISNUMBER(I54),I54*H54,0)</f>
        <v>9</v>
      </c>
      <c r="R54" s="49">
        <f t="shared" ref="R54:R60" si="45">IF(ISNUMBER(I54),4*H54,0)</f>
        <v>12</v>
      </c>
      <c r="S54" s="49">
        <f t="shared" ref="S54:S60" si="46">IF(ISNUMBER(I54),1,0)</f>
        <v>1</v>
      </c>
      <c r="T54" s="49">
        <f t="shared" ref="T54:T60" si="47">IF(AND(E54="M",ISNUMBER(I54)),1,0)</f>
        <v>1</v>
      </c>
      <c r="U54" s="49">
        <f t="shared" ref="U54:U60" si="48">IF(AND(E54="M",ISNUMBER(I54)),IF(I54&gt;=3,1,0),0)</f>
        <v>1</v>
      </c>
      <c r="V54" s="1"/>
      <c r="W54" s="1"/>
      <c r="X54" s="1"/>
      <c r="Y54" s="1"/>
      <c r="Z54" s="1"/>
    </row>
    <row r="55" ht="68.25" customHeight="1">
      <c r="A55" s="47" t="s">
        <v>512</v>
      </c>
      <c r="B55" s="47" t="s">
        <v>96</v>
      </c>
      <c r="C55" s="10" t="s">
        <v>513</v>
      </c>
      <c r="D55" s="10" t="s">
        <v>514</v>
      </c>
      <c r="E55" s="47" t="s">
        <v>177</v>
      </c>
      <c r="F55" s="10" t="s">
        <v>515</v>
      </c>
      <c r="G55" s="47" t="s">
        <v>179</v>
      </c>
      <c r="H55" s="47">
        <v>3.0</v>
      </c>
      <c r="I55" s="17">
        <v>2.0</v>
      </c>
      <c r="J55" s="16" t="s">
        <v>516</v>
      </c>
      <c r="K55" s="16" t="s">
        <v>517</v>
      </c>
      <c r="L55" s="16" t="s">
        <v>518</v>
      </c>
      <c r="M55" s="48">
        <f t="shared" si="41"/>
        <v>9</v>
      </c>
      <c r="N55" s="49" t="str">
        <f t="shared" si="42"/>
        <v>High</v>
      </c>
      <c r="O55" s="49" t="str">
        <f t="shared" si="43"/>
        <v>Non-compliant</v>
      </c>
      <c r="P55" s="10" t="s">
        <v>519</v>
      </c>
      <c r="Q55" s="49">
        <f t="shared" si="44"/>
        <v>6</v>
      </c>
      <c r="R55" s="49">
        <f t="shared" si="45"/>
        <v>12</v>
      </c>
      <c r="S55" s="49">
        <f t="shared" si="46"/>
        <v>1</v>
      </c>
      <c r="T55" s="49">
        <f t="shared" si="47"/>
        <v>1</v>
      </c>
      <c r="U55" s="49">
        <f t="shared" si="48"/>
        <v>0</v>
      </c>
      <c r="V55" s="1"/>
      <c r="W55" s="1"/>
      <c r="X55" s="1"/>
      <c r="Y55" s="1"/>
      <c r="Z55" s="1"/>
    </row>
    <row r="56" ht="43.5" customHeight="1">
      <c r="A56" s="47" t="s">
        <v>520</v>
      </c>
      <c r="B56" s="47" t="s">
        <v>96</v>
      </c>
      <c r="C56" s="10" t="s">
        <v>521</v>
      </c>
      <c r="D56" s="10" t="s">
        <v>522</v>
      </c>
      <c r="E56" s="47" t="s">
        <v>177</v>
      </c>
      <c r="F56" s="10" t="s">
        <v>523</v>
      </c>
      <c r="G56" s="47" t="s">
        <v>524</v>
      </c>
      <c r="H56" s="47">
        <v>3.0</v>
      </c>
      <c r="I56" s="17">
        <v>2.0</v>
      </c>
      <c r="J56" s="16" t="s">
        <v>525</v>
      </c>
      <c r="K56" s="16" t="s">
        <v>526</v>
      </c>
      <c r="L56" s="16" t="s">
        <v>527</v>
      </c>
      <c r="M56" s="48">
        <f t="shared" si="41"/>
        <v>9</v>
      </c>
      <c r="N56" s="49" t="str">
        <f t="shared" si="42"/>
        <v>High</v>
      </c>
      <c r="O56" s="49" t="str">
        <f t="shared" si="43"/>
        <v>Non-compliant</v>
      </c>
      <c r="P56" s="10" t="s">
        <v>528</v>
      </c>
      <c r="Q56" s="49">
        <f t="shared" si="44"/>
        <v>6</v>
      </c>
      <c r="R56" s="49">
        <f t="shared" si="45"/>
        <v>12</v>
      </c>
      <c r="S56" s="49">
        <f t="shared" si="46"/>
        <v>1</v>
      </c>
      <c r="T56" s="49">
        <f t="shared" si="47"/>
        <v>1</v>
      </c>
      <c r="U56" s="49">
        <f t="shared" si="48"/>
        <v>0</v>
      </c>
      <c r="V56" s="1"/>
      <c r="W56" s="1"/>
      <c r="X56" s="1"/>
      <c r="Y56" s="1"/>
      <c r="Z56" s="1"/>
    </row>
    <row r="57" ht="43.5" customHeight="1">
      <c r="A57" s="47" t="s">
        <v>529</v>
      </c>
      <c r="B57" s="47" t="s">
        <v>96</v>
      </c>
      <c r="C57" s="10" t="s">
        <v>530</v>
      </c>
      <c r="D57" s="10" t="s">
        <v>531</v>
      </c>
      <c r="E57" s="47" t="s">
        <v>211</v>
      </c>
      <c r="F57" s="10" t="s">
        <v>532</v>
      </c>
      <c r="G57" s="47" t="s">
        <v>179</v>
      </c>
      <c r="H57" s="47">
        <v>2.0</v>
      </c>
      <c r="I57" s="17">
        <v>4.0</v>
      </c>
      <c r="J57" s="16" t="s">
        <v>378</v>
      </c>
      <c r="K57" s="16" t="s">
        <v>533</v>
      </c>
      <c r="L57" s="16" t="s">
        <v>534</v>
      </c>
      <c r="M57" s="48">
        <f t="shared" si="41"/>
        <v>0</v>
      </c>
      <c r="N57" s="49" t="str">
        <f t="shared" si="42"/>
        <v>Low</v>
      </c>
      <c r="O57" s="49" t="str">
        <f t="shared" si="43"/>
        <v>Meets GP</v>
      </c>
      <c r="P57" s="10" t="s">
        <v>528</v>
      </c>
      <c r="Q57" s="49">
        <f t="shared" si="44"/>
        <v>8</v>
      </c>
      <c r="R57" s="49">
        <f t="shared" si="45"/>
        <v>8</v>
      </c>
      <c r="S57" s="49">
        <f t="shared" si="46"/>
        <v>1</v>
      </c>
      <c r="T57" s="49">
        <f t="shared" si="47"/>
        <v>0</v>
      </c>
      <c r="U57" s="49">
        <f t="shared" si="48"/>
        <v>0</v>
      </c>
      <c r="V57" s="1"/>
      <c r="W57" s="1"/>
      <c r="X57" s="1"/>
      <c r="Y57" s="1"/>
      <c r="Z57" s="1"/>
    </row>
    <row r="58" ht="43.5" customHeight="1">
      <c r="A58" s="47" t="s">
        <v>535</v>
      </c>
      <c r="B58" s="47" t="s">
        <v>96</v>
      </c>
      <c r="C58" s="10" t="s">
        <v>536</v>
      </c>
      <c r="D58" s="10" t="s">
        <v>537</v>
      </c>
      <c r="E58" s="47" t="s">
        <v>211</v>
      </c>
      <c r="F58" s="10" t="s">
        <v>538</v>
      </c>
      <c r="G58" s="47" t="s">
        <v>196</v>
      </c>
      <c r="H58" s="47">
        <v>1.0</v>
      </c>
      <c r="I58" s="17">
        <v>2.0</v>
      </c>
      <c r="J58" s="16" t="s">
        <v>539</v>
      </c>
      <c r="K58" s="16" t="s">
        <v>540</v>
      </c>
      <c r="L58" s="16" t="s">
        <v>541</v>
      </c>
      <c r="M58" s="48">
        <f t="shared" si="41"/>
        <v>2</v>
      </c>
      <c r="N58" s="49" t="str">
        <f t="shared" si="42"/>
        <v>Low</v>
      </c>
      <c r="O58" s="49" t="str">
        <f t="shared" si="43"/>
        <v>Below GP</v>
      </c>
      <c r="P58" s="10" t="s">
        <v>542</v>
      </c>
      <c r="Q58" s="49">
        <f t="shared" si="44"/>
        <v>2</v>
      </c>
      <c r="R58" s="49">
        <f t="shared" si="45"/>
        <v>4</v>
      </c>
      <c r="S58" s="49">
        <f t="shared" si="46"/>
        <v>1</v>
      </c>
      <c r="T58" s="49">
        <f t="shared" si="47"/>
        <v>0</v>
      </c>
      <c r="U58" s="49">
        <f t="shared" si="48"/>
        <v>0</v>
      </c>
      <c r="V58" s="1"/>
      <c r="W58" s="1"/>
      <c r="X58" s="1"/>
      <c r="Y58" s="1"/>
      <c r="Z58" s="1"/>
    </row>
    <row r="59" ht="30.75" customHeight="1">
      <c r="A59" s="47" t="s">
        <v>543</v>
      </c>
      <c r="B59" s="47" t="s">
        <v>96</v>
      </c>
      <c r="C59" s="10" t="s">
        <v>544</v>
      </c>
      <c r="D59" s="10" t="s">
        <v>545</v>
      </c>
      <c r="E59" s="47" t="s">
        <v>211</v>
      </c>
      <c r="F59" s="10" t="s">
        <v>546</v>
      </c>
      <c r="G59" s="47" t="s">
        <v>179</v>
      </c>
      <c r="H59" s="47">
        <v>1.0</v>
      </c>
      <c r="I59" s="17">
        <v>3.0</v>
      </c>
      <c r="J59" s="16" t="s">
        <v>547</v>
      </c>
      <c r="K59" s="16" t="s">
        <v>548</v>
      </c>
      <c r="L59" s="16" t="s">
        <v>549</v>
      </c>
      <c r="M59" s="48">
        <f t="shared" si="41"/>
        <v>1</v>
      </c>
      <c r="N59" s="49" t="str">
        <f t="shared" si="42"/>
        <v>Low</v>
      </c>
      <c r="O59" s="49" t="str">
        <f t="shared" si="43"/>
        <v>Meets GP</v>
      </c>
      <c r="P59" s="10" t="s">
        <v>301</v>
      </c>
      <c r="Q59" s="49">
        <f t="shared" si="44"/>
        <v>3</v>
      </c>
      <c r="R59" s="49">
        <f t="shared" si="45"/>
        <v>4</v>
      </c>
      <c r="S59" s="49">
        <f t="shared" si="46"/>
        <v>1</v>
      </c>
      <c r="T59" s="49">
        <f t="shared" si="47"/>
        <v>0</v>
      </c>
      <c r="U59" s="49">
        <f t="shared" si="48"/>
        <v>0</v>
      </c>
      <c r="V59" s="1"/>
      <c r="W59" s="1"/>
      <c r="X59" s="1"/>
      <c r="Y59" s="1"/>
      <c r="Z59" s="1"/>
    </row>
    <row r="60" ht="68.25" customHeight="1">
      <c r="A60" s="47" t="s">
        <v>550</v>
      </c>
      <c r="B60" s="47" t="s">
        <v>96</v>
      </c>
      <c r="C60" s="10" t="s">
        <v>551</v>
      </c>
      <c r="D60" s="10" t="s">
        <v>552</v>
      </c>
      <c r="E60" s="47" t="s">
        <v>177</v>
      </c>
      <c r="F60" s="10" t="s">
        <v>553</v>
      </c>
      <c r="G60" s="47" t="s">
        <v>179</v>
      </c>
      <c r="H60" s="47">
        <v>2.0</v>
      </c>
      <c r="I60" s="17">
        <v>0.0</v>
      </c>
      <c r="J60" s="16" t="s">
        <v>554</v>
      </c>
      <c r="K60" s="16" t="s">
        <v>555</v>
      </c>
      <c r="L60" s="16" t="s">
        <v>556</v>
      </c>
      <c r="M60" s="48">
        <f t="shared" si="41"/>
        <v>12</v>
      </c>
      <c r="N60" s="49" t="str">
        <f t="shared" si="42"/>
        <v>High</v>
      </c>
      <c r="O60" s="49" t="str">
        <f t="shared" si="43"/>
        <v>Non-compliant</v>
      </c>
      <c r="P60" s="10" t="s">
        <v>557</v>
      </c>
      <c r="Q60" s="49">
        <f t="shared" si="44"/>
        <v>0</v>
      </c>
      <c r="R60" s="49">
        <f t="shared" si="45"/>
        <v>8</v>
      </c>
      <c r="S60" s="49">
        <f t="shared" si="46"/>
        <v>1</v>
      </c>
      <c r="T60" s="49">
        <f t="shared" si="47"/>
        <v>1</v>
      </c>
      <c r="U60" s="49">
        <f t="shared" si="48"/>
        <v>0</v>
      </c>
      <c r="V60" s="1"/>
      <c r="W60" s="1"/>
      <c r="X60" s="1"/>
      <c r="Y60" s="1"/>
      <c r="Z60" s="1"/>
    </row>
    <row r="61" ht="15.0" customHeight="1">
      <c r="A61" s="44" t="s">
        <v>558</v>
      </c>
      <c r="B61" s="45"/>
      <c r="C61" s="45"/>
      <c r="D61" s="45"/>
      <c r="E61" s="45"/>
      <c r="F61" s="45"/>
      <c r="G61" s="45"/>
      <c r="H61" s="45"/>
      <c r="I61" s="45"/>
      <c r="J61" s="45"/>
      <c r="K61" s="45"/>
      <c r="L61" s="45"/>
      <c r="M61" s="45"/>
      <c r="N61" s="45"/>
      <c r="O61" s="45"/>
      <c r="P61" s="46"/>
      <c r="Q61" s="1"/>
      <c r="R61" s="1"/>
      <c r="S61" s="1"/>
      <c r="T61" s="1"/>
      <c r="U61" s="1"/>
      <c r="V61" s="1"/>
      <c r="W61" s="1"/>
      <c r="X61" s="1"/>
      <c r="Y61" s="1"/>
      <c r="Z61" s="1"/>
    </row>
    <row r="62" ht="30.75" customHeight="1">
      <c r="A62" s="47" t="s">
        <v>559</v>
      </c>
      <c r="B62" s="47" t="s">
        <v>98</v>
      </c>
      <c r="C62" s="10" t="s">
        <v>560</v>
      </c>
      <c r="D62" s="10" t="s">
        <v>561</v>
      </c>
      <c r="E62" s="47" t="s">
        <v>177</v>
      </c>
      <c r="F62" s="10" t="s">
        <v>562</v>
      </c>
      <c r="G62" s="47" t="s">
        <v>179</v>
      </c>
      <c r="H62" s="47">
        <v>2.0</v>
      </c>
      <c r="I62" s="17">
        <v>3.0</v>
      </c>
      <c r="J62" s="16" t="s">
        <v>563</v>
      </c>
      <c r="K62" s="16" t="s">
        <v>564</v>
      </c>
      <c r="L62" s="16" t="s">
        <v>565</v>
      </c>
      <c r="M62" s="48">
        <f t="shared" ref="M62:M70" si="49">IF(ISNUMBER(I62),(4-I62)*H62*IF(E62="M",1.5,1),"")</f>
        <v>3</v>
      </c>
      <c r="N62" s="49" t="str">
        <f t="shared" ref="N62:N70" si="50">IF(M62="","",IF(M62&gt;=9,"High",IF(M62&gt;=4,"Medium","Low")))</f>
        <v>Low</v>
      </c>
      <c r="O62" s="49" t="str">
        <f t="shared" ref="O62:O70" si="51">IF(NOT(ISNUMBER(I62)),IF(I62="NA","N/A","Not scored"),IF(E62="M",IF(I62&gt;=3,"Compliant","Non-compliant"),IF(I62&gt;=3,"Meets GP","Below GP")))</f>
        <v>Compliant</v>
      </c>
      <c r="P62" s="10" t="s">
        <v>285</v>
      </c>
      <c r="Q62" s="49">
        <f t="shared" ref="Q62:Q70" si="52">IF(ISNUMBER(I62),I62*H62,0)</f>
        <v>6</v>
      </c>
      <c r="R62" s="49">
        <f t="shared" ref="R62:R70" si="53">IF(ISNUMBER(I62),4*H62,0)</f>
        <v>8</v>
      </c>
      <c r="S62" s="49">
        <f t="shared" ref="S62:S70" si="54">IF(ISNUMBER(I62),1,0)</f>
        <v>1</v>
      </c>
      <c r="T62" s="49">
        <f t="shared" ref="T62:T70" si="55">IF(AND(E62="M",ISNUMBER(I62)),1,0)</f>
        <v>1</v>
      </c>
      <c r="U62" s="49">
        <f t="shared" ref="U62:U70" si="56">IF(AND(E62="M",ISNUMBER(I62)),IF(I62&gt;=3,1,0),0)</f>
        <v>1</v>
      </c>
      <c r="V62" s="1"/>
      <c r="W62" s="1"/>
      <c r="X62" s="1"/>
      <c r="Y62" s="1"/>
      <c r="Z62" s="1"/>
    </row>
    <row r="63" ht="43.5" customHeight="1">
      <c r="A63" s="47" t="s">
        <v>566</v>
      </c>
      <c r="B63" s="47" t="s">
        <v>98</v>
      </c>
      <c r="C63" s="10" t="s">
        <v>567</v>
      </c>
      <c r="D63" s="10" t="s">
        <v>568</v>
      </c>
      <c r="E63" s="47" t="s">
        <v>177</v>
      </c>
      <c r="F63" s="10" t="s">
        <v>569</v>
      </c>
      <c r="G63" s="47" t="s">
        <v>179</v>
      </c>
      <c r="H63" s="47">
        <v>2.0</v>
      </c>
      <c r="I63" s="17">
        <v>4.0</v>
      </c>
      <c r="J63" s="16" t="s">
        <v>378</v>
      </c>
      <c r="K63" s="16" t="s">
        <v>570</v>
      </c>
      <c r="L63" s="16" t="s">
        <v>571</v>
      </c>
      <c r="M63" s="48">
        <f t="shared" si="49"/>
        <v>0</v>
      </c>
      <c r="N63" s="49" t="str">
        <f t="shared" si="50"/>
        <v>Low</v>
      </c>
      <c r="O63" s="49" t="str">
        <f t="shared" si="51"/>
        <v>Compliant</v>
      </c>
      <c r="P63" s="10" t="s">
        <v>301</v>
      </c>
      <c r="Q63" s="49">
        <f t="shared" si="52"/>
        <v>8</v>
      </c>
      <c r="R63" s="49">
        <f t="shared" si="53"/>
        <v>8</v>
      </c>
      <c r="S63" s="49">
        <f t="shared" si="54"/>
        <v>1</v>
      </c>
      <c r="T63" s="49">
        <f t="shared" si="55"/>
        <v>1</v>
      </c>
      <c r="U63" s="49">
        <f t="shared" si="56"/>
        <v>1</v>
      </c>
      <c r="V63" s="1"/>
      <c r="W63" s="1"/>
      <c r="X63" s="1"/>
      <c r="Y63" s="1"/>
      <c r="Z63" s="1"/>
    </row>
    <row r="64" ht="43.5" customHeight="1">
      <c r="A64" s="47" t="s">
        <v>572</v>
      </c>
      <c r="B64" s="47" t="s">
        <v>98</v>
      </c>
      <c r="C64" s="10" t="s">
        <v>573</v>
      </c>
      <c r="D64" s="10" t="s">
        <v>574</v>
      </c>
      <c r="E64" s="47" t="s">
        <v>211</v>
      </c>
      <c r="F64" s="10" t="s">
        <v>575</v>
      </c>
      <c r="G64" s="47" t="s">
        <v>576</v>
      </c>
      <c r="H64" s="47">
        <v>2.0</v>
      </c>
      <c r="I64" s="17">
        <v>3.0</v>
      </c>
      <c r="J64" s="16" t="s">
        <v>563</v>
      </c>
      <c r="K64" s="16" t="s">
        <v>577</v>
      </c>
      <c r="L64" s="16" t="s">
        <v>578</v>
      </c>
      <c r="M64" s="48">
        <f t="shared" si="49"/>
        <v>2</v>
      </c>
      <c r="N64" s="49" t="str">
        <f t="shared" si="50"/>
        <v>Low</v>
      </c>
      <c r="O64" s="49" t="str">
        <f t="shared" si="51"/>
        <v>Meets GP</v>
      </c>
      <c r="P64" s="10" t="s">
        <v>301</v>
      </c>
      <c r="Q64" s="49">
        <f t="shared" si="52"/>
        <v>6</v>
      </c>
      <c r="R64" s="49">
        <f t="shared" si="53"/>
        <v>8</v>
      </c>
      <c r="S64" s="49">
        <f t="shared" si="54"/>
        <v>1</v>
      </c>
      <c r="T64" s="49">
        <f t="shared" si="55"/>
        <v>0</v>
      </c>
      <c r="U64" s="49">
        <f t="shared" si="56"/>
        <v>0</v>
      </c>
      <c r="V64" s="1"/>
      <c r="W64" s="1"/>
      <c r="X64" s="1"/>
      <c r="Y64" s="1"/>
      <c r="Z64" s="1"/>
    </row>
    <row r="65" ht="43.5" customHeight="1">
      <c r="A65" s="47" t="s">
        <v>579</v>
      </c>
      <c r="B65" s="47" t="s">
        <v>98</v>
      </c>
      <c r="C65" s="10" t="s">
        <v>580</v>
      </c>
      <c r="D65" s="10" t="s">
        <v>581</v>
      </c>
      <c r="E65" s="47" t="s">
        <v>177</v>
      </c>
      <c r="F65" s="10" t="s">
        <v>582</v>
      </c>
      <c r="G65" s="47" t="s">
        <v>273</v>
      </c>
      <c r="H65" s="47">
        <v>3.0</v>
      </c>
      <c r="I65" s="17">
        <v>2.0</v>
      </c>
      <c r="J65" s="16" t="s">
        <v>583</v>
      </c>
      <c r="K65" s="16" t="s">
        <v>584</v>
      </c>
      <c r="L65" s="16" t="s">
        <v>585</v>
      </c>
      <c r="M65" s="48">
        <f t="shared" si="49"/>
        <v>9</v>
      </c>
      <c r="N65" s="49" t="str">
        <f t="shared" si="50"/>
        <v>High</v>
      </c>
      <c r="O65" s="49" t="str">
        <f t="shared" si="51"/>
        <v>Non-compliant</v>
      </c>
      <c r="P65" s="10" t="s">
        <v>586</v>
      </c>
      <c r="Q65" s="49">
        <f t="shared" si="52"/>
        <v>6</v>
      </c>
      <c r="R65" s="49">
        <f t="shared" si="53"/>
        <v>12</v>
      </c>
      <c r="S65" s="49">
        <f t="shared" si="54"/>
        <v>1</v>
      </c>
      <c r="T65" s="49">
        <f t="shared" si="55"/>
        <v>1</v>
      </c>
      <c r="U65" s="49">
        <f t="shared" si="56"/>
        <v>0</v>
      </c>
      <c r="V65" s="1"/>
      <c r="W65" s="1"/>
      <c r="X65" s="1"/>
      <c r="Y65" s="1"/>
      <c r="Z65" s="1"/>
    </row>
    <row r="66" ht="43.5" customHeight="1">
      <c r="A66" s="47" t="s">
        <v>587</v>
      </c>
      <c r="B66" s="47" t="s">
        <v>98</v>
      </c>
      <c r="C66" s="10" t="s">
        <v>588</v>
      </c>
      <c r="D66" s="10" t="s">
        <v>589</v>
      </c>
      <c r="E66" s="47" t="s">
        <v>177</v>
      </c>
      <c r="F66" s="10" t="s">
        <v>590</v>
      </c>
      <c r="G66" s="47" t="s">
        <v>591</v>
      </c>
      <c r="H66" s="47">
        <v>2.0</v>
      </c>
      <c r="I66" s="17">
        <v>4.0</v>
      </c>
      <c r="J66" s="16" t="s">
        <v>592</v>
      </c>
      <c r="K66" s="16" t="s">
        <v>593</v>
      </c>
      <c r="L66" s="16" t="s">
        <v>594</v>
      </c>
      <c r="M66" s="48">
        <f t="shared" si="49"/>
        <v>0</v>
      </c>
      <c r="N66" s="49" t="str">
        <f t="shared" si="50"/>
        <v>Low</v>
      </c>
      <c r="O66" s="49" t="str">
        <f t="shared" si="51"/>
        <v>Compliant</v>
      </c>
      <c r="P66" s="10" t="s">
        <v>595</v>
      </c>
      <c r="Q66" s="49">
        <f t="shared" si="52"/>
        <v>8</v>
      </c>
      <c r="R66" s="49">
        <f t="shared" si="53"/>
        <v>8</v>
      </c>
      <c r="S66" s="49">
        <f t="shared" si="54"/>
        <v>1</v>
      </c>
      <c r="T66" s="49">
        <f t="shared" si="55"/>
        <v>1</v>
      </c>
      <c r="U66" s="49">
        <f t="shared" si="56"/>
        <v>1</v>
      </c>
      <c r="V66" s="1"/>
      <c r="W66" s="1"/>
      <c r="X66" s="1"/>
      <c r="Y66" s="1"/>
      <c r="Z66" s="1"/>
    </row>
    <row r="67" ht="55.5" customHeight="1">
      <c r="A67" s="47" t="s">
        <v>596</v>
      </c>
      <c r="B67" s="47" t="s">
        <v>98</v>
      </c>
      <c r="C67" s="10" t="s">
        <v>597</v>
      </c>
      <c r="D67" s="10" t="s">
        <v>598</v>
      </c>
      <c r="E67" s="47" t="s">
        <v>177</v>
      </c>
      <c r="F67" s="10" t="s">
        <v>599</v>
      </c>
      <c r="G67" s="47" t="s">
        <v>576</v>
      </c>
      <c r="H67" s="47">
        <v>2.0</v>
      </c>
      <c r="I67" s="17">
        <v>3.0</v>
      </c>
      <c r="J67" s="16" t="s">
        <v>419</v>
      </c>
      <c r="K67" s="16" t="s">
        <v>600</v>
      </c>
      <c r="L67" s="16" t="s">
        <v>601</v>
      </c>
      <c r="M67" s="48">
        <f t="shared" si="49"/>
        <v>3</v>
      </c>
      <c r="N67" s="49" t="str">
        <f t="shared" si="50"/>
        <v>Low</v>
      </c>
      <c r="O67" s="49" t="str">
        <f t="shared" si="51"/>
        <v>Compliant</v>
      </c>
      <c r="P67" s="10" t="s">
        <v>602</v>
      </c>
      <c r="Q67" s="49">
        <f t="shared" si="52"/>
        <v>6</v>
      </c>
      <c r="R67" s="49">
        <f t="shared" si="53"/>
        <v>8</v>
      </c>
      <c r="S67" s="49">
        <f t="shared" si="54"/>
        <v>1</v>
      </c>
      <c r="T67" s="49">
        <f t="shared" si="55"/>
        <v>1</v>
      </c>
      <c r="U67" s="49">
        <f t="shared" si="56"/>
        <v>1</v>
      </c>
      <c r="V67" s="1"/>
      <c r="W67" s="1"/>
      <c r="X67" s="1"/>
      <c r="Y67" s="1"/>
      <c r="Z67" s="1"/>
    </row>
    <row r="68" ht="30.75" customHeight="1">
      <c r="A68" s="47" t="s">
        <v>603</v>
      </c>
      <c r="B68" s="47" t="s">
        <v>98</v>
      </c>
      <c r="C68" s="10" t="s">
        <v>604</v>
      </c>
      <c r="D68" s="10" t="s">
        <v>605</v>
      </c>
      <c r="E68" s="47" t="s">
        <v>211</v>
      </c>
      <c r="F68" s="10" t="s">
        <v>606</v>
      </c>
      <c r="G68" s="47" t="s">
        <v>196</v>
      </c>
      <c r="H68" s="47">
        <v>1.0</v>
      </c>
      <c r="I68" s="17">
        <v>3.0</v>
      </c>
      <c r="J68" s="16" t="s">
        <v>607</v>
      </c>
      <c r="K68" s="16" t="s">
        <v>608</v>
      </c>
      <c r="L68" s="16" t="s">
        <v>609</v>
      </c>
      <c r="M68" s="48">
        <f t="shared" si="49"/>
        <v>1</v>
      </c>
      <c r="N68" s="49" t="str">
        <f t="shared" si="50"/>
        <v>Low</v>
      </c>
      <c r="O68" s="49" t="str">
        <f t="shared" si="51"/>
        <v>Meets GP</v>
      </c>
      <c r="P68" s="10" t="s">
        <v>301</v>
      </c>
      <c r="Q68" s="49">
        <f t="shared" si="52"/>
        <v>3</v>
      </c>
      <c r="R68" s="49">
        <f t="shared" si="53"/>
        <v>4</v>
      </c>
      <c r="S68" s="49">
        <f t="shared" si="54"/>
        <v>1</v>
      </c>
      <c r="T68" s="49">
        <f t="shared" si="55"/>
        <v>0</v>
      </c>
      <c r="U68" s="49">
        <f t="shared" si="56"/>
        <v>0</v>
      </c>
      <c r="V68" s="1"/>
      <c r="W68" s="1"/>
      <c r="X68" s="1"/>
      <c r="Y68" s="1"/>
      <c r="Z68" s="1"/>
    </row>
    <row r="69" ht="43.5" customHeight="1">
      <c r="A69" s="47" t="s">
        <v>610</v>
      </c>
      <c r="B69" s="47" t="s">
        <v>98</v>
      </c>
      <c r="C69" s="10" t="s">
        <v>611</v>
      </c>
      <c r="D69" s="10" t="s">
        <v>612</v>
      </c>
      <c r="E69" s="47" t="s">
        <v>211</v>
      </c>
      <c r="F69" s="10" t="s">
        <v>613</v>
      </c>
      <c r="G69" s="47" t="s">
        <v>179</v>
      </c>
      <c r="H69" s="47">
        <v>1.0</v>
      </c>
      <c r="I69" s="17">
        <v>1.0</v>
      </c>
      <c r="J69" s="16" t="s">
        <v>614</v>
      </c>
      <c r="K69" s="16" t="s">
        <v>615</v>
      </c>
      <c r="L69" s="16" t="s">
        <v>616</v>
      </c>
      <c r="M69" s="48">
        <f t="shared" si="49"/>
        <v>3</v>
      </c>
      <c r="N69" s="49" t="str">
        <f t="shared" si="50"/>
        <v>Low</v>
      </c>
      <c r="O69" s="49" t="str">
        <f t="shared" si="51"/>
        <v>Below GP</v>
      </c>
      <c r="P69" s="10" t="s">
        <v>301</v>
      </c>
      <c r="Q69" s="49">
        <f t="shared" si="52"/>
        <v>1</v>
      </c>
      <c r="R69" s="49">
        <f t="shared" si="53"/>
        <v>4</v>
      </c>
      <c r="S69" s="49">
        <f t="shared" si="54"/>
        <v>1</v>
      </c>
      <c r="T69" s="49">
        <f t="shared" si="55"/>
        <v>0</v>
      </c>
      <c r="U69" s="49">
        <f t="shared" si="56"/>
        <v>0</v>
      </c>
      <c r="V69" s="1"/>
      <c r="W69" s="1"/>
      <c r="X69" s="1"/>
      <c r="Y69" s="1"/>
      <c r="Z69" s="1"/>
    </row>
    <row r="70" ht="43.5" customHeight="1">
      <c r="A70" s="47" t="s">
        <v>617</v>
      </c>
      <c r="B70" s="47" t="s">
        <v>98</v>
      </c>
      <c r="C70" s="10" t="s">
        <v>618</v>
      </c>
      <c r="D70" s="10" t="s">
        <v>619</v>
      </c>
      <c r="E70" s="47" t="s">
        <v>211</v>
      </c>
      <c r="F70" s="10" t="s">
        <v>620</v>
      </c>
      <c r="G70" s="47" t="s">
        <v>576</v>
      </c>
      <c r="H70" s="47">
        <v>2.0</v>
      </c>
      <c r="I70" s="17">
        <v>1</v>
      </c>
      <c r="J70" s="16" t="inlineStr">
        <is>
          <t xml:space="preserve">DR: no drill or AAR record of purok welfare checks found; BDRRMC functionality rated 3 (A7.3); CDRA gives exposed households by barangay for flood, landslide and storm surge.</t>
        </is>
      </c>
      <c r="K70" s="16" t="inlineStr">
        <is>
          <t xml:space="preserve">Provisional desk score: accounting for residents is assumed to be informal (BDRRMC/purok headcounts) with no time standard or record. Confirm in FGDs in sampled barangays.</t>
        </is>
      </c>
      <c r="L70" s="16" t="inlineStr">
        <is>
          <t xml:space="preserve">Add a 12-hour welfare-check step to BDRRMC protocols, using purok household lists (CBMS) and the CDRA exposed-household counts; test it in the next drill and log the time taken.</t>
        </is>
      </c>
      <c r="M70" s="48" t="str">
        <f t="shared" si="49"/>
        <v/>
      </c>
      <c r="N70" s="49" t="str">
        <f t="shared" si="50"/>
        <v/>
      </c>
      <c r="O70" s="49" t="str">
        <f t="shared" si="51"/>
        <v>Not scored</v>
      </c>
      <c r="P70" s="10" t="s">
        <v>586</v>
      </c>
      <c r="Q70" s="49">
        <f t="shared" si="52"/>
        <v>0</v>
      </c>
      <c r="R70" s="49">
        <f t="shared" si="53"/>
        <v>0</v>
      </c>
      <c r="S70" s="49">
        <f t="shared" si="54"/>
        <v>0</v>
      </c>
      <c r="T70" s="49">
        <f t="shared" si="55"/>
        <v>0</v>
      </c>
      <c r="U70" s="49">
        <f t="shared" si="56"/>
        <v>0</v>
      </c>
      <c r="V70" s="1"/>
      <c r="W70" s="1"/>
      <c r="X70" s="1"/>
      <c r="Y70" s="1"/>
      <c r="Z70" s="1"/>
    </row>
    <row r="71" ht="15.0" customHeight="1">
      <c r="A71" s="44" t="s">
        <v>624</v>
      </c>
      <c r="B71" s="45"/>
      <c r="C71" s="45"/>
      <c r="D71" s="45"/>
      <c r="E71" s="45"/>
      <c r="F71" s="45"/>
      <c r="G71" s="45"/>
      <c r="H71" s="45"/>
      <c r="I71" s="45"/>
      <c r="J71" s="45"/>
      <c r="K71" s="45"/>
      <c r="L71" s="45"/>
      <c r="M71" s="45"/>
      <c r="N71" s="45"/>
      <c r="O71" s="45"/>
      <c r="P71" s="46"/>
      <c r="Q71" s="1"/>
      <c r="R71" s="1"/>
      <c r="S71" s="1"/>
      <c r="T71" s="1"/>
      <c r="U71" s="1"/>
      <c r="V71" s="1"/>
      <c r="W71" s="1"/>
      <c r="X71" s="1"/>
      <c r="Y71" s="1"/>
      <c r="Z71" s="1"/>
    </row>
    <row r="72" ht="43.5" customHeight="1">
      <c r="A72" s="47" t="s">
        <v>625</v>
      </c>
      <c r="B72" s="47" t="s">
        <v>100</v>
      </c>
      <c r="C72" s="10" t="s">
        <v>626</v>
      </c>
      <c r="D72" s="10" t="s">
        <v>627</v>
      </c>
      <c r="E72" s="47" t="s">
        <v>177</v>
      </c>
      <c r="F72" s="10" t="s">
        <v>628</v>
      </c>
      <c r="G72" s="47" t="s">
        <v>179</v>
      </c>
      <c r="H72" s="47">
        <v>3.0</v>
      </c>
      <c r="I72" s="17">
        <v>1.0</v>
      </c>
      <c r="J72" s="16" t="s">
        <v>629</v>
      </c>
      <c r="K72" s="16" t="s">
        <v>630</v>
      </c>
      <c r="L72" s="16" t="s">
        <v>631</v>
      </c>
      <c r="M72" s="48">
        <f t="shared" ref="M72:M80" si="57">IF(ISNUMBER(I72),(4-I72)*H72*IF(E72="M",1.5,1),"")</f>
        <v>13.5</v>
      </c>
      <c r="N72" s="49" t="str">
        <f t="shared" ref="N72:N80" si="58">IF(M72="","",IF(M72&gt;=9,"High",IF(M72&gt;=4,"Medium","Low")))</f>
        <v>High</v>
      </c>
      <c r="O72" s="49" t="str">
        <f t="shared" ref="O72:O80" si="59">IF(NOT(ISNUMBER(I72)),IF(I72="NA","N/A","Not scored"),IF(E72="M",IF(I72&gt;=3,"Compliant","Non-compliant"),IF(I72&gt;=3,"Meets GP","Below GP")))</f>
        <v>Non-compliant</v>
      </c>
      <c r="P72" s="10" t="s">
        <v>632</v>
      </c>
      <c r="Q72" s="49">
        <f t="shared" ref="Q72:Q80" si="60">IF(ISNUMBER(I72),I72*H72,0)</f>
        <v>3</v>
      </c>
      <c r="R72" s="49">
        <f t="shared" ref="R72:R80" si="61">IF(ISNUMBER(I72),4*H72,0)</f>
        <v>12</v>
      </c>
      <c r="S72" s="49">
        <f t="shared" ref="S72:S80" si="62">IF(ISNUMBER(I72),1,0)</f>
        <v>1</v>
      </c>
      <c r="T72" s="49">
        <f t="shared" ref="T72:T80" si="63">IF(AND(E72="M",ISNUMBER(I72)),1,0)</f>
        <v>1</v>
      </c>
      <c r="U72" s="49">
        <f t="shared" ref="U72:U80" si="64">IF(AND(E72="M",ISNUMBER(I72)),IF(I72&gt;=3,1,0),0)</f>
        <v>0</v>
      </c>
      <c r="V72" s="1"/>
      <c r="W72" s="1"/>
      <c r="X72" s="1"/>
      <c r="Y72" s="1"/>
      <c r="Z72" s="1"/>
    </row>
    <row r="73" ht="43.5" customHeight="1">
      <c r="A73" s="47" t="s">
        <v>633</v>
      </c>
      <c r="B73" s="47" t="s">
        <v>100</v>
      </c>
      <c r="C73" s="10" t="s">
        <v>634</v>
      </c>
      <c r="D73" s="10" t="s">
        <v>635</v>
      </c>
      <c r="E73" s="47" t="s">
        <v>177</v>
      </c>
      <c r="F73" s="10" t="s">
        <v>636</v>
      </c>
      <c r="G73" s="47" t="s">
        <v>273</v>
      </c>
      <c r="H73" s="47">
        <v>3.0</v>
      </c>
      <c r="I73" s="17">
        <v>2.0</v>
      </c>
      <c r="J73" s="16" t="s">
        <v>637</v>
      </c>
      <c r="K73" s="16" t="s">
        <v>638</v>
      </c>
      <c r="L73" s="16" t="s">
        <v>639</v>
      </c>
      <c r="M73" s="48">
        <f t="shared" si="57"/>
        <v>9</v>
      </c>
      <c r="N73" s="49" t="str">
        <f t="shared" si="58"/>
        <v>High</v>
      </c>
      <c r="O73" s="49" t="str">
        <f t="shared" si="59"/>
        <v>Non-compliant</v>
      </c>
      <c r="P73" s="10" t="s">
        <v>528</v>
      </c>
      <c r="Q73" s="49">
        <f t="shared" si="60"/>
        <v>6</v>
      </c>
      <c r="R73" s="49">
        <f t="shared" si="61"/>
        <v>12</v>
      </c>
      <c r="S73" s="49">
        <f t="shared" si="62"/>
        <v>1</v>
      </c>
      <c r="T73" s="49">
        <f t="shared" si="63"/>
        <v>1</v>
      </c>
      <c r="U73" s="49">
        <f t="shared" si="64"/>
        <v>0</v>
      </c>
      <c r="V73" s="1"/>
      <c r="W73" s="1"/>
      <c r="X73" s="1"/>
      <c r="Y73" s="1"/>
      <c r="Z73" s="1"/>
    </row>
    <row r="74" ht="43.5" customHeight="1">
      <c r="A74" s="47" t="s">
        <v>640</v>
      </c>
      <c r="B74" s="47" t="s">
        <v>100</v>
      </c>
      <c r="C74" s="10" t="s">
        <v>641</v>
      </c>
      <c r="D74" s="10" t="s">
        <v>642</v>
      </c>
      <c r="E74" s="47" t="s">
        <v>177</v>
      </c>
      <c r="F74" s="10" t="s">
        <v>643</v>
      </c>
      <c r="G74" s="47" t="s">
        <v>591</v>
      </c>
      <c r="H74" s="47">
        <v>2.0</v>
      </c>
      <c r="I74" s="17">
        <v>3.0</v>
      </c>
      <c r="J74" s="16" t="s">
        <v>644</v>
      </c>
      <c r="K74" s="16" t="s">
        <v>645</v>
      </c>
      <c r="L74" s="16" t="s">
        <v>646</v>
      </c>
      <c r="M74" s="48">
        <f t="shared" si="57"/>
        <v>3</v>
      </c>
      <c r="N74" s="49" t="str">
        <f t="shared" si="58"/>
        <v>Low</v>
      </c>
      <c r="O74" s="49" t="str">
        <f t="shared" si="59"/>
        <v>Compliant</v>
      </c>
      <c r="P74" s="10" t="s">
        <v>586</v>
      </c>
      <c r="Q74" s="49">
        <f t="shared" si="60"/>
        <v>6</v>
      </c>
      <c r="R74" s="49">
        <f t="shared" si="61"/>
        <v>8</v>
      </c>
      <c r="S74" s="49">
        <f t="shared" si="62"/>
        <v>1</v>
      </c>
      <c r="T74" s="49">
        <f t="shared" si="63"/>
        <v>1</v>
      </c>
      <c r="U74" s="49">
        <f t="shared" si="64"/>
        <v>1</v>
      </c>
      <c r="V74" s="1"/>
      <c r="W74" s="1"/>
      <c r="X74" s="1"/>
      <c r="Y74" s="1"/>
      <c r="Z74" s="1"/>
    </row>
    <row r="75" ht="43.5" customHeight="1">
      <c r="A75" s="47" t="s">
        <v>647</v>
      </c>
      <c r="B75" s="47" t="s">
        <v>100</v>
      </c>
      <c r="C75" s="10" t="s">
        <v>648</v>
      </c>
      <c r="D75" s="10" t="s">
        <v>649</v>
      </c>
      <c r="E75" s="47" t="s">
        <v>211</v>
      </c>
      <c r="F75" s="10" t="s">
        <v>650</v>
      </c>
      <c r="G75" s="47" t="s">
        <v>591</v>
      </c>
      <c r="H75" s="47">
        <v>2.0</v>
      </c>
      <c r="I75" s="17">
        <v>0.0</v>
      </c>
      <c r="J75" s="16" t="s">
        <v>651</v>
      </c>
      <c r="K75" s="16" t="s">
        <v>652</v>
      </c>
      <c r="L75" s="16" t="s">
        <v>653</v>
      </c>
      <c r="M75" s="48">
        <f t="shared" si="57"/>
        <v>8</v>
      </c>
      <c r="N75" s="49" t="str">
        <f t="shared" si="58"/>
        <v>Medium</v>
      </c>
      <c r="O75" s="49" t="str">
        <f t="shared" si="59"/>
        <v>Below GP</v>
      </c>
      <c r="P75" s="10" t="s">
        <v>654</v>
      </c>
      <c r="Q75" s="49">
        <f t="shared" si="60"/>
        <v>0</v>
      </c>
      <c r="R75" s="49">
        <f t="shared" si="61"/>
        <v>8</v>
      </c>
      <c r="S75" s="49">
        <f t="shared" si="62"/>
        <v>1</v>
      </c>
      <c r="T75" s="49">
        <f t="shared" si="63"/>
        <v>0</v>
      </c>
      <c r="U75" s="49">
        <f t="shared" si="64"/>
        <v>0</v>
      </c>
      <c r="V75" s="1"/>
      <c r="W75" s="1"/>
      <c r="X75" s="1"/>
      <c r="Y75" s="1"/>
      <c r="Z75" s="1"/>
    </row>
    <row r="76" ht="55.5" customHeight="1">
      <c r="A76" s="47" t="s">
        <v>655</v>
      </c>
      <c r="B76" s="47" t="s">
        <v>100</v>
      </c>
      <c r="C76" s="10" t="s">
        <v>656</v>
      </c>
      <c r="D76" s="10" t="s">
        <v>657</v>
      </c>
      <c r="E76" s="47" t="s">
        <v>177</v>
      </c>
      <c r="F76" s="10" t="s">
        <v>658</v>
      </c>
      <c r="G76" s="47" t="s">
        <v>179</v>
      </c>
      <c r="H76" s="47">
        <v>2.0</v>
      </c>
      <c r="I76" s="17">
        <v>3.0</v>
      </c>
      <c r="J76" s="16" t="s">
        <v>659</v>
      </c>
      <c r="K76" s="16" t="s">
        <v>660</v>
      </c>
      <c r="L76" s="16" t="inlineStr">
        <is>
          <t xml:space="preserve">Assess cluster capability and adopt a cluster EO aligned to the national response clusters (RDRRMOC SOPG 2022, Table 6: 11 clusters), naming lead and member offices.</t>
        </is>
      </c>
      <c r="M76" s="48">
        <f t="shared" si="57"/>
        <v>3</v>
      </c>
      <c r="N76" s="49" t="str">
        <f t="shared" si="58"/>
        <v>Low</v>
      </c>
      <c r="O76" s="49" t="str">
        <f t="shared" si="59"/>
        <v>Compliant</v>
      </c>
      <c r="P76" s="10" t="s">
        <v>654</v>
      </c>
      <c r="Q76" s="49">
        <f t="shared" si="60"/>
        <v>6</v>
      </c>
      <c r="R76" s="49">
        <f t="shared" si="61"/>
        <v>8</v>
      </c>
      <c r="S76" s="49">
        <f t="shared" si="62"/>
        <v>1</v>
      </c>
      <c r="T76" s="49">
        <f t="shared" si="63"/>
        <v>1</v>
      </c>
      <c r="U76" s="49">
        <f t="shared" si="64"/>
        <v>1</v>
      </c>
      <c r="V76" s="1"/>
      <c r="W76" s="1"/>
      <c r="X76" s="1"/>
      <c r="Y76" s="1"/>
      <c r="Z76" s="1"/>
    </row>
    <row r="77" ht="43.5" customHeight="1">
      <c r="A77" s="47" t="s">
        <v>662</v>
      </c>
      <c r="B77" s="47" t="s">
        <v>100</v>
      </c>
      <c r="C77" s="10" t="s">
        <v>663</v>
      </c>
      <c r="D77" s="10" t="s">
        <v>664</v>
      </c>
      <c r="E77" s="47" t="s">
        <v>177</v>
      </c>
      <c r="F77" s="10" t="s">
        <v>665</v>
      </c>
      <c r="G77" s="47" t="s">
        <v>196</v>
      </c>
      <c r="H77" s="47">
        <v>3.0</v>
      </c>
      <c r="I77" s="17">
        <v>3.0</v>
      </c>
      <c r="J77" s="16" t="s">
        <v>419</v>
      </c>
      <c r="K77" s="16" t="s">
        <v>666</v>
      </c>
      <c r="L77" s="16" t="s">
        <v>667</v>
      </c>
      <c r="M77" s="48">
        <f t="shared" si="57"/>
        <v>4.5</v>
      </c>
      <c r="N77" s="49" t="str">
        <f t="shared" si="58"/>
        <v>Medium</v>
      </c>
      <c r="O77" s="49" t="str">
        <f t="shared" si="59"/>
        <v>Compliant</v>
      </c>
      <c r="P77" s="10" t="s">
        <v>668</v>
      </c>
      <c r="Q77" s="49">
        <f t="shared" si="60"/>
        <v>9</v>
      </c>
      <c r="R77" s="49">
        <f t="shared" si="61"/>
        <v>12</v>
      </c>
      <c r="S77" s="49">
        <f t="shared" si="62"/>
        <v>1</v>
      </c>
      <c r="T77" s="49">
        <f t="shared" si="63"/>
        <v>1</v>
      </c>
      <c r="U77" s="49">
        <f t="shared" si="64"/>
        <v>1</v>
      </c>
      <c r="V77" s="1"/>
      <c r="W77" s="1"/>
      <c r="X77" s="1"/>
      <c r="Y77" s="1"/>
      <c r="Z77" s="1"/>
    </row>
    <row r="78" ht="43.5" customHeight="1">
      <c r="A78" s="47" t="s">
        <v>669</v>
      </c>
      <c r="B78" s="47" t="s">
        <v>100</v>
      </c>
      <c r="C78" s="10" t="s">
        <v>670</v>
      </c>
      <c r="D78" s="10" t="s">
        <v>671</v>
      </c>
      <c r="E78" s="47" t="s">
        <v>177</v>
      </c>
      <c r="F78" s="10" t="s">
        <v>672</v>
      </c>
      <c r="G78" s="47" t="s">
        <v>179</v>
      </c>
      <c r="H78" s="47">
        <v>2.0</v>
      </c>
      <c r="I78" s="17">
        <v>1.0</v>
      </c>
      <c r="J78" s="16" t="s">
        <v>673</v>
      </c>
      <c r="K78" s="16" t="s">
        <v>674</v>
      </c>
      <c r="L78" s="16" t="s">
        <v>675</v>
      </c>
      <c r="M78" s="48">
        <f t="shared" si="57"/>
        <v>9</v>
      </c>
      <c r="N78" s="49" t="str">
        <f t="shared" si="58"/>
        <v>High</v>
      </c>
      <c r="O78" s="49" t="str">
        <f t="shared" si="59"/>
        <v>Non-compliant</v>
      </c>
      <c r="P78" s="10" t="s">
        <v>528</v>
      </c>
      <c r="Q78" s="49">
        <f t="shared" si="60"/>
        <v>2</v>
      </c>
      <c r="R78" s="49">
        <f t="shared" si="61"/>
        <v>8</v>
      </c>
      <c r="S78" s="49">
        <f t="shared" si="62"/>
        <v>1</v>
      </c>
      <c r="T78" s="49">
        <f t="shared" si="63"/>
        <v>1</v>
      </c>
      <c r="U78" s="49">
        <f t="shared" si="64"/>
        <v>0</v>
      </c>
      <c r="V78" s="1"/>
      <c r="W78" s="1"/>
      <c r="X78" s="1"/>
      <c r="Y78" s="1"/>
      <c r="Z78" s="1"/>
    </row>
    <row r="79" ht="105.75" customHeight="1">
      <c r="A79" s="47" t="s">
        <v>676</v>
      </c>
      <c r="B79" s="47" t="s">
        <v>100</v>
      </c>
      <c r="C79" s="10" t="s">
        <v>677</v>
      </c>
      <c r="D79" s="10" t="s">
        <v>678</v>
      </c>
      <c r="E79" s="47" t="s">
        <v>177</v>
      </c>
      <c r="F79" s="10" t="s">
        <v>679</v>
      </c>
      <c r="G79" s="47" t="s">
        <v>196</v>
      </c>
      <c r="H79" s="47">
        <v>3.0</v>
      </c>
      <c r="I79" s="17">
        <v>1.0</v>
      </c>
      <c r="J79" s="16" t="s">
        <v>680</v>
      </c>
      <c r="K79" s="16" t="s">
        <v>681</v>
      </c>
      <c r="L79" s="16" t="s">
        <v>682</v>
      </c>
      <c r="M79" s="48">
        <f t="shared" si="57"/>
        <v>13.5</v>
      </c>
      <c r="N79" s="49" t="str">
        <f t="shared" si="58"/>
        <v>High</v>
      </c>
      <c r="O79" s="49" t="str">
        <f t="shared" si="59"/>
        <v>Non-compliant</v>
      </c>
      <c r="P79" s="10" t="s">
        <v>683</v>
      </c>
      <c r="Q79" s="49">
        <f t="shared" si="60"/>
        <v>3</v>
      </c>
      <c r="R79" s="49">
        <f t="shared" si="61"/>
        <v>12</v>
      </c>
      <c r="S79" s="49">
        <f t="shared" si="62"/>
        <v>1</v>
      </c>
      <c r="T79" s="49">
        <f t="shared" si="63"/>
        <v>1</v>
      </c>
      <c r="U79" s="49">
        <f t="shared" si="64"/>
        <v>0</v>
      </c>
      <c r="V79" s="1"/>
      <c r="W79" s="1"/>
      <c r="X79" s="1"/>
      <c r="Y79" s="1"/>
      <c r="Z79" s="1"/>
    </row>
    <row r="80" ht="68.25" customHeight="1">
      <c r="A80" s="47" t="s">
        <v>684</v>
      </c>
      <c r="B80" s="47" t="s">
        <v>100</v>
      </c>
      <c r="C80" s="10" t="s">
        <v>685</v>
      </c>
      <c r="D80" s="10" t="s">
        <v>686</v>
      </c>
      <c r="E80" s="47" t="s">
        <v>177</v>
      </c>
      <c r="F80" s="10" t="s">
        <v>687</v>
      </c>
      <c r="G80" s="47" t="s">
        <v>196</v>
      </c>
      <c r="H80" s="47">
        <v>2.0</v>
      </c>
      <c r="I80" s="17">
        <v>1.0</v>
      </c>
      <c r="J80" s="16" t="s">
        <v>688</v>
      </c>
      <c r="K80" s="16" t="s">
        <v>689</v>
      </c>
      <c r="L80" s="16" t="s">
        <v>690</v>
      </c>
      <c r="M80" s="48">
        <f t="shared" si="57"/>
        <v>9</v>
      </c>
      <c r="N80" s="49" t="str">
        <f t="shared" si="58"/>
        <v>High</v>
      </c>
      <c r="O80" s="49" t="str">
        <f t="shared" si="59"/>
        <v>Non-compliant</v>
      </c>
      <c r="P80" s="10" t="s">
        <v>528</v>
      </c>
      <c r="Q80" s="49">
        <f t="shared" si="60"/>
        <v>2</v>
      </c>
      <c r="R80" s="49">
        <f t="shared" si="61"/>
        <v>8</v>
      </c>
      <c r="S80" s="49">
        <f t="shared" si="62"/>
        <v>1</v>
      </c>
      <c r="T80" s="49">
        <f t="shared" si="63"/>
        <v>1</v>
      </c>
      <c r="U80" s="49">
        <f t="shared" si="64"/>
        <v>0</v>
      </c>
      <c r="V80" s="1"/>
      <c r="W80" s="1"/>
      <c r="X80" s="1"/>
      <c r="Y80" s="1"/>
      <c r="Z80" s="1"/>
    </row>
    <row r="81" ht="15.0" customHeight="1">
      <c r="A81" s="44" t="s">
        <v>691</v>
      </c>
      <c r="B81" s="45"/>
      <c r="C81" s="45"/>
      <c r="D81" s="45"/>
      <c r="E81" s="45"/>
      <c r="F81" s="45"/>
      <c r="G81" s="45"/>
      <c r="H81" s="45"/>
      <c r="I81" s="45"/>
      <c r="J81" s="45"/>
      <c r="K81" s="45"/>
      <c r="L81" s="45"/>
      <c r="M81" s="45"/>
      <c r="N81" s="45"/>
      <c r="O81" s="45"/>
      <c r="P81" s="46"/>
      <c r="Q81" s="1"/>
      <c r="R81" s="1"/>
      <c r="S81" s="1"/>
      <c r="T81" s="1"/>
      <c r="U81" s="1"/>
      <c r="V81" s="1"/>
      <c r="W81" s="1"/>
      <c r="X81" s="1"/>
      <c r="Y81" s="1"/>
      <c r="Z81" s="1"/>
    </row>
    <row r="82" ht="30.75" customHeight="1">
      <c r="A82" s="47" t="s">
        <v>692</v>
      </c>
      <c r="B82" s="47" t="s">
        <v>102</v>
      </c>
      <c r="C82" s="10" t="s">
        <v>693</v>
      </c>
      <c r="D82" s="10" t="s">
        <v>694</v>
      </c>
      <c r="E82" s="47" t="s">
        <v>211</v>
      </c>
      <c r="F82" s="10" t="s">
        <v>695</v>
      </c>
      <c r="G82" s="47" t="s">
        <v>179</v>
      </c>
      <c r="H82" s="47">
        <v>2.0</v>
      </c>
      <c r="I82" s="17">
        <v>1.0</v>
      </c>
      <c r="J82" s="16" t="s">
        <v>696</v>
      </c>
      <c r="K82" s="16" t="s">
        <v>697</v>
      </c>
      <c r="L82" s="16" t="s">
        <v>698</v>
      </c>
      <c r="M82" s="48">
        <f t="shared" ref="M82:M86" si="65">IF(ISNUMBER(I82),(4-I82)*H82*IF(E82="M",1.5,1),"")</f>
        <v>6</v>
      </c>
      <c r="N82" s="49" t="str">
        <f t="shared" ref="N82:N86" si="66">IF(M82="","",IF(M82&gt;=9,"High",IF(M82&gt;=4,"Medium","Low")))</f>
        <v>Medium</v>
      </c>
      <c r="O82" s="49" t="str">
        <f t="shared" ref="O82:O86" si="67">IF(NOT(ISNUMBER(I82)),IF(I82="NA","N/A","Not scored"),IF(E82="M",IF(I82&gt;=3,"Compliant","Non-compliant"),IF(I82&gt;=3,"Meets GP","Below GP")))</f>
        <v>Below GP</v>
      </c>
      <c r="P82" s="10" t="s">
        <v>699</v>
      </c>
      <c r="Q82" s="49">
        <f t="shared" ref="Q82:Q86" si="68">IF(ISNUMBER(I82),I82*H82,0)</f>
        <v>2</v>
      </c>
      <c r="R82" s="49">
        <f t="shared" ref="R82:R86" si="69">IF(ISNUMBER(I82),4*H82,0)</f>
        <v>8</v>
      </c>
      <c r="S82" s="49">
        <f t="shared" ref="S82:S86" si="70">IF(ISNUMBER(I82),1,0)</f>
        <v>1</v>
      </c>
      <c r="T82" s="49">
        <f t="shared" ref="T82:T86" si="71">IF(AND(E82="M",ISNUMBER(I82)),1,0)</f>
        <v>0</v>
      </c>
      <c r="U82" s="49">
        <f t="shared" ref="U82:U86" si="72">IF(AND(E82="M",ISNUMBER(I82)),IF(I82&gt;=3,1,0),0)</f>
        <v>0</v>
      </c>
      <c r="V82" s="1"/>
      <c r="W82" s="1"/>
      <c r="X82" s="1"/>
      <c r="Y82" s="1"/>
      <c r="Z82" s="1"/>
    </row>
    <row r="83" ht="43.5" customHeight="1">
      <c r="A83" s="47" t="s">
        <v>700</v>
      </c>
      <c r="B83" s="47" t="s">
        <v>102</v>
      </c>
      <c r="C83" s="10" t="s">
        <v>701</v>
      </c>
      <c r="D83" s="10" t="s">
        <v>702</v>
      </c>
      <c r="E83" s="47" t="s">
        <v>177</v>
      </c>
      <c r="F83" s="10" t="s">
        <v>703</v>
      </c>
      <c r="G83" s="47" t="s">
        <v>179</v>
      </c>
      <c r="H83" s="47">
        <v>2.0</v>
      </c>
      <c r="I83" s="17">
        <v>4.0</v>
      </c>
      <c r="J83" s="16" t="s">
        <v>704</v>
      </c>
      <c r="K83" s="16" t="s">
        <v>705</v>
      </c>
      <c r="L83" s="16" t="s">
        <v>706</v>
      </c>
      <c r="M83" s="48">
        <f t="shared" si="65"/>
        <v>0</v>
      </c>
      <c r="N83" s="49" t="str">
        <f t="shared" si="66"/>
        <v>Low</v>
      </c>
      <c r="O83" s="49" t="str">
        <f t="shared" si="67"/>
        <v>Compliant</v>
      </c>
      <c r="P83" s="10" t="s">
        <v>707</v>
      </c>
      <c r="Q83" s="49">
        <f t="shared" si="68"/>
        <v>8</v>
      </c>
      <c r="R83" s="49">
        <f t="shared" si="69"/>
        <v>8</v>
      </c>
      <c r="S83" s="49">
        <f t="shared" si="70"/>
        <v>1</v>
      </c>
      <c r="T83" s="49">
        <f t="shared" si="71"/>
        <v>1</v>
      </c>
      <c r="U83" s="49">
        <f t="shared" si="72"/>
        <v>1</v>
      </c>
      <c r="V83" s="1"/>
      <c r="W83" s="1"/>
      <c r="X83" s="1"/>
      <c r="Y83" s="1"/>
      <c r="Z83" s="1"/>
    </row>
    <row r="84" ht="30.75" customHeight="1">
      <c r="A84" s="47" t="s">
        <v>708</v>
      </c>
      <c r="B84" s="47" t="s">
        <v>102</v>
      </c>
      <c r="C84" s="10" t="s">
        <v>709</v>
      </c>
      <c r="D84" s="10" t="s">
        <v>710</v>
      </c>
      <c r="E84" s="47" t="s">
        <v>211</v>
      </c>
      <c r="F84" s="10" t="s">
        <v>711</v>
      </c>
      <c r="G84" s="47" t="s">
        <v>179</v>
      </c>
      <c r="H84" s="47">
        <v>1.0</v>
      </c>
      <c r="I84" s="17">
        <v>1.0</v>
      </c>
      <c r="J84" s="16" t="s">
        <v>712</v>
      </c>
      <c r="K84" s="16" t="s">
        <v>713</v>
      </c>
      <c r="L84" s="16" t="s">
        <v>714</v>
      </c>
      <c r="M84" s="48">
        <f t="shared" si="65"/>
        <v>3</v>
      </c>
      <c r="N84" s="49" t="str">
        <f t="shared" si="66"/>
        <v>Low</v>
      </c>
      <c r="O84" s="49" t="str">
        <f t="shared" si="67"/>
        <v>Below GP</v>
      </c>
      <c r="P84" s="10" t="s">
        <v>707</v>
      </c>
      <c r="Q84" s="49">
        <f t="shared" si="68"/>
        <v>1</v>
      </c>
      <c r="R84" s="49">
        <f t="shared" si="69"/>
        <v>4</v>
      </c>
      <c r="S84" s="49">
        <f t="shared" si="70"/>
        <v>1</v>
      </c>
      <c r="T84" s="49">
        <f t="shared" si="71"/>
        <v>0</v>
      </c>
      <c r="U84" s="49">
        <f t="shared" si="72"/>
        <v>0</v>
      </c>
      <c r="V84" s="1"/>
      <c r="W84" s="1"/>
      <c r="X84" s="1"/>
      <c r="Y84" s="1"/>
      <c r="Z84" s="1"/>
    </row>
    <row r="85" ht="30.75" customHeight="1">
      <c r="A85" s="47" t="s">
        <v>715</v>
      </c>
      <c r="B85" s="47" t="s">
        <v>102</v>
      </c>
      <c r="C85" s="10" t="s">
        <v>716</v>
      </c>
      <c r="D85" s="10" t="s">
        <v>717</v>
      </c>
      <c r="E85" s="47" t="s">
        <v>211</v>
      </c>
      <c r="F85" s="10" t="s">
        <v>718</v>
      </c>
      <c r="G85" s="47" t="s">
        <v>719</v>
      </c>
      <c r="H85" s="47">
        <v>1.0</v>
      </c>
      <c r="I85" s="17">
        <v>2.0</v>
      </c>
      <c r="J85" s="16" t="s">
        <v>720</v>
      </c>
      <c r="K85" s="16" t="s">
        <v>721</v>
      </c>
      <c r="L85" s="16" t="s">
        <v>722</v>
      </c>
      <c r="M85" s="48">
        <f t="shared" si="65"/>
        <v>2</v>
      </c>
      <c r="N85" s="49" t="str">
        <f t="shared" si="66"/>
        <v>Low</v>
      </c>
      <c r="O85" s="49" t="str">
        <f t="shared" si="67"/>
        <v>Below GP</v>
      </c>
      <c r="P85" s="10" t="s">
        <v>707</v>
      </c>
      <c r="Q85" s="49">
        <f t="shared" si="68"/>
        <v>2</v>
      </c>
      <c r="R85" s="49">
        <f t="shared" si="69"/>
        <v>4</v>
      </c>
      <c r="S85" s="49">
        <f t="shared" si="70"/>
        <v>1</v>
      </c>
      <c r="T85" s="49">
        <f t="shared" si="71"/>
        <v>0</v>
      </c>
      <c r="U85" s="49">
        <f t="shared" si="72"/>
        <v>0</v>
      </c>
      <c r="V85" s="1"/>
      <c r="W85" s="1"/>
      <c r="X85" s="1"/>
      <c r="Y85" s="1"/>
      <c r="Z85" s="1"/>
    </row>
    <row r="86" ht="43.5" customHeight="1">
      <c r="A86" s="47" t="s">
        <v>723</v>
      </c>
      <c r="B86" s="47" t="s">
        <v>102</v>
      </c>
      <c r="C86" s="10" t="s">
        <v>724</v>
      </c>
      <c r="D86" s="10" t="s">
        <v>725</v>
      </c>
      <c r="E86" s="47" t="s">
        <v>211</v>
      </c>
      <c r="F86" s="10" t="s">
        <v>726</v>
      </c>
      <c r="G86" s="47" t="s">
        <v>179</v>
      </c>
      <c r="H86" s="47">
        <v>2.0</v>
      </c>
      <c r="I86" s="17">
        <v>1.0</v>
      </c>
      <c r="J86" s="16" t="s">
        <v>727</v>
      </c>
      <c r="K86" s="16" t="s">
        <v>728</v>
      </c>
      <c r="L86" s="16" t="s">
        <v>729</v>
      </c>
      <c r="M86" s="48">
        <f t="shared" si="65"/>
        <v>6</v>
      </c>
      <c r="N86" s="49" t="str">
        <f t="shared" si="66"/>
        <v>Medium</v>
      </c>
      <c r="O86" s="49" t="str">
        <f t="shared" si="67"/>
        <v>Below GP</v>
      </c>
      <c r="P86" s="10" t="s">
        <v>707</v>
      </c>
      <c r="Q86" s="49">
        <f t="shared" si="68"/>
        <v>2</v>
      </c>
      <c r="R86" s="49">
        <f t="shared" si="69"/>
        <v>8</v>
      </c>
      <c r="S86" s="49">
        <f t="shared" si="70"/>
        <v>1</v>
      </c>
      <c r="T86" s="49">
        <f t="shared" si="71"/>
        <v>0</v>
      </c>
      <c r="U86" s="49">
        <f t="shared" si="72"/>
        <v>0</v>
      </c>
      <c r="V86" s="1"/>
      <c r="W86" s="1"/>
      <c r="X86" s="1"/>
      <c r="Y86" s="1"/>
      <c r="Z86" s="1"/>
    </row>
    <row r="87" ht="15.0" customHeight="1">
      <c r="A87" s="44" t="s">
        <v>730</v>
      </c>
      <c r="B87" s="45"/>
      <c r="C87" s="45"/>
      <c r="D87" s="45"/>
      <c r="E87" s="45"/>
      <c r="F87" s="45"/>
      <c r="G87" s="45"/>
      <c r="H87" s="45"/>
      <c r="I87" s="45"/>
      <c r="J87" s="45"/>
      <c r="K87" s="45"/>
      <c r="L87" s="45"/>
      <c r="M87" s="45"/>
      <c r="N87" s="45"/>
      <c r="O87" s="45"/>
      <c r="P87" s="46"/>
      <c r="Q87" s="1"/>
      <c r="R87" s="1"/>
      <c r="S87" s="1"/>
      <c r="T87" s="1"/>
      <c r="U87" s="1"/>
      <c r="V87" s="1"/>
      <c r="W87" s="1"/>
      <c r="X87" s="1"/>
      <c r="Y87" s="1"/>
      <c r="Z87" s="1"/>
    </row>
    <row r="88" ht="43.5" customHeight="1">
      <c r="A88" s="47" t="s">
        <v>731</v>
      </c>
      <c r="B88" s="47" t="s">
        <v>104</v>
      </c>
      <c r="C88" s="10" t="s">
        <v>732</v>
      </c>
      <c r="D88" s="10" t="s">
        <v>733</v>
      </c>
      <c r="E88" s="47" t="s">
        <v>211</v>
      </c>
      <c r="F88" s="10" t="s">
        <v>734</v>
      </c>
      <c r="G88" s="47" t="s">
        <v>179</v>
      </c>
      <c r="H88" s="47">
        <v>2.0</v>
      </c>
      <c r="I88" s="17">
        <v>1.0</v>
      </c>
      <c r="J88" s="16" t="s">
        <v>735</v>
      </c>
      <c r="K88" s="16" t="s">
        <v>736</v>
      </c>
      <c r="L88" s="16" t="s">
        <v>737</v>
      </c>
      <c r="M88" s="48">
        <f t="shared" ref="M88:M96" si="73">IF(ISNUMBER(I88),(4-I88)*H88*IF(E88="M",1.5,1),"")</f>
        <v>6</v>
      </c>
      <c r="N88" s="49" t="str">
        <f t="shared" ref="N88:N96" si="74">IF(M88="","",IF(M88&gt;=9,"High",IF(M88&gt;=4,"Medium","Low")))</f>
        <v>Medium</v>
      </c>
      <c r="O88" s="49" t="str">
        <f t="shared" ref="O88:O96" si="75">IF(NOT(ISNUMBER(I88)),IF(I88="NA","N/A","Not scored"),IF(E88="M",IF(I88&gt;=3,"Compliant","Non-compliant"),IF(I88&gt;=3,"Meets GP","Below GP")))</f>
        <v>Below GP</v>
      </c>
      <c r="P88" s="10" t="s">
        <v>738</v>
      </c>
      <c r="Q88" s="49">
        <f t="shared" ref="Q88:Q96" si="76">IF(ISNUMBER(I88),I88*H88,0)</f>
        <v>2</v>
      </c>
      <c r="R88" s="49">
        <f t="shared" ref="R88:R96" si="77">IF(ISNUMBER(I88),4*H88,0)</f>
        <v>8</v>
      </c>
      <c r="S88" s="49">
        <f t="shared" ref="S88:S96" si="78">IF(ISNUMBER(I88),1,0)</f>
        <v>1</v>
      </c>
      <c r="T88" s="49">
        <f t="shared" ref="T88:T96" si="79">IF(AND(E88="M",ISNUMBER(I88)),1,0)</f>
        <v>0</v>
      </c>
      <c r="U88" s="49">
        <f t="shared" ref="U88:U96" si="80">IF(AND(E88="M",ISNUMBER(I88)),IF(I88&gt;=3,1,0),0)</f>
        <v>0</v>
      </c>
      <c r="V88" s="1"/>
      <c r="W88" s="1"/>
      <c r="X88" s="1"/>
      <c r="Y88" s="1"/>
      <c r="Z88" s="1"/>
    </row>
    <row r="89" ht="68.25" customHeight="1">
      <c r="A89" s="47" t="s">
        <v>739</v>
      </c>
      <c r="B89" s="47" t="s">
        <v>104</v>
      </c>
      <c r="C89" s="10" t="s">
        <v>740</v>
      </c>
      <c r="D89" s="10" t="s">
        <v>741</v>
      </c>
      <c r="E89" s="47" t="s">
        <v>211</v>
      </c>
      <c r="F89" s="10" t="s">
        <v>742</v>
      </c>
      <c r="G89" s="47" t="s">
        <v>196</v>
      </c>
      <c r="H89" s="47">
        <v>1.0</v>
      </c>
      <c r="I89" s="17">
        <v>4.0</v>
      </c>
      <c r="J89" s="16" t="s">
        <v>743</v>
      </c>
      <c r="K89" s="16" t="s">
        <v>744</v>
      </c>
      <c r="L89" s="16" t="s">
        <v>745</v>
      </c>
      <c r="M89" s="48">
        <f t="shared" si="73"/>
        <v>0</v>
      </c>
      <c r="N89" s="49" t="str">
        <f t="shared" si="74"/>
        <v>Low</v>
      </c>
      <c r="O89" s="49" t="str">
        <f t="shared" si="75"/>
        <v>Meets GP</v>
      </c>
      <c r="P89" s="10" t="s">
        <v>746</v>
      </c>
      <c r="Q89" s="49">
        <f t="shared" si="76"/>
        <v>4</v>
      </c>
      <c r="R89" s="49">
        <f t="shared" si="77"/>
        <v>4</v>
      </c>
      <c r="S89" s="49">
        <f t="shared" si="78"/>
        <v>1</v>
      </c>
      <c r="T89" s="49">
        <f t="shared" si="79"/>
        <v>0</v>
      </c>
      <c r="U89" s="49">
        <f t="shared" si="80"/>
        <v>0</v>
      </c>
      <c r="V89" s="1"/>
      <c r="W89" s="1"/>
      <c r="X89" s="1"/>
      <c r="Y89" s="1"/>
      <c r="Z89" s="1"/>
    </row>
    <row r="90" ht="30.75" customHeight="1">
      <c r="A90" s="47" t="s">
        <v>747</v>
      </c>
      <c r="B90" s="47" t="s">
        <v>104</v>
      </c>
      <c r="C90" s="10" t="s">
        <v>748</v>
      </c>
      <c r="D90" s="10" t="s">
        <v>749</v>
      </c>
      <c r="E90" s="47" t="s">
        <v>177</v>
      </c>
      <c r="F90" s="10" t="s">
        <v>750</v>
      </c>
      <c r="G90" s="47" t="s">
        <v>179</v>
      </c>
      <c r="H90" s="47">
        <v>2.0</v>
      </c>
      <c r="I90" s="17">
        <v>4.0</v>
      </c>
      <c r="J90" s="16" t="s">
        <v>751</v>
      </c>
      <c r="K90" s="16" t="s">
        <v>752</v>
      </c>
      <c r="L90" s="16" t="s">
        <v>753</v>
      </c>
      <c r="M90" s="48">
        <f t="shared" si="73"/>
        <v>0</v>
      </c>
      <c r="N90" s="49" t="str">
        <f t="shared" si="74"/>
        <v>Low</v>
      </c>
      <c r="O90" s="49" t="str">
        <f t="shared" si="75"/>
        <v>Compliant</v>
      </c>
      <c r="P90" s="10" t="s">
        <v>754</v>
      </c>
      <c r="Q90" s="49">
        <f t="shared" si="76"/>
        <v>8</v>
      </c>
      <c r="R90" s="49">
        <f t="shared" si="77"/>
        <v>8</v>
      </c>
      <c r="S90" s="49">
        <f t="shared" si="78"/>
        <v>1</v>
      </c>
      <c r="T90" s="49">
        <f t="shared" si="79"/>
        <v>1</v>
      </c>
      <c r="U90" s="49">
        <f t="shared" si="80"/>
        <v>1</v>
      </c>
      <c r="V90" s="1"/>
      <c r="W90" s="1"/>
      <c r="X90" s="1"/>
      <c r="Y90" s="1"/>
      <c r="Z90" s="1"/>
    </row>
    <row r="91" ht="30.75" customHeight="1">
      <c r="A91" s="47" t="s">
        <v>755</v>
      </c>
      <c r="B91" s="47" t="s">
        <v>104</v>
      </c>
      <c r="C91" s="10" t="s">
        <v>756</v>
      </c>
      <c r="D91" s="10" t="s">
        <v>757</v>
      </c>
      <c r="E91" s="47" t="s">
        <v>177</v>
      </c>
      <c r="F91" s="10" t="s">
        <v>758</v>
      </c>
      <c r="G91" s="47" t="s">
        <v>179</v>
      </c>
      <c r="H91" s="47">
        <v>2.0</v>
      </c>
      <c r="I91" s="17">
        <v>2.0</v>
      </c>
      <c r="J91" s="16" t="inlineStr">
        <is>
          <t xml:space="preserve">F: scored 2. DR: 10-Yr Plan Ch.5 sets a results-based M&amp;E design (UNDRR Ten Essentials base; NDRRMP, DILG capacity pillars and Sendai overlays), a Form 5D monitoring tool and five outputs (annual progress report each January, physical/financial report each December, mid-term report 2029), reported to the CDRRMC and LDC.</t>
        </is>
      </c>
      <c r="K91" s="16" t="inlineStr">
        <is>
          <t xml:space="preserve">Design is approved, but no annual RBME report or baseline database was sighted.</t>
        </is>
      </c>
      <c r="L91" s="16" t="inlineStr">
        <is>
          <t xml:space="preserve">Produce the first annual RBME report (Form 5D) and baseline database; present it to the CDRRMC and LDC; include the IAT results and the CDRA monitoring indicators (CDRA 6.7.1).</t>
        </is>
      </c>
      <c r="M91" s="48">
        <f t="shared" si="73"/>
        <v>6</v>
      </c>
      <c r="N91" s="49" t="str">
        <f t="shared" si="74"/>
        <v>Medium</v>
      </c>
      <c r="O91" s="49" t="str">
        <f t="shared" si="75"/>
        <v>Non-compliant</v>
      </c>
      <c r="P91" s="10" t="s">
        <v>474</v>
      </c>
      <c r="Q91" s="49">
        <f t="shared" si="76"/>
        <v>4</v>
      </c>
      <c r="R91" s="49">
        <f t="shared" si="77"/>
        <v>8</v>
      </c>
      <c r="S91" s="49">
        <f t="shared" si="78"/>
        <v>1</v>
      </c>
      <c r="T91" s="49">
        <f t="shared" si="79"/>
        <v>1</v>
      </c>
      <c r="U91" s="49">
        <f t="shared" si="80"/>
        <v>0</v>
      </c>
      <c r="V91" s="1"/>
      <c r="W91" s="1"/>
      <c r="X91" s="1"/>
      <c r="Y91" s="1"/>
      <c r="Z91" s="1"/>
    </row>
    <row r="92" ht="30.75" customHeight="1">
      <c r="A92" s="47" t="s">
        <v>762</v>
      </c>
      <c r="B92" s="47" t="s">
        <v>104</v>
      </c>
      <c r="C92" s="10" t="s">
        <v>763</v>
      </c>
      <c r="D92" s="10" t="s">
        <v>764</v>
      </c>
      <c r="E92" s="47" t="s">
        <v>177</v>
      </c>
      <c r="F92" s="10" t="s">
        <v>765</v>
      </c>
      <c r="G92" s="47" t="s">
        <v>273</v>
      </c>
      <c r="H92" s="47">
        <v>1.0</v>
      </c>
      <c r="I92" s="17">
        <v>4.0</v>
      </c>
      <c r="J92" s="16" t="s">
        <v>378</v>
      </c>
      <c r="K92" s="16" t="s">
        <v>766</v>
      </c>
      <c r="L92" s="16" t="s">
        <v>571</v>
      </c>
      <c r="M92" s="48">
        <f t="shared" si="73"/>
        <v>0</v>
      </c>
      <c r="N92" s="49" t="str">
        <f t="shared" si="74"/>
        <v>Low</v>
      </c>
      <c r="O92" s="49" t="str">
        <f t="shared" si="75"/>
        <v>Compliant</v>
      </c>
      <c r="P92" s="10" t="s">
        <v>386</v>
      </c>
      <c r="Q92" s="49">
        <f t="shared" si="76"/>
        <v>4</v>
      </c>
      <c r="R92" s="49">
        <f t="shared" si="77"/>
        <v>4</v>
      </c>
      <c r="S92" s="49">
        <f t="shared" si="78"/>
        <v>1</v>
      </c>
      <c r="T92" s="49">
        <f t="shared" si="79"/>
        <v>1</v>
      </c>
      <c r="U92" s="49">
        <f t="shared" si="80"/>
        <v>1</v>
      </c>
      <c r="V92" s="1"/>
      <c r="W92" s="1"/>
      <c r="X92" s="1"/>
      <c r="Y92" s="1"/>
      <c r="Z92" s="1"/>
    </row>
    <row r="93" ht="30.75" customHeight="1">
      <c r="A93" s="47" t="s">
        <v>767</v>
      </c>
      <c r="B93" s="47" t="s">
        <v>104</v>
      </c>
      <c r="C93" s="10" t="s">
        <v>768</v>
      </c>
      <c r="D93" s="10" t="s">
        <v>769</v>
      </c>
      <c r="E93" s="47" t="s">
        <v>211</v>
      </c>
      <c r="F93" s="10" t="s">
        <v>770</v>
      </c>
      <c r="G93" s="47" t="s">
        <v>196</v>
      </c>
      <c r="H93" s="47">
        <v>2.0</v>
      </c>
      <c r="I93" s="17">
        <v>4.0</v>
      </c>
      <c r="J93" s="16" t="s">
        <v>378</v>
      </c>
      <c r="K93" s="16" t="s">
        <v>771</v>
      </c>
      <c r="L93" s="16" t="s">
        <v>571</v>
      </c>
      <c r="M93" s="48">
        <f t="shared" si="73"/>
        <v>0</v>
      </c>
      <c r="N93" s="49" t="str">
        <f t="shared" si="74"/>
        <v>Low</v>
      </c>
      <c r="O93" s="49" t="str">
        <f t="shared" si="75"/>
        <v>Meets GP</v>
      </c>
      <c r="P93" s="10" t="s">
        <v>474</v>
      </c>
      <c r="Q93" s="49">
        <f t="shared" si="76"/>
        <v>8</v>
      </c>
      <c r="R93" s="49">
        <f t="shared" si="77"/>
        <v>8</v>
      </c>
      <c r="S93" s="49">
        <f t="shared" si="78"/>
        <v>1</v>
      </c>
      <c r="T93" s="49">
        <f t="shared" si="79"/>
        <v>0</v>
      </c>
      <c r="U93" s="49">
        <f t="shared" si="80"/>
        <v>0</v>
      </c>
      <c r="V93" s="1"/>
      <c r="W93" s="1"/>
      <c r="X93" s="1"/>
      <c r="Y93" s="1"/>
      <c r="Z93" s="1"/>
    </row>
    <row r="94" ht="43.5" customHeight="1">
      <c r="A94" s="47" t="s">
        <v>772</v>
      </c>
      <c r="B94" s="47" t="s">
        <v>104</v>
      </c>
      <c r="C94" s="10" t="s">
        <v>773</v>
      </c>
      <c r="D94" s="10" t="s">
        <v>774</v>
      </c>
      <c r="E94" s="47" t="s">
        <v>211</v>
      </c>
      <c r="F94" s="10" t="s">
        <v>775</v>
      </c>
      <c r="G94" s="47" t="s">
        <v>179</v>
      </c>
      <c r="H94" s="47">
        <v>1.0</v>
      </c>
      <c r="I94" s="17">
        <v>3.0</v>
      </c>
      <c r="J94" s="16" t="s">
        <v>776</v>
      </c>
      <c r="K94" s="16" t="s">
        <v>777</v>
      </c>
      <c r="L94" s="16" t="s">
        <v>778</v>
      </c>
      <c r="M94" s="48">
        <f t="shared" si="73"/>
        <v>1</v>
      </c>
      <c r="N94" s="49" t="str">
        <f t="shared" si="74"/>
        <v>Low</v>
      </c>
      <c r="O94" s="49" t="str">
        <f t="shared" si="75"/>
        <v>Meets GP</v>
      </c>
      <c r="P94" s="10" t="s">
        <v>474</v>
      </c>
      <c r="Q94" s="49">
        <f t="shared" si="76"/>
        <v>3</v>
      </c>
      <c r="R94" s="49">
        <f t="shared" si="77"/>
        <v>4</v>
      </c>
      <c r="S94" s="49">
        <f t="shared" si="78"/>
        <v>1</v>
      </c>
      <c r="T94" s="49">
        <f t="shared" si="79"/>
        <v>0</v>
      </c>
      <c r="U94" s="49">
        <f t="shared" si="80"/>
        <v>0</v>
      </c>
      <c r="V94" s="1"/>
      <c r="W94" s="1"/>
      <c r="X94" s="1"/>
      <c r="Y94" s="1"/>
      <c r="Z94" s="1"/>
    </row>
    <row r="95" ht="68.25" customHeight="1">
      <c r="A95" s="47" t="s">
        <v>779</v>
      </c>
      <c r="B95" s="47" t="s">
        <v>104</v>
      </c>
      <c r="C95" s="10" t="s">
        <v>780</v>
      </c>
      <c r="D95" s="10" t="s">
        <v>781</v>
      </c>
      <c r="E95" s="47" t="s">
        <v>177</v>
      </c>
      <c r="F95" s="10" t="s">
        <v>782</v>
      </c>
      <c r="G95" s="47" t="s">
        <v>179</v>
      </c>
      <c r="H95" s="47">
        <v>2.0</v>
      </c>
      <c r="I95" s="17">
        <v>0.0</v>
      </c>
      <c r="J95" s="16" t="s">
        <v>783</v>
      </c>
      <c r="K95" s="16" t="s">
        <v>784</v>
      </c>
      <c r="L95" s="16" t="s">
        <v>785</v>
      </c>
      <c r="M95" s="48">
        <f t="shared" si="73"/>
        <v>12</v>
      </c>
      <c r="N95" s="49" t="str">
        <f t="shared" si="74"/>
        <v>High</v>
      </c>
      <c r="O95" s="49" t="str">
        <f t="shared" si="75"/>
        <v>Non-compliant</v>
      </c>
      <c r="P95" s="10" t="s">
        <v>754</v>
      </c>
      <c r="Q95" s="49">
        <f t="shared" si="76"/>
        <v>0</v>
      </c>
      <c r="R95" s="49">
        <f t="shared" si="77"/>
        <v>8</v>
      </c>
      <c r="S95" s="49">
        <f t="shared" si="78"/>
        <v>1</v>
      </c>
      <c r="T95" s="49">
        <f t="shared" si="79"/>
        <v>1</v>
      </c>
      <c r="U95" s="49">
        <f t="shared" si="80"/>
        <v>0</v>
      </c>
      <c r="V95" s="1"/>
      <c r="W95" s="1"/>
      <c r="X95" s="1"/>
      <c r="Y95" s="1"/>
      <c r="Z95" s="1"/>
    </row>
    <row r="96" ht="43.5" customHeight="1">
      <c r="A96" s="47" t="s">
        <v>786</v>
      </c>
      <c r="B96" s="47" t="s">
        <v>104</v>
      </c>
      <c r="C96" s="10" t="s">
        <v>787</v>
      </c>
      <c r="D96" s="10" t="s">
        <v>788</v>
      </c>
      <c r="E96" s="47" t="s">
        <v>211</v>
      </c>
      <c r="F96" s="10" t="s">
        <v>789</v>
      </c>
      <c r="G96" s="47" t="s">
        <v>196</v>
      </c>
      <c r="H96" s="47">
        <v>1.0</v>
      </c>
      <c r="I96" s="17">
        <v>2.0</v>
      </c>
      <c r="J96" s="16" t="s">
        <v>790</v>
      </c>
      <c r="K96" s="16" t="s">
        <v>791</v>
      </c>
      <c r="L96" s="16" t="s">
        <v>792</v>
      </c>
      <c r="M96" s="48">
        <f t="shared" si="73"/>
        <v>2</v>
      </c>
      <c r="N96" s="49" t="str">
        <f t="shared" si="74"/>
        <v>Low</v>
      </c>
      <c r="O96" s="49" t="str">
        <f t="shared" si="75"/>
        <v>Below GP</v>
      </c>
      <c r="P96" s="10" t="s">
        <v>474</v>
      </c>
      <c r="Q96" s="49">
        <f t="shared" si="76"/>
        <v>2</v>
      </c>
      <c r="R96" s="49">
        <f t="shared" si="77"/>
        <v>4</v>
      </c>
      <c r="S96" s="49">
        <f t="shared" si="78"/>
        <v>1</v>
      </c>
      <c r="T96" s="49">
        <f t="shared" si="79"/>
        <v>0</v>
      </c>
      <c r="U96" s="49">
        <f t="shared" si="80"/>
        <v>0</v>
      </c>
      <c r="V96" s="1"/>
      <c r="W96" s="1"/>
      <c r="X96" s="1"/>
      <c r="Y96" s="1"/>
      <c r="Z96" s="1"/>
    </row>
    <row r="97" ht="15.0" customHeight="1">
      <c r="A97" s="1"/>
      <c r="B97" s="1"/>
      <c r="C97" s="1"/>
      <c r="D97" s="1"/>
      <c r="E97" s="1"/>
      <c r="F97" s="1"/>
      <c r="G97" s="41"/>
      <c r="H97" s="1"/>
      <c r="I97" s="1"/>
      <c r="J97" s="1"/>
      <c r="K97" s="1"/>
      <c r="L97" s="1"/>
      <c r="M97" s="1"/>
      <c r="N97" s="1"/>
      <c r="O97" s="1"/>
      <c r="P97" s="1"/>
      <c r="Q97" s="1"/>
      <c r="R97" s="1"/>
      <c r="S97" s="1"/>
      <c r="T97" s="1"/>
      <c r="U97" s="1"/>
      <c r="V97" s="1"/>
      <c r="W97" s="1"/>
      <c r="X97" s="1"/>
      <c r="Y97" s="1"/>
      <c r="Z97" s="1"/>
    </row>
    <row r="98" ht="15.0" customHeight="1">
      <c r="A98" s="1"/>
      <c r="B98" s="1"/>
      <c r="C98" s="1"/>
      <c r="D98" s="1"/>
      <c r="E98" s="1"/>
      <c r="F98" s="1"/>
      <c r="G98" s="41"/>
      <c r="H98" s="1"/>
      <c r="I98" s="1"/>
      <c r="J98" s="1"/>
      <c r="K98" s="1"/>
      <c r="L98" s="1"/>
      <c r="M98" s="1"/>
      <c r="N98" s="1"/>
      <c r="O98" s="1"/>
      <c r="P98" s="1"/>
      <c r="Q98" s="1"/>
      <c r="R98" s="1"/>
      <c r="S98" s="1"/>
      <c r="T98" s="1"/>
      <c r="U98" s="1"/>
      <c r="V98" s="1"/>
      <c r="W98" s="1"/>
      <c r="X98" s="1"/>
      <c r="Y98" s="1"/>
      <c r="Z98" s="1"/>
    </row>
    <row r="99" ht="15.0" customHeight="1">
      <c r="A99" s="1"/>
      <c r="B99" s="1"/>
      <c r="C99" s="1"/>
      <c r="D99" s="1"/>
      <c r="E99" s="1"/>
      <c r="F99" s="1"/>
      <c r="G99" s="41"/>
      <c r="H99" s="1"/>
      <c r="I99" s="1"/>
      <c r="J99" s="1"/>
      <c r="K99" s="1"/>
      <c r="L99" s="1"/>
      <c r="M99" s="1"/>
      <c r="N99" s="1"/>
      <c r="O99" s="1"/>
      <c r="P99" s="1"/>
      <c r="Q99" s="1"/>
      <c r="R99" s="1"/>
      <c r="S99" s="1"/>
      <c r="T99" s="1"/>
      <c r="U99" s="1"/>
      <c r="V99" s="1"/>
      <c r="W99" s="1"/>
      <c r="X99" s="1"/>
      <c r="Y99" s="1"/>
      <c r="Z99" s="1"/>
    </row>
    <row r="100" ht="15.0" customHeight="1">
      <c r="A100" s="1"/>
      <c r="B100" s="1"/>
      <c r="C100" s="1"/>
      <c r="D100" s="1"/>
      <c r="E100" s="1"/>
      <c r="F100" s="1"/>
      <c r="G100" s="41"/>
      <c r="H100" s="1"/>
      <c r="I100" s="1"/>
      <c r="J100" s="1"/>
      <c r="K100" s="1"/>
      <c r="L100" s="1"/>
      <c r="M100" s="1"/>
      <c r="N100" s="1"/>
      <c r="O100" s="1"/>
      <c r="P100" s="1"/>
      <c r="Q100" s="1"/>
      <c r="R100" s="1"/>
      <c r="S100" s="1"/>
      <c r="T100" s="1"/>
      <c r="U100" s="1"/>
      <c r="V100" s="1"/>
      <c r="W100" s="1"/>
      <c r="X100" s="1"/>
      <c r="Y100" s="1"/>
      <c r="Z100" s="1"/>
    </row>
    <row r="101" ht="15.0" customHeight="1">
      <c r="A101" s="1"/>
      <c r="B101" s="1"/>
      <c r="C101" s="1"/>
      <c r="D101" s="1"/>
      <c r="E101" s="1"/>
      <c r="F101" s="1"/>
      <c r="G101" s="41"/>
      <c r="H101" s="1"/>
      <c r="I101" s="1"/>
      <c r="J101" s="1"/>
      <c r="K101" s="1"/>
      <c r="L101" s="1"/>
      <c r="M101" s="1"/>
      <c r="N101" s="1"/>
      <c r="O101" s="1"/>
      <c r="P101" s="1"/>
      <c r="Q101" s="1"/>
      <c r="R101" s="1"/>
      <c r="S101" s="1"/>
      <c r="T101" s="1"/>
      <c r="U101" s="1"/>
      <c r="V101" s="1"/>
      <c r="W101" s="1"/>
      <c r="X101" s="1"/>
      <c r="Y101" s="1"/>
      <c r="Z101" s="1"/>
    </row>
    <row r="102" ht="15.0" customHeight="1">
      <c r="A102" s="1"/>
      <c r="B102" s="1"/>
      <c r="C102" s="1"/>
      <c r="D102" s="1"/>
      <c r="E102" s="1"/>
      <c r="F102" s="1"/>
      <c r="G102" s="41"/>
      <c r="H102" s="1"/>
      <c r="I102" s="1"/>
      <c r="J102" s="1"/>
      <c r="K102" s="1"/>
      <c r="L102" s="1"/>
      <c r="M102" s="1"/>
      <c r="N102" s="1"/>
      <c r="O102" s="1"/>
      <c r="P102" s="1"/>
      <c r="Q102" s="1"/>
      <c r="R102" s="1"/>
      <c r="S102" s="1"/>
      <c r="T102" s="1"/>
      <c r="U102" s="1"/>
      <c r="V102" s="1"/>
      <c r="W102" s="1"/>
      <c r="X102" s="1"/>
      <c r="Y102" s="1"/>
      <c r="Z102" s="1"/>
    </row>
    <row r="103" ht="15.0" customHeight="1">
      <c r="A103" s="1"/>
      <c r="B103" s="1"/>
      <c r="C103" s="1"/>
      <c r="D103" s="1"/>
      <c r="E103" s="1"/>
      <c r="F103" s="1"/>
      <c r="G103" s="41"/>
      <c r="H103" s="1"/>
      <c r="I103" s="1"/>
      <c r="J103" s="1"/>
      <c r="K103" s="1"/>
      <c r="L103" s="1"/>
      <c r="M103" s="1"/>
      <c r="N103" s="1"/>
      <c r="O103" s="1"/>
      <c r="P103" s="1"/>
      <c r="Q103" s="1"/>
      <c r="R103" s="1"/>
      <c r="S103" s="1"/>
      <c r="T103" s="1"/>
      <c r="U103" s="1"/>
      <c r="V103" s="1"/>
      <c r="W103" s="1"/>
      <c r="X103" s="1"/>
      <c r="Y103" s="1"/>
      <c r="Z103" s="1"/>
    </row>
    <row r="104" ht="15.0" customHeight="1">
      <c r="A104" s="1"/>
      <c r="B104" s="1"/>
      <c r="C104" s="1"/>
      <c r="D104" s="1"/>
      <c r="E104" s="1"/>
      <c r="F104" s="1"/>
      <c r="G104" s="41"/>
      <c r="H104" s="1"/>
      <c r="I104" s="1"/>
      <c r="J104" s="1"/>
      <c r="K104" s="1"/>
      <c r="L104" s="1"/>
      <c r="M104" s="1"/>
      <c r="N104" s="1"/>
      <c r="O104" s="1"/>
      <c r="P104" s="1"/>
      <c r="Q104" s="1"/>
      <c r="R104" s="1"/>
      <c r="S104" s="1"/>
      <c r="T104" s="1"/>
      <c r="U104" s="1"/>
      <c r="V104" s="1"/>
      <c r="W104" s="1"/>
      <c r="X104" s="1"/>
      <c r="Y104" s="1"/>
      <c r="Z104" s="1"/>
    </row>
    <row r="105" ht="15.0" customHeight="1">
      <c r="A105" s="1"/>
      <c r="B105" s="1"/>
      <c r="C105" s="1"/>
      <c r="D105" s="1"/>
      <c r="E105" s="1"/>
      <c r="F105" s="1"/>
      <c r="G105" s="41"/>
      <c r="H105" s="1"/>
      <c r="I105" s="1"/>
      <c r="J105" s="1"/>
      <c r="K105" s="1"/>
      <c r="L105" s="1"/>
      <c r="M105" s="1"/>
      <c r="N105" s="1"/>
      <c r="O105" s="1"/>
      <c r="P105" s="1"/>
      <c r="Q105" s="1"/>
      <c r="R105" s="1"/>
      <c r="S105" s="1"/>
      <c r="T105" s="1"/>
      <c r="U105" s="1"/>
      <c r="V105" s="1"/>
      <c r="W105" s="1"/>
      <c r="X105" s="1"/>
      <c r="Y105" s="1"/>
      <c r="Z105" s="1"/>
    </row>
    <row r="106" ht="15.0" customHeight="1">
      <c r="A106" s="1"/>
      <c r="B106" s="1"/>
      <c r="C106" s="1"/>
      <c r="D106" s="1"/>
      <c r="E106" s="1"/>
      <c r="F106" s="1"/>
      <c r="G106" s="41"/>
      <c r="H106" s="1"/>
      <c r="I106" s="1"/>
      <c r="J106" s="1"/>
      <c r="K106" s="1"/>
      <c r="L106" s="1"/>
      <c r="M106" s="1"/>
      <c r="N106" s="1"/>
      <c r="O106" s="1"/>
      <c r="P106" s="1"/>
      <c r="Q106" s="1"/>
      <c r="R106" s="1"/>
      <c r="S106" s="1"/>
      <c r="T106" s="1"/>
      <c r="U106" s="1"/>
      <c r="V106" s="1"/>
      <c r="W106" s="1"/>
      <c r="X106" s="1"/>
      <c r="Y106" s="1"/>
      <c r="Z106" s="1"/>
    </row>
    <row r="107" ht="15.0" customHeight="1">
      <c r="A107" s="1"/>
      <c r="B107" s="1"/>
      <c r="C107" s="1"/>
      <c r="D107" s="1"/>
      <c r="E107" s="1"/>
      <c r="F107" s="1"/>
      <c r="G107" s="41"/>
      <c r="H107" s="1"/>
      <c r="I107" s="1"/>
      <c r="J107" s="1"/>
      <c r="K107" s="1"/>
      <c r="L107" s="1"/>
      <c r="M107" s="1"/>
      <c r="N107" s="1"/>
      <c r="O107" s="1"/>
      <c r="P107" s="1"/>
      <c r="Q107" s="1"/>
      <c r="R107" s="1"/>
      <c r="S107" s="1"/>
      <c r="T107" s="1"/>
      <c r="U107" s="1"/>
      <c r="V107" s="1"/>
      <c r="W107" s="1"/>
      <c r="X107" s="1"/>
      <c r="Y107" s="1"/>
      <c r="Z107" s="1"/>
    </row>
    <row r="108" ht="15.0" customHeight="1">
      <c r="A108" s="1"/>
      <c r="B108" s="1"/>
      <c r="C108" s="1"/>
      <c r="D108" s="1"/>
      <c r="E108" s="1"/>
      <c r="F108" s="1"/>
      <c r="G108" s="41"/>
      <c r="H108" s="1"/>
      <c r="I108" s="1"/>
      <c r="J108" s="1"/>
      <c r="K108" s="1"/>
      <c r="L108" s="1"/>
      <c r="M108" s="1"/>
      <c r="N108" s="1"/>
      <c r="O108" s="1"/>
      <c r="P108" s="1"/>
      <c r="Q108" s="1"/>
      <c r="R108" s="1"/>
      <c r="S108" s="1"/>
      <c r="T108" s="1"/>
      <c r="U108" s="1"/>
      <c r="V108" s="1"/>
      <c r="W108" s="1"/>
      <c r="X108" s="1"/>
      <c r="Y108" s="1"/>
      <c r="Z108" s="1"/>
    </row>
    <row r="109" ht="15.0" customHeight="1">
      <c r="A109" s="1"/>
      <c r="B109" s="1"/>
      <c r="C109" s="1"/>
      <c r="D109" s="1"/>
      <c r="E109" s="1"/>
      <c r="F109" s="1"/>
      <c r="G109" s="41"/>
      <c r="H109" s="1"/>
      <c r="I109" s="1"/>
      <c r="J109" s="1"/>
      <c r="K109" s="1"/>
      <c r="L109" s="1"/>
      <c r="M109" s="1"/>
      <c r="N109" s="1"/>
      <c r="O109" s="1"/>
      <c r="P109" s="1"/>
      <c r="Q109" s="1"/>
      <c r="R109" s="1"/>
      <c r="S109" s="1"/>
      <c r="T109" s="1"/>
      <c r="U109" s="1"/>
      <c r="V109" s="1"/>
      <c r="W109" s="1"/>
      <c r="X109" s="1"/>
      <c r="Y109" s="1"/>
      <c r="Z109" s="1"/>
    </row>
    <row r="110" ht="15.0" customHeight="1">
      <c r="A110" s="1"/>
      <c r="B110" s="1"/>
      <c r="C110" s="1"/>
      <c r="D110" s="1"/>
      <c r="E110" s="1"/>
      <c r="F110" s="1"/>
      <c r="G110" s="41"/>
      <c r="H110" s="1"/>
      <c r="I110" s="1"/>
      <c r="J110" s="1"/>
      <c r="K110" s="1"/>
      <c r="L110" s="1"/>
      <c r="M110" s="1"/>
      <c r="N110" s="1"/>
      <c r="O110" s="1"/>
      <c r="P110" s="1"/>
      <c r="Q110" s="1"/>
      <c r="R110" s="1"/>
      <c r="S110" s="1"/>
      <c r="T110" s="1"/>
      <c r="U110" s="1"/>
      <c r="V110" s="1"/>
      <c r="W110" s="1"/>
      <c r="X110" s="1"/>
      <c r="Y110" s="1"/>
      <c r="Z110" s="1"/>
    </row>
    <row r="111" ht="15.0" customHeight="1">
      <c r="A111" s="1"/>
      <c r="B111" s="1"/>
      <c r="C111" s="1"/>
      <c r="D111" s="1"/>
      <c r="E111" s="1"/>
      <c r="F111" s="1"/>
      <c r="G111" s="41"/>
      <c r="H111" s="1"/>
      <c r="I111" s="1"/>
      <c r="J111" s="1"/>
      <c r="K111" s="1"/>
      <c r="L111" s="1"/>
      <c r="M111" s="1"/>
      <c r="N111" s="1"/>
      <c r="O111" s="1"/>
      <c r="P111" s="1"/>
      <c r="Q111" s="1"/>
      <c r="R111" s="1"/>
      <c r="S111" s="1"/>
      <c r="T111" s="1"/>
      <c r="U111" s="1"/>
      <c r="V111" s="1"/>
      <c r="W111" s="1"/>
      <c r="X111" s="1"/>
      <c r="Y111" s="1"/>
      <c r="Z111" s="1"/>
    </row>
    <row r="112" ht="15.0" customHeight="1">
      <c r="A112" s="1"/>
      <c r="B112" s="1"/>
      <c r="C112" s="1"/>
      <c r="D112" s="1"/>
      <c r="E112" s="1"/>
      <c r="F112" s="1"/>
      <c r="G112" s="41"/>
      <c r="H112" s="1"/>
      <c r="I112" s="1"/>
      <c r="J112" s="1"/>
      <c r="K112" s="1"/>
      <c r="L112" s="1"/>
      <c r="M112" s="1"/>
      <c r="N112" s="1"/>
      <c r="O112" s="1"/>
      <c r="P112" s="1"/>
      <c r="Q112" s="1"/>
      <c r="R112" s="1"/>
      <c r="S112" s="1"/>
      <c r="T112" s="1"/>
      <c r="U112" s="1"/>
      <c r="V112" s="1"/>
      <c r="W112" s="1"/>
      <c r="X112" s="1"/>
      <c r="Y112" s="1"/>
      <c r="Z112" s="1"/>
    </row>
    <row r="113" ht="15.0" customHeight="1">
      <c r="A113" s="1"/>
      <c r="B113" s="1"/>
      <c r="C113" s="1"/>
      <c r="D113" s="1"/>
      <c r="E113" s="1"/>
      <c r="F113" s="1"/>
      <c r="G113" s="41"/>
      <c r="H113" s="1"/>
      <c r="I113" s="1"/>
      <c r="J113" s="1"/>
      <c r="K113" s="1"/>
      <c r="L113" s="1"/>
      <c r="M113" s="1"/>
      <c r="N113" s="1"/>
      <c r="O113" s="1"/>
      <c r="P113" s="1"/>
      <c r="Q113" s="1"/>
      <c r="R113" s="1"/>
      <c r="S113" s="1"/>
      <c r="T113" s="1"/>
      <c r="U113" s="1"/>
      <c r="V113" s="1"/>
      <c r="W113" s="1"/>
      <c r="X113" s="1"/>
      <c r="Y113" s="1"/>
      <c r="Z113" s="1"/>
    </row>
    <row r="114" ht="15.0" customHeight="1">
      <c r="A114" s="1"/>
      <c r="B114" s="1"/>
      <c r="C114" s="1"/>
      <c r="D114" s="1"/>
      <c r="E114" s="1"/>
      <c r="F114" s="1"/>
      <c r="G114" s="41"/>
      <c r="H114" s="1"/>
      <c r="I114" s="1"/>
      <c r="J114" s="1"/>
      <c r="K114" s="1"/>
      <c r="L114" s="1"/>
      <c r="M114" s="1"/>
      <c r="N114" s="1"/>
      <c r="O114" s="1"/>
      <c r="P114" s="1"/>
      <c r="Q114" s="1"/>
      <c r="R114" s="1"/>
      <c r="S114" s="1"/>
      <c r="T114" s="1"/>
      <c r="U114" s="1"/>
      <c r="V114" s="1"/>
      <c r="W114" s="1"/>
      <c r="X114" s="1"/>
      <c r="Y114" s="1"/>
      <c r="Z114" s="1"/>
    </row>
    <row r="115" ht="15.0" customHeight="1">
      <c r="A115" s="1"/>
      <c r="B115" s="1"/>
      <c r="C115" s="1"/>
      <c r="D115" s="1"/>
      <c r="E115" s="1"/>
      <c r="F115" s="1"/>
      <c r="G115" s="41"/>
      <c r="H115" s="1"/>
      <c r="I115" s="1"/>
      <c r="J115" s="1"/>
      <c r="K115" s="1"/>
      <c r="L115" s="1"/>
      <c r="M115" s="1"/>
      <c r="N115" s="1"/>
      <c r="O115" s="1"/>
      <c r="P115" s="1"/>
      <c r="Q115" s="1"/>
      <c r="R115" s="1"/>
      <c r="S115" s="1"/>
      <c r="T115" s="1"/>
      <c r="U115" s="1"/>
      <c r="V115" s="1"/>
      <c r="W115" s="1"/>
      <c r="X115" s="1"/>
      <c r="Y115" s="1"/>
      <c r="Z115" s="1"/>
    </row>
    <row r="116" ht="15.0" customHeight="1">
      <c r="A116" s="1"/>
      <c r="B116" s="1"/>
      <c r="C116" s="1"/>
      <c r="D116" s="1"/>
      <c r="E116" s="1"/>
      <c r="F116" s="1"/>
      <c r="G116" s="41"/>
      <c r="H116" s="1"/>
      <c r="I116" s="1"/>
      <c r="J116" s="1"/>
      <c r="K116" s="1"/>
      <c r="L116" s="1"/>
      <c r="M116" s="1"/>
      <c r="N116" s="1"/>
      <c r="O116" s="1"/>
      <c r="P116" s="1"/>
      <c r="Q116" s="1"/>
      <c r="R116" s="1"/>
      <c r="S116" s="1"/>
      <c r="T116" s="1"/>
      <c r="U116" s="1"/>
      <c r="V116" s="1"/>
      <c r="W116" s="1"/>
      <c r="X116" s="1"/>
      <c r="Y116" s="1"/>
      <c r="Z116" s="1"/>
    </row>
    <row r="117" ht="15.0" customHeight="1">
      <c r="A117" s="1"/>
      <c r="B117" s="1"/>
      <c r="C117" s="1"/>
      <c r="D117" s="1"/>
      <c r="E117" s="1"/>
      <c r="F117" s="1"/>
      <c r="G117" s="41"/>
      <c r="H117" s="1"/>
      <c r="I117" s="1"/>
      <c r="J117" s="1"/>
      <c r="K117" s="1"/>
      <c r="L117" s="1"/>
      <c r="M117" s="1"/>
      <c r="N117" s="1"/>
      <c r="O117" s="1"/>
      <c r="P117" s="1"/>
      <c r="Q117" s="1"/>
      <c r="R117" s="1"/>
      <c r="S117" s="1"/>
      <c r="T117" s="1"/>
      <c r="U117" s="1"/>
      <c r="V117" s="1"/>
      <c r="W117" s="1"/>
      <c r="X117" s="1"/>
      <c r="Y117" s="1"/>
      <c r="Z117" s="1"/>
    </row>
    <row r="118" ht="15.0" customHeight="1">
      <c r="A118" s="1"/>
      <c r="B118" s="1"/>
      <c r="C118" s="1"/>
      <c r="D118" s="1"/>
      <c r="E118" s="1"/>
      <c r="F118" s="1"/>
      <c r="G118" s="41"/>
      <c r="H118" s="1"/>
      <c r="I118" s="1"/>
      <c r="J118" s="1"/>
      <c r="K118" s="1"/>
      <c r="L118" s="1"/>
      <c r="M118" s="1"/>
      <c r="N118" s="1"/>
      <c r="O118" s="1"/>
      <c r="P118" s="1"/>
      <c r="Q118" s="1"/>
      <c r="R118" s="1"/>
      <c r="S118" s="1"/>
      <c r="T118" s="1"/>
      <c r="U118" s="1"/>
      <c r="V118" s="1"/>
      <c r="W118" s="1"/>
      <c r="X118" s="1"/>
      <c r="Y118" s="1"/>
      <c r="Z118" s="1"/>
    </row>
    <row r="119" ht="15.0" customHeight="1">
      <c r="A119" s="1"/>
      <c r="B119" s="1"/>
      <c r="C119" s="1"/>
      <c r="D119" s="1"/>
      <c r="E119" s="1"/>
      <c r="F119" s="1"/>
      <c r="G119" s="41"/>
      <c r="H119" s="1"/>
      <c r="I119" s="1"/>
      <c r="J119" s="1"/>
      <c r="K119" s="1"/>
      <c r="L119" s="1"/>
      <c r="M119" s="1"/>
      <c r="N119" s="1"/>
      <c r="O119" s="1"/>
      <c r="P119" s="1"/>
      <c r="Q119" s="1"/>
      <c r="R119" s="1"/>
      <c r="S119" s="1"/>
      <c r="T119" s="1"/>
      <c r="U119" s="1"/>
      <c r="V119" s="1"/>
      <c r="W119" s="1"/>
      <c r="X119" s="1"/>
      <c r="Y119" s="1"/>
      <c r="Z119" s="1"/>
    </row>
    <row r="120" ht="15.0" customHeight="1">
      <c r="A120" s="1"/>
      <c r="B120" s="1"/>
      <c r="C120" s="1"/>
      <c r="D120" s="1"/>
      <c r="E120" s="1"/>
      <c r="F120" s="1"/>
      <c r="G120" s="41"/>
      <c r="H120" s="1"/>
      <c r="I120" s="1"/>
      <c r="J120" s="1"/>
      <c r="K120" s="1"/>
      <c r="L120" s="1"/>
      <c r="M120" s="1"/>
      <c r="N120" s="1"/>
      <c r="O120" s="1"/>
      <c r="P120" s="1"/>
      <c r="Q120" s="1"/>
      <c r="R120" s="1"/>
      <c r="S120" s="1"/>
      <c r="T120" s="1"/>
      <c r="U120" s="1"/>
      <c r="V120" s="1"/>
      <c r="W120" s="1"/>
      <c r="X120" s="1"/>
      <c r="Y120" s="1"/>
      <c r="Z120" s="1"/>
    </row>
    <row r="121" ht="15.0" customHeight="1">
      <c r="A121" s="1"/>
      <c r="B121" s="1"/>
      <c r="C121" s="1"/>
      <c r="D121" s="1"/>
      <c r="E121" s="1"/>
      <c r="F121" s="1"/>
      <c r="G121" s="41"/>
      <c r="H121" s="1"/>
      <c r="I121" s="1"/>
      <c r="J121" s="1"/>
      <c r="K121" s="1"/>
      <c r="L121" s="1"/>
      <c r="M121" s="1"/>
      <c r="N121" s="1"/>
      <c r="O121" s="1"/>
      <c r="P121" s="1"/>
      <c r="Q121" s="1"/>
      <c r="R121" s="1"/>
      <c r="S121" s="1"/>
      <c r="T121" s="1"/>
      <c r="U121" s="1"/>
      <c r="V121" s="1"/>
      <c r="W121" s="1"/>
      <c r="X121" s="1"/>
      <c r="Y121" s="1"/>
      <c r="Z121" s="1"/>
    </row>
    <row r="122" ht="15.0" customHeight="1">
      <c r="A122" s="1"/>
      <c r="B122" s="1"/>
      <c r="C122" s="1"/>
      <c r="D122" s="1"/>
      <c r="E122" s="1"/>
      <c r="F122" s="1"/>
      <c r="G122" s="41"/>
      <c r="H122" s="1"/>
      <c r="I122" s="1"/>
      <c r="J122" s="1"/>
      <c r="K122" s="1"/>
      <c r="L122" s="1"/>
      <c r="M122" s="1"/>
      <c r="N122" s="1"/>
      <c r="O122" s="1"/>
      <c r="P122" s="1"/>
      <c r="Q122" s="1"/>
      <c r="R122" s="1"/>
      <c r="S122" s="1"/>
      <c r="T122" s="1"/>
      <c r="U122" s="1"/>
      <c r="V122" s="1"/>
      <c r="W122" s="1"/>
      <c r="X122" s="1"/>
      <c r="Y122" s="1"/>
      <c r="Z122" s="1"/>
    </row>
    <row r="123" ht="15.0" customHeight="1">
      <c r="A123" s="1"/>
      <c r="B123" s="1"/>
      <c r="C123" s="1"/>
      <c r="D123" s="1"/>
      <c r="E123" s="1"/>
      <c r="F123" s="1"/>
      <c r="G123" s="41"/>
      <c r="H123" s="1"/>
      <c r="I123" s="1"/>
      <c r="J123" s="1"/>
      <c r="K123" s="1"/>
      <c r="L123" s="1"/>
      <c r="M123" s="1"/>
      <c r="N123" s="1"/>
      <c r="O123" s="1"/>
      <c r="P123" s="1"/>
      <c r="Q123" s="1"/>
      <c r="R123" s="1"/>
      <c r="S123" s="1"/>
      <c r="T123" s="1"/>
      <c r="U123" s="1"/>
      <c r="V123" s="1"/>
      <c r="W123" s="1"/>
      <c r="X123" s="1"/>
      <c r="Y123" s="1"/>
      <c r="Z123" s="1"/>
    </row>
    <row r="124" ht="15.0" customHeight="1">
      <c r="A124" s="1"/>
      <c r="B124" s="1"/>
      <c r="C124" s="1"/>
      <c r="D124" s="1"/>
      <c r="E124" s="1"/>
      <c r="F124" s="1"/>
      <c r="G124" s="41"/>
      <c r="H124" s="1"/>
      <c r="I124" s="1"/>
      <c r="J124" s="1"/>
      <c r="K124" s="1"/>
      <c r="L124" s="1"/>
      <c r="M124" s="1"/>
      <c r="N124" s="1"/>
      <c r="O124" s="1"/>
      <c r="P124" s="1"/>
      <c r="Q124" s="1"/>
      <c r="R124" s="1"/>
      <c r="S124" s="1"/>
      <c r="T124" s="1"/>
      <c r="U124" s="1"/>
      <c r="V124" s="1"/>
      <c r="W124" s="1"/>
      <c r="X124" s="1"/>
      <c r="Y124" s="1"/>
      <c r="Z124" s="1"/>
    </row>
    <row r="125" ht="15.0" customHeight="1">
      <c r="A125" s="1"/>
      <c r="B125" s="1"/>
      <c r="C125" s="1"/>
      <c r="D125" s="1"/>
      <c r="E125" s="1"/>
      <c r="F125" s="1"/>
      <c r="G125" s="41"/>
      <c r="H125" s="1"/>
      <c r="I125" s="1"/>
      <c r="J125" s="1"/>
      <c r="K125" s="1"/>
      <c r="L125" s="1"/>
      <c r="M125" s="1"/>
      <c r="N125" s="1"/>
      <c r="O125" s="1"/>
      <c r="P125" s="1"/>
      <c r="Q125" s="1"/>
      <c r="R125" s="1"/>
      <c r="S125" s="1"/>
      <c r="T125" s="1"/>
      <c r="U125" s="1"/>
      <c r="V125" s="1"/>
      <c r="W125" s="1"/>
      <c r="X125" s="1"/>
      <c r="Y125" s="1"/>
      <c r="Z125" s="1"/>
    </row>
    <row r="126" ht="15.0" customHeight="1">
      <c r="A126" s="1"/>
      <c r="B126" s="1"/>
      <c r="C126" s="1"/>
      <c r="D126" s="1"/>
      <c r="E126" s="1"/>
      <c r="F126" s="1"/>
      <c r="G126" s="41"/>
      <c r="H126" s="1"/>
      <c r="I126" s="1"/>
      <c r="J126" s="1"/>
      <c r="K126" s="1"/>
      <c r="L126" s="1"/>
      <c r="M126" s="1"/>
      <c r="N126" s="1"/>
      <c r="O126" s="1"/>
      <c r="P126" s="1"/>
      <c r="Q126" s="1"/>
      <c r="R126" s="1"/>
      <c r="S126" s="1"/>
      <c r="T126" s="1"/>
      <c r="U126" s="1"/>
      <c r="V126" s="1"/>
      <c r="W126" s="1"/>
      <c r="X126" s="1"/>
      <c r="Y126" s="1"/>
      <c r="Z126" s="1"/>
    </row>
    <row r="127" ht="15.0" customHeight="1">
      <c r="A127" s="1"/>
      <c r="B127" s="1"/>
      <c r="C127" s="1"/>
      <c r="D127" s="1"/>
      <c r="E127" s="1"/>
      <c r="F127" s="1"/>
      <c r="G127" s="41"/>
      <c r="H127" s="1"/>
      <c r="I127" s="1"/>
      <c r="J127" s="1"/>
      <c r="K127" s="1"/>
      <c r="L127" s="1"/>
      <c r="M127" s="1"/>
      <c r="N127" s="1"/>
      <c r="O127" s="1"/>
      <c r="P127" s="1"/>
      <c r="Q127" s="1"/>
      <c r="R127" s="1"/>
      <c r="S127" s="1"/>
      <c r="T127" s="1"/>
      <c r="U127" s="1"/>
      <c r="V127" s="1"/>
      <c r="W127" s="1"/>
      <c r="X127" s="1"/>
      <c r="Y127" s="1"/>
      <c r="Z127" s="1"/>
    </row>
    <row r="128" ht="15.0" customHeight="1">
      <c r="A128" s="1"/>
      <c r="B128" s="1"/>
      <c r="C128" s="1"/>
      <c r="D128" s="1"/>
      <c r="E128" s="1"/>
      <c r="F128" s="1"/>
      <c r="G128" s="41"/>
      <c r="H128" s="1"/>
      <c r="I128" s="1"/>
      <c r="J128" s="1"/>
      <c r="K128" s="1"/>
      <c r="L128" s="1"/>
      <c r="M128" s="1"/>
      <c r="N128" s="1"/>
      <c r="O128" s="1"/>
      <c r="P128" s="1"/>
      <c r="Q128" s="1"/>
      <c r="R128" s="1"/>
      <c r="S128" s="1"/>
      <c r="T128" s="1"/>
      <c r="U128" s="1"/>
      <c r="V128" s="1"/>
      <c r="W128" s="1"/>
      <c r="X128" s="1"/>
      <c r="Y128" s="1"/>
      <c r="Z128" s="1"/>
    </row>
    <row r="129" ht="15.0" customHeight="1">
      <c r="A129" s="1"/>
      <c r="B129" s="1"/>
      <c r="C129" s="1"/>
      <c r="D129" s="1"/>
      <c r="E129" s="1"/>
      <c r="F129" s="1"/>
      <c r="G129" s="41"/>
      <c r="H129" s="1"/>
      <c r="I129" s="1"/>
      <c r="J129" s="1"/>
      <c r="K129" s="1"/>
      <c r="L129" s="1"/>
      <c r="M129" s="1"/>
      <c r="N129" s="1"/>
      <c r="O129" s="1"/>
      <c r="P129" s="1"/>
      <c r="Q129" s="1"/>
      <c r="R129" s="1"/>
      <c r="S129" s="1"/>
      <c r="T129" s="1"/>
      <c r="U129" s="1"/>
      <c r="V129" s="1"/>
      <c r="W129" s="1"/>
      <c r="X129" s="1"/>
      <c r="Y129" s="1"/>
      <c r="Z129" s="1"/>
    </row>
    <row r="130" ht="15.0" customHeight="1">
      <c r="A130" s="1"/>
      <c r="B130" s="1"/>
      <c r="C130" s="1"/>
      <c r="D130" s="1"/>
      <c r="E130" s="1"/>
      <c r="F130" s="1"/>
      <c r="G130" s="41"/>
      <c r="H130" s="1"/>
      <c r="I130" s="1"/>
      <c r="J130" s="1"/>
      <c r="K130" s="1"/>
      <c r="L130" s="1"/>
      <c r="M130" s="1"/>
      <c r="N130" s="1"/>
      <c r="O130" s="1"/>
      <c r="P130" s="1"/>
      <c r="Q130" s="1"/>
      <c r="R130" s="1"/>
      <c r="S130" s="1"/>
      <c r="T130" s="1"/>
      <c r="U130" s="1"/>
      <c r="V130" s="1"/>
      <c r="W130" s="1"/>
      <c r="X130" s="1"/>
      <c r="Y130" s="1"/>
      <c r="Z130" s="1"/>
    </row>
    <row r="131" ht="15.0" customHeight="1">
      <c r="A131" s="1"/>
      <c r="B131" s="1"/>
      <c r="C131" s="1"/>
      <c r="D131" s="1"/>
      <c r="E131" s="1"/>
      <c r="F131" s="1"/>
      <c r="G131" s="41"/>
      <c r="H131" s="1"/>
      <c r="I131" s="1"/>
      <c r="J131" s="1"/>
      <c r="K131" s="1"/>
      <c r="L131" s="1"/>
      <c r="M131" s="1"/>
      <c r="N131" s="1"/>
      <c r="O131" s="1"/>
      <c r="P131" s="1"/>
      <c r="Q131" s="1"/>
      <c r="R131" s="1"/>
      <c r="S131" s="1"/>
      <c r="T131" s="1"/>
      <c r="U131" s="1"/>
      <c r="V131" s="1"/>
      <c r="W131" s="1"/>
      <c r="X131" s="1"/>
      <c r="Y131" s="1"/>
      <c r="Z131" s="1"/>
    </row>
    <row r="132" ht="15.0" customHeight="1">
      <c r="A132" s="1"/>
      <c r="B132" s="1"/>
      <c r="C132" s="1"/>
      <c r="D132" s="1"/>
      <c r="E132" s="1"/>
      <c r="F132" s="1"/>
      <c r="G132" s="41"/>
      <c r="H132" s="1"/>
      <c r="I132" s="1"/>
      <c r="J132" s="1"/>
      <c r="K132" s="1"/>
      <c r="L132" s="1"/>
      <c r="M132" s="1"/>
      <c r="N132" s="1"/>
      <c r="O132" s="1"/>
      <c r="P132" s="1"/>
      <c r="Q132" s="1"/>
      <c r="R132" s="1"/>
      <c r="S132" s="1"/>
      <c r="T132" s="1"/>
      <c r="U132" s="1"/>
      <c r="V132" s="1"/>
      <c r="W132" s="1"/>
      <c r="X132" s="1"/>
      <c r="Y132" s="1"/>
      <c r="Z132" s="1"/>
    </row>
    <row r="133" ht="15.0" customHeight="1">
      <c r="A133" s="1"/>
      <c r="B133" s="1"/>
      <c r="C133" s="1"/>
      <c r="D133" s="1"/>
      <c r="E133" s="1"/>
      <c r="F133" s="1"/>
      <c r="G133" s="41"/>
      <c r="H133" s="1"/>
      <c r="I133" s="1"/>
      <c r="J133" s="1"/>
      <c r="K133" s="1"/>
      <c r="L133" s="1"/>
      <c r="M133" s="1"/>
      <c r="N133" s="1"/>
      <c r="O133" s="1"/>
      <c r="P133" s="1"/>
      <c r="Q133" s="1"/>
      <c r="R133" s="1"/>
      <c r="S133" s="1"/>
      <c r="T133" s="1"/>
      <c r="U133" s="1"/>
      <c r="V133" s="1"/>
      <c r="W133" s="1"/>
      <c r="X133" s="1"/>
      <c r="Y133" s="1"/>
      <c r="Z133" s="1"/>
    </row>
    <row r="134" ht="15.0" customHeight="1">
      <c r="A134" s="1"/>
      <c r="B134" s="1"/>
      <c r="C134" s="1"/>
      <c r="D134" s="1"/>
      <c r="E134" s="1"/>
      <c r="F134" s="1"/>
      <c r="G134" s="41"/>
      <c r="H134" s="1"/>
      <c r="I134" s="1"/>
      <c r="J134" s="1"/>
      <c r="K134" s="1"/>
      <c r="L134" s="1"/>
      <c r="M134" s="1"/>
      <c r="N134" s="1"/>
      <c r="O134" s="1"/>
      <c r="P134" s="1"/>
      <c r="Q134" s="1"/>
      <c r="R134" s="1"/>
      <c r="S134" s="1"/>
      <c r="T134" s="1"/>
      <c r="U134" s="1"/>
      <c r="V134" s="1"/>
      <c r="W134" s="1"/>
      <c r="X134" s="1"/>
      <c r="Y134" s="1"/>
      <c r="Z134" s="1"/>
    </row>
    <row r="135" ht="15.0" customHeight="1">
      <c r="A135" s="1"/>
      <c r="B135" s="1"/>
      <c r="C135" s="1"/>
      <c r="D135" s="1"/>
      <c r="E135" s="1"/>
      <c r="F135" s="1"/>
      <c r="G135" s="41"/>
      <c r="H135" s="1"/>
      <c r="I135" s="1"/>
      <c r="J135" s="1"/>
      <c r="K135" s="1"/>
      <c r="L135" s="1"/>
      <c r="M135" s="1"/>
      <c r="N135" s="1"/>
      <c r="O135" s="1"/>
      <c r="P135" s="1"/>
      <c r="Q135" s="1"/>
      <c r="R135" s="1"/>
      <c r="S135" s="1"/>
      <c r="T135" s="1"/>
      <c r="U135" s="1"/>
      <c r="V135" s="1"/>
      <c r="W135" s="1"/>
      <c r="X135" s="1"/>
      <c r="Y135" s="1"/>
      <c r="Z135" s="1"/>
    </row>
    <row r="136" ht="15.0" customHeight="1">
      <c r="A136" s="1"/>
      <c r="B136" s="1"/>
      <c r="C136" s="1"/>
      <c r="D136" s="1"/>
      <c r="E136" s="1"/>
      <c r="F136" s="1"/>
      <c r="G136" s="41"/>
      <c r="H136" s="1"/>
      <c r="I136" s="1"/>
      <c r="J136" s="1"/>
      <c r="K136" s="1"/>
      <c r="L136" s="1"/>
      <c r="M136" s="1"/>
      <c r="N136" s="1"/>
      <c r="O136" s="1"/>
      <c r="P136" s="1"/>
      <c r="Q136" s="1"/>
      <c r="R136" s="1"/>
      <c r="S136" s="1"/>
      <c r="T136" s="1"/>
      <c r="U136" s="1"/>
      <c r="V136" s="1"/>
      <c r="W136" s="1"/>
      <c r="X136" s="1"/>
      <c r="Y136" s="1"/>
      <c r="Z136" s="1"/>
    </row>
    <row r="137" ht="15.0" customHeight="1">
      <c r="A137" s="1"/>
      <c r="B137" s="1"/>
      <c r="C137" s="1"/>
      <c r="D137" s="1"/>
      <c r="E137" s="1"/>
      <c r="F137" s="1"/>
      <c r="G137" s="41"/>
      <c r="H137" s="1"/>
      <c r="I137" s="1"/>
      <c r="J137" s="1"/>
      <c r="K137" s="1"/>
      <c r="L137" s="1"/>
      <c r="M137" s="1"/>
      <c r="N137" s="1"/>
      <c r="O137" s="1"/>
      <c r="P137" s="1"/>
      <c r="Q137" s="1"/>
      <c r="R137" s="1"/>
      <c r="S137" s="1"/>
      <c r="T137" s="1"/>
      <c r="U137" s="1"/>
      <c r="V137" s="1"/>
      <c r="W137" s="1"/>
      <c r="X137" s="1"/>
      <c r="Y137" s="1"/>
      <c r="Z137" s="1"/>
    </row>
    <row r="138" ht="15.0" customHeight="1">
      <c r="A138" s="1"/>
      <c r="B138" s="1"/>
      <c r="C138" s="1"/>
      <c r="D138" s="1"/>
      <c r="E138" s="1"/>
      <c r="F138" s="1"/>
      <c r="G138" s="41"/>
      <c r="H138" s="1"/>
      <c r="I138" s="1"/>
      <c r="J138" s="1"/>
      <c r="K138" s="1"/>
      <c r="L138" s="1"/>
      <c r="M138" s="1"/>
      <c r="N138" s="1"/>
      <c r="O138" s="1"/>
      <c r="P138" s="1"/>
      <c r="Q138" s="1"/>
      <c r="R138" s="1"/>
      <c r="S138" s="1"/>
      <c r="T138" s="1"/>
      <c r="U138" s="1"/>
      <c r="V138" s="1"/>
      <c r="W138" s="1"/>
      <c r="X138" s="1"/>
      <c r="Y138" s="1"/>
      <c r="Z138" s="1"/>
    </row>
    <row r="139" ht="15.0" customHeight="1">
      <c r="A139" s="1"/>
      <c r="B139" s="1"/>
      <c r="C139" s="1"/>
      <c r="D139" s="1"/>
      <c r="E139" s="1"/>
      <c r="F139" s="1"/>
      <c r="G139" s="41"/>
      <c r="H139" s="1"/>
      <c r="I139" s="1"/>
      <c r="J139" s="1"/>
      <c r="K139" s="1"/>
      <c r="L139" s="1"/>
      <c r="M139" s="1"/>
      <c r="N139" s="1"/>
      <c r="O139" s="1"/>
      <c r="P139" s="1"/>
      <c r="Q139" s="1"/>
      <c r="R139" s="1"/>
      <c r="S139" s="1"/>
      <c r="T139" s="1"/>
      <c r="U139" s="1"/>
      <c r="V139" s="1"/>
      <c r="W139" s="1"/>
      <c r="X139" s="1"/>
      <c r="Y139" s="1"/>
      <c r="Z139" s="1"/>
    </row>
    <row r="140" ht="15.0" customHeight="1">
      <c r="A140" s="1"/>
      <c r="B140" s="1"/>
      <c r="C140" s="1"/>
      <c r="D140" s="1"/>
      <c r="E140" s="1"/>
      <c r="F140" s="1"/>
      <c r="G140" s="41"/>
      <c r="H140" s="1"/>
      <c r="I140" s="1"/>
      <c r="J140" s="1"/>
      <c r="K140" s="1"/>
      <c r="L140" s="1"/>
      <c r="M140" s="1"/>
      <c r="N140" s="1"/>
      <c r="O140" s="1"/>
      <c r="P140" s="1"/>
      <c r="Q140" s="1"/>
      <c r="R140" s="1"/>
      <c r="S140" s="1"/>
      <c r="T140" s="1"/>
      <c r="U140" s="1"/>
      <c r="V140" s="1"/>
      <c r="W140" s="1"/>
      <c r="X140" s="1"/>
      <c r="Y140" s="1"/>
      <c r="Z140" s="1"/>
    </row>
    <row r="141" ht="15.0" customHeight="1">
      <c r="A141" s="1"/>
      <c r="B141" s="1"/>
      <c r="C141" s="1"/>
      <c r="D141" s="1"/>
      <c r="E141" s="1"/>
      <c r="F141" s="1"/>
      <c r="G141" s="41"/>
      <c r="H141" s="1"/>
      <c r="I141" s="1"/>
      <c r="J141" s="1"/>
      <c r="K141" s="1"/>
      <c r="L141" s="1"/>
      <c r="M141" s="1"/>
      <c r="N141" s="1"/>
      <c r="O141" s="1"/>
      <c r="P141" s="1"/>
      <c r="Q141" s="1"/>
      <c r="R141" s="1"/>
      <c r="S141" s="1"/>
      <c r="T141" s="1"/>
      <c r="U141" s="1"/>
      <c r="V141" s="1"/>
      <c r="W141" s="1"/>
      <c r="X141" s="1"/>
      <c r="Y141" s="1"/>
      <c r="Z141" s="1"/>
    </row>
    <row r="142" ht="15.0" customHeight="1">
      <c r="A142" s="1"/>
      <c r="B142" s="1"/>
      <c r="C142" s="1"/>
      <c r="D142" s="1"/>
      <c r="E142" s="1"/>
      <c r="F142" s="1"/>
      <c r="G142" s="41"/>
      <c r="H142" s="1"/>
      <c r="I142" s="1"/>
      <c r="J142" s="1"/>
      <c r="K142" s="1"/>
      <c r="L142" s="1"/>
      <c r="M142" s="1"/>
      <c r="N142" s="1"/>
      <c r="O142" s="1"/>
      <c r="P142" s="1"/>
      <c r="Q142" s="1"/>
      <c r="R142" s="1"/>
      <c r="S142" s="1"/>
      <c r="T142" s="1"/>
      <c r="U142" s="1"/>
      <c r="V142" s="1"/>
      <c r="W142" s="1"/>
      <c r="X142" s="1"/>
      <c r="Y142" s="1"/>
      <c r="Z142" s="1"/>
    </row>
    <row r="143" ht="15.0" customHeight="1">
      <c r="A143" s="1"/>
      <c r="B143" s="1"/>
      <c r="C143" s="1"/>
      <c r="D143" s="1"/>
      <c r="E143" s="1"/>
      <c r="F143" s="1"/>
      <c r="G143" s="41"/>
      <c r="H143" s="1"/>
      <c r="I143" s="1"/>
      <c r="J143" s="1"/>
      <c r="K143" s="1"/>
      <c r="L143" s="1"/>
      <c r="M143" s="1"/>
      <c r="N143" s="1"/>
      <c r="O143" s="1"/>
      <c r="P143" s="1"/>
      <c r="Q143" s="1"/>
      <c r="R143" s="1"/>
      <c r="S143" s="1"/>
      <c r="T143" s="1"/>
      <c r="U143" s="1"/>
      <c r="V143" s="1"/>
      <c r="W143" s="1"/>
      <c r="X143" s="1"/>
      <c r="Y143" s="1"/>
      <c r="Z143" s="1"/>
    </row>
    <row r="144" ht="15.0" customHeight="1">
      <c r="A144" s="1"/>
      <c r="B144" s="1"/>
      <c r="C144" s="1"/>
      <c r="D144" s="1"/>
      <c r="E144" s="1"/>
      <c r="F144" s="1"/>
      <c r="G144" s="41"/>
      <c r="H144" s="1"/>
      <c r="I144" s="1"/>
      <c r="J144" s="1"/>
      <c r="K144" s="1"/>
      <c r="L144" s="1"/>
      <c r="M144" s="1"/>
      <c r="N144" s="1"/>
      <c r="O144" s="1"/>
      <c r="P144" s="1"/>
      <c r="Q144" s="1"/>
      <c r="R144" s="1"/>
      <c r="S144" s="1"/>
      <c r="T144" s="1"/>
      <c r="U144" s="1"/>
      <c r="V144" s="1"/>
      <c r="W144" s="1"/>
      <c r="X144" s="1"/>
      <c r="Y144" s="1"/>
      <c r="Z144" s="1"/>
    </row>
    <row r="145" ht="15.0" customHeight="1">
      <c r="A145" s="1"/>
      <c r="B145" s="1"/>
      <c r="C145" s="1"/>
      <c r="D145" s="1"/>
      <c r="E145" s="1"/>
      <c r="F145" s="1"/>
      <c r="G145" s="41"/>
      <c r="H145" s="1"/>
      <c r="I145" s="1"/>
      <c r="J145" s="1"/>
      <c r="K145" s="1"/>
      <c r="L145" s="1"/>
      <c r="M145" s="1"/>
      <c r="N145" s="1"/>
      <c r="O145" s="1"/>
      <c r="P145" s="1"/>
      <c r="Q145" s="1"/>
      <c r="R145" s="1"/>
      <c r="S145" s="1"/>
      <c r="T145" s="1"/>
      <c r="U145" s="1"/>
      <c r="V145" s="1"/>
      <c r="W145" s="1"/>
      <c r="X145" s="1"/>
      <c r="Y145" s="1"/>
      <c r="Z145" s="1"/>
    </row>
    <row r="146" ht="15.0" customHeight="1">
      <c r="A146" s="1"/>
      <c r="B146" s="1"/>
      <c r="C146" s="1"/>
      <c r="D146" s="1"/>
      <c r="E146" s="1"/>
      <c r="F146" s="1"/>
      <c r="G146" s="41"/>
      <c r="H146" s="1"/>
      <c r="I146" s="1"/>
      <c r="J146" s="1"/>
      <c r="K146" s="1"/>
      <c r="L146" s="1"/>
      <c r="M146" s="1"/>
      <c r="N146" s="1"/>
      <c r="O146" s="1"/>
      <c r="P146" s="1"/>
      <c r="Q146" s="1"/>
      <c r="R146" s="1"/>
      <c r="S146" s="1"/>
      <c r="T146" s="1"/>
      <c r="U146" s="1"/>
      <c r="V146" s="1"/>
      <c r="W146" s="1"/>
      <c r="X146" s="1"/>
      <c r="Y146" s="1"/>
      <c r="Z146" s="1"/>
    </row>
    <row r="147" ht="15.0" customHeight="1">
      <c r="A147" s="1"/>
      <c r="B147" s="1"/>
      <c r="C147" s="1"/>
      <c r="D147" s="1"/>
      <c r="E147" s="1"/>
      <c r="F147" s="1"/>
      <c r="G147" s="41"/>
      <c r="H147" s="1"/>
      <c r="I147" s="1"/>
      <c r="J147" s="1"/>
      <c r="K147" s="1"/>
      <c r="L147" s="1"/>
      <c r="M147" s="1"/>
      <c r="N147" s="1"/>
      <c r="O147" s="1"/>
      <c r="P147" s="1"/>
      <c r="Q147" s="1"/>
      <c r="R147" s="1"/>
      <c r="S147" s="1"/>
      <c r="T147" s="1"/>
      <c r="U147" s="1"/>
      <c r="V147" s="1"/>
      <c r="W147" s="1"/>
      <c r="X147" s="1"/>
      <c r="Y147" s="1"/>
      <c r="Z147" s="1"/>
    </row>
    <row r="148" ht="15.0" customHeight="1">
      <c r="A148" s="1"/>
      <c r="B148" s="1"/>
      <c r="C148" s="1"/>
      <c r="D148" s="1"/>
      <c r="E148" s="1"/>
      <c r="F148" s="1"/>
      <c r="G148" s="41"/>
      <c r="H148" s="1"/>
      <c r="I148" s="1"/>
      <c r="J148" s="1"/>
      <c r="K148" s="1"/>
      <c r="L148" s="1"/>
      <c r="M148" s="1"/>
      <c r="N148" s="1"/>
      <c r="O148" s="1"/>
      <c r="P148" s="1"/>
      <c r="Q148" s="1"/>
      <c r="R148" s="1"/>
      <c r="S148" s="1"/>
      <c r="T148" s="1"/>
      <c r="U148" s="1"/>
      <c r="V148" s="1"/>
      <c r="W148" s="1"/>
      <c r="X148" s="1"/>
      <c r="Y148" s="1"/>
      <c r="Z148" s="1"/>
    </row>
    <row r="149" ht="15.0" customHeight="1">
      <c r="A149" s="1"/>
      <c r="B149" s="1"/>
      <c r="C149" s="1"/>
      <c r="D149" s="1"/>
      <c r="E149" s="1"/>
      <c r="F149" s="1"/>
      <c r="G149" s="41"/>
      <c r="H149" s="1"/>
      <c r="I149" s="1"/>
      <c r="J149" s="1"/>
      <c r="K149" s="1"/>
      <c r="L149" s="1"/>
      <c r="M149" s="1"/>
      <c r="N149" s="1"/>
      <c r="O149" s="1"/>
      <c r="P149" s="1"/>
      <c r="Q149" s="1"/>
      <c r="R149" s="1"/>
      <c r="S149" s="1"/>
      <c r="T149" s="1"/>
      <c r="U149" s="1"/>
      <c r="V149" s="1"/>
      <c r="W149" s="1"/>
      <c r="X149" s="1"/>
      <c r="Y149" s="1"/>
      <c r="Z149" s="1"/>
    </row>
    <row r="150" ht="15.0" customHeight="1">
      <c r="A150" s="1"/>
      <c r="B150" s="1"/>
      <c r="C150" s="1"/>
      <c r="D150" s="1"/>
      <c r="E150" s="1"/>
      <c r="F150" s="1"/>
      <c r="G150" s="41"/>
      <c r="H150" s="1"/>
      <c r="I150" s="1"/>
      <c r="J150" s="1"/>
      <c r="K150" s="1"/>
      <c r="L150" s="1"/>
      <c r="M150" s="1"/>
      <c r="N150" s="1"/>
      <c r="O150" s="1"/>
      <c r="P150" s="1"/>
      <c r="Q150" s="1"/>
      <c r="R150" s="1"/>
      <c r="S150" s="1"/>
      <c r="T150" s="1"/>
      <c r="U150" s="1"/>
      <c r="V150" s="1"/>
      <c r="W150" s="1"/>
      <c r="X150" s="1"/>
      <c r="Y150" s="1"/>
      <c r="Z150" s="1"/>
    </row>
    <row r="151" ht="15.0" customHeight="1">
      <c r="A151" s="1"/>
      <c r="B151" s="1"/>
      <c r="C151" s="1"/>
      <c r="D151" s="1"/>
      <c r="E151" s="1"/>
      <c r="F151" s="1"/>
      <c r="G151" s="41"/>
      <c r="H151" s="1"/>
      <c r="I151" s="1"/>
      <c r="J151" s="1"/>
      <c r="K151" s="1"/>
      <c r="L151" s="1"/>
      <c r="M151" s="1"/>
      <c r="N151" s="1"/>
      <c r="O151" s="1"/>
      <c r="P151" s="1"/>
      <c r="Q151" s="1"/>
      <c r="R151" s="1"/>
      <c r="S151" s="1"/>
      <c r="T151" s="1"/>
      <c r="U151" s="1"/>
      <c r="V151" s="1"/>
      <c r="W151" s="1"/>
      <c r="X151" s="1"/>
      <c r="Y151" s="1"/>
      <c r="Z151" s="1"/>
    </row>
    <row r="152" ht="15.0" customHeight="1">
      <c r="A152" s="1"/>
      <c r="B152" s="1"/>
      <c r="C152" s="1"/>
      <c r="D152" s="1"/>
      <c r="E152" s="1"/>
      <c r="F152" s="1"/>
      <c r="G152" s="41"/>
      <c r="H152" s="1"/>
      <c r="I152" s="1"/>
      <c r="J152" s="1"/>
      <c r="K152" s="1"/>
      <c r="L152" s="1"/>
      <c r="M152" s="1"/>
      <c r="N152" s="1"/>
      <c r="O152" s="1"/>
      <c r="P152" s="1"/>
      <c r="Q152" s="1"/>
      <c r="R152" s="1"/>
      <c r="S152" s="1"/>
      <c r="T152" s="1"/>
      <c r="U152" s="1"/>
      <c r="V152" s="1"/>
      <c r="W152" s="1"/>
      <c r="X152" s="1"/>
      <c r="Y152" s="1"/>
      <c r="Z152" s="1"/>
    </row>
    <row r="153" ht="15.0" customHeight="1">
      <c r="A153" s="1"/>
      <c r="B153" s="1"/>
      <c r="C153" s="1"/>
      <c r="D153" s="1"/>
      <c r="E153" s="1"/>
      <c r="F153" s="1"/>
      <c r="G153" s="41"/>
      <c r="H153" s="1"/>
      <c r="I153" s="1"/>
      <c r="J153" s="1"/>
      <c r="K153" s="1"/>
      <c r="L153" s="1"/>
      <c r="M153" s="1"/>
      <c r="N153" s="1"/>
      <c r="O153" s="1"/>
      <c r="P153" s="1"/>
      <c r="Q153" s="1"/>
      <c r="R153" s="1"/>
      <c r="S153" s="1"/>
      <c r="T153" s="1"/>
      <c r="U153" s="1"/>
      <c r="V153" s="1"/>
      <c r="W153" s="1"/>
      <c r="X153" s="1"/>
      <c r="Y153" s="1"/>
      <c r="Z153" s="1"/>
    </row>
    <row r="154" ht="15.0" customHeight="1">
      <c r="A154" s="1"/>
      <c r="B154" s="1"/>
      <c r="C154" s="1"/>
      <c r="D154" s="1"/>
      <c r="E154" s="1"/>
      <c r="F154" s="1"/>
      <c r="G154" s="41"/>
      <c r="H154" s="1"/>
      <c r="I154" s="1"/>
      <c r="J154" s="1"/>
      <c r="K154" s="1"/>
      <c r="L154" s="1"/>
      <c r="M154" s="1"/>
      <c r="N154" s="1"/>
      <c r="O154" s="1"/>
      <c r="P154" s="1"/>
      <c r="Q154" s="1"/>
      <c r="R154" s="1"/>
      <c r="S154" s="1"/>
      <c r="T154" s="1"/>
      <c r="U154" s="1"/>
      <c r="V154" s="1"/>
      <c r="W154" s="1"/>
      <c r="X154" s="1"/>
      <c r="Y154" s="1"/>
      <c r="Z154" s="1"/>
    </row>
    <row r="155" ht="15.0" customHeight="1">
      <c r="A155" s="1"/>
      <c r="B155" s="1"/>
      <c r="C155" s="1"/>
      <c r="D155" s="1"/>
      <c r="E155" s="1"/>
      <c r="F155" s="1"/>
      <c r="G155" s="41"/>
      <c r="H155" s="1"/>
      <c r="I155" s="1"/>
      <c r="J155" s="1"/>
      <c r="K155" s="1"/>
      <c r="L155" s="1"/>
      <c r="M155" s="1"/>
      <c r="N155" s="1"/>
      <c r="O155" s="1"/>
      <c r="P155" s="1"/>
      <c r="Q155" s="1"/>
      <c r="R155" s="1"/>
      <c r="S155" s="1"/>
      <c r="T155" s="1"/>
      <c r="U155" s="1"/>
      <c r="V155" s="1"/>
      <c r="W155" s="1"/>
      <c r="X155" s="1"/>
      <c r="Y155" s="1"/>
      <c r="Z155" s="1"/>
    </row>
    <row r="156" ht="15.0" customHeight="1">
      <c r="A156" s="1"/>
      <c r="B156" s="1"/>
      <c r="C156" s="1"/>
      <c r="D156" s="1"/>
      <c r="E156" s="1"/>
      <c r="F156" s="1"/>
      <c r="G156" s="41"/>
      <c r="H156" s="1"/>
      <c r="I156" s="1"/>
      <c r="J156" s="1"/>
      <c r="K156" s="1"/>
      <c r="L156" s="1"/>
      <c r="M156" s="1"/>
      <c r="N156" s="1"/>
      <c r="O156" s="1"/>
      <c r="P156" s="1"/>
      <c r="Q156" s="1"/>
      <c r="R156" s="1"/>
      <c r="S156" s="1"/>
      <c r="T156" s="1"/>
      <c r="U156" s="1"/>
      <c r="V156" s="1"/>
      <c r="W156" s="1"/>
      <c r="X156" s="1"/>
      <c r="Y156" s="1"/>
      <c r="Z156" s="1"/>
    </row>
    <row r="157" ht="15.0" customHeight="1">
      <c r="A157" s="1"/>
      <c r="B157" s="1"/>
      <c r="C157" s="1"/>
      <c r="D157" s="1"/>
      <c r="E157" s="1"/>
      <c r="F157" s="1"/>
      <c r="G157" s="41"/>
      <c r="H157" s="1"/>
      <c r="I157" s="1"/>
      <c r="J157" s="1"/>
      <c r="K157" s="1"/>
      <c r="L157" s="1"/>
      <c r="M157" s="1"/>
      <c r="N157" s="1"/>
      <c r="O157" s="1"/>
      <c r="P157" s="1"/>
      <c r="Q157" s="1"/>
      <c r="R157" s="1"/>
      <c r="S157" s="1"/>
      <c r="T157" s="1"/>
      <c r="U157" s="1"/>
      <c r="V157" s="1"/>
      <c r="W157" s="1"/>
      <c r="X157" s="1"/>
      <c r="Y157" s="1"/>
      <c r="Z157" s="1"/>
    </row>
    <row r="158" ht="15.0" customHeight="1">
      <c r="A158" s="1"/>
      <c r="B158" s="1"/>
      <c r="C158" s="1"/>
      <c r="D158" s="1"/>
      <c r="E158" s="1"/>
      <c r="F158" s="1"/>
      <c r="G158" s="41"/>
      <c r="H158" s="1"/>
      <c r="I158" s="1"/>
      <c r="J158" s="1"/>
      <c r="K158" s="1"/>
      <c r="L158" s="1"/>
      <c r="M158" s="1"/>
      <c r="N158" s="1"/>
      <c r="O158" s="1"/>
      <c r="P158" s="1"/>
      <c r="Q158" s="1"/>
      <c r="R158" s="1"/>
      <c r="S158" s="1"/>
      <c r="T158" s="1"/>
      <c r="U158" s="1"/>
      <c r="V158" s="1"/>
      <c r="W158" s="1"/>
      <c r="X158" s="1"/>
      <c r="Y158" s="1"/>
      <c r="Z158" s="1"/>
    </row>
    <row r="159" ht="15.0" customHeight="1">
      <c r="A159" s="1"/>
      <c r="B159" s="1"/>
      <c r="C159" s="1"/>
      <c r="D159" s="1"/>
      <c r="E159" s="1"/>
      <c r="F159" s="1"/>
      <c r="G159" s="41"/>
      <c r="H159" s="1"/>
      <c r="I159" s="1"/>
      <c r="J159" s="1"/>
      <c r="K159" s="1"/>
      <c r="L159" s="1"/>
      <c r="M159" s="1"/>
      <c r="N159" s="1"/>
      <c r="O159" s="1"/>
      <c r="P159" s="1"/>
      <c r="Q159" s="1"/>
      <c r="R159" s="1"/>
      <c r="S159" s="1"/>
      <c r="T159" s="1"/>
      <c r="U159" s="1"/>
      <c r="V159" s="1"/>
      <c r="W159" s="1"/>
      <c r="X159" s="1"/>
      <c r="Y159" s="1"/>
      <c r="Z159" s="1"/>
    </row>
    <row r="160" ht="15.0" customHeight="1">
      <c r="A160" s="1"/>
      <c r="B160" s="1"/>
      <c r="C160" s="1"/>
      <c r="D160" s="1"/>
      <c r="E160" s="1"/>
      <c r="F160" s="1"/>
      <c r="G160" s="41"/>
      <c r="H160" s="1"/>
      <c r="I160" s="1"/>
      <c r="J160" s="1"/>
      <c r="K160" s="1"/>
      <c r="L160" s="1"/>
      <c r="M160" s="1"/>
      <c r="N160" s="1"/>
      <c r="O160" s="1"/>
      <c r="P160" s="1"/>
      <c r="Q160" s="1"/>
      <c r="R160" s="1"/>
      <c r="S160" s="1"/>
      <c r="T160" s="1"/>
      <c r="U160" s="1"/>
      <c r="V160" s="1"/>
      <c r="W160" s="1"/>
      <c r="X160" s="1"/>
      <c r="Y160" s="1"/>
      <c r="Z160" s="1"/>
    </row>
    <row r="161" ht="15.0" customHeight="1">
      <c r="A161" s="1"/>
      <c r="B161" s="1"/>
      <c r="C161" s="1"/>
      <c r="D161" s="1"/>
      <c r="E161" s="1"/>
      <c r="F161" s="1"/>
      <c r="G161" s="41"/>
      <c r="H161" s="1"/>
      <c r="I161" s="1"/>
      <c r="J161" s="1"/>
      <c r="K161" s="1"/>
      <c r="L161" s="1"/>
      <c r="M161" s="1"/>
      <c r="N161" s="1"/>
      <c r="O161" s="1"/>
      <c r="P161" s="1"/>
      <c r="Q161" s="1"/>
      <c r="R161" s="1"/>
      <c r="S161" s="1"/>
      <c r="T161" s="1"/>
      <c r="U161" s="1"/>
      <c r="V161" s="1"/>
      <c r="W161" s="1"/>
      <c r="X161" s="1"/>
      <c r="Y161" s="1"/>
      <c r="Z161" s="1"/>
    </row>
    <row r="162" ht="15.0" customHeight="1">
      <c r="A162" s="1"/>
      <c r="B162" s="1"/>
      <c r="C162" s="1"/>
      <c r="D162" s="1"/>
      <c r="E162" s="1"/>
      <c r="F162" s="1"/>
      <c r="G162" s="41"/>
      <c r="H162" s="1"/>
      <c r="I162" s="1"/>
      <c r="J162" s="1"/>
      <c r="K162" s="1"/>
      <c r="L162" s="1"/>
      <c r="M162" s="1"/>
      <c r="N162" s="1"/>
      <c r="O162" s="1"/>
      <c r="P162" s="1"/>
      <c r="Q162" s="1"/>
      <c r="R162" s="1"/>
      <c r="S162" s="1"/>
      <c r="T162" s="1"/>
      <c r="U162" s="1"/>
      <c r="V162" s="1"/>
      <c r="W162" s="1"/>
      <c r="X162" s="1"/>
      <c r="Y162" s="1"/>
      <c r="Z162" s="1"/>
    </row>
    <row r="163" ht="15.0" customHeight="1">
      <c r="A163" s="1"/>
      <c r="B163" s="1"/>
      <c r="C163" s="1"/>
      <c r="D163" s="1"/>
      <c r="E163" s="1"/>
      <c r="F163" s="1"/>
      <c r="G163" s="41"/>
      <c r="H163" s="1"/>
      <c r="I163" s="1"/>
      <c r="J163" s="1"/>
      <c r="K163" s="1"/>
      <c r="L163" s="1"/>
      <c r="M163" s="1"/>
      <c r="N163" s="1"/>
      <c r="O163" s="1"/>
      <c r="P163" s="1"/>
      <c r="Q163" s="1"/>
      <c r="R163" s="1"/>
      <c r="S163" s="1"/>
      <c r="T163" s="1"/>
      <c r="U163" s="1"/>
      <c r="V163" s="1"/>
      <c r="W163" s="1"/>
      <c r="X163" s="1"/>
      <c r="Y163" s="1"/>
      <c r="Z163" s="1"/>
    </row>
    <row r="164" ht="15.0" customHeight="1">
      <c r="A164" s="1"/>
      <c r="B164" s="1"/>
      <c r="C164" s="1"/>
      <c r="D164" s="1"/>
      <c r="E164" s="1"/>
      <c r="F164" s="1"/>
      <c r="G164" s="41"/>
      <c r="H164" s="1"/>
      <c r="I164" s="1"/>
      <c r="J164" s="1"/>
      <c r="K164" s="1"/>
      <c r="L164" s="1"/>
      <c r="M164" s="1"/>
      <c r="N164" s="1"/>
      <c r="O164" s="1"/>
      <c r="P164" s="1"/>
      <c r="Q164" s="1"/>
      <c r="R164" s="1"/>
      <c r="S164" s="1"/>
      <c r="T164" s="1"/>
      <c r="U164" s="1"/>
      <c r="V164" s="1"/>
      <c r="W164" s="1"/>
      <c r="X164" s="1"/>
      <c r="Y164" s="1"/>
      <c r="Z164" s="1"/>
    </row>
    <row r="165" ht="15.0" customHeight="1">
      <c r="A165" s="1"/>
      <c r="B165" s="1"/>
      <c r="C165" s="1"/>
      <c r="D165" s="1"/>
      <c r="E165" s="1"/>
      <c r="F165" s="1"/>
      <c r="G165" s="41"/>
      <c r="H165" s="1"/>
      <c r="I165" s="1"/>
      <c r="J165" s="1"/>
      <c r="K165" s="1"/>
      <c r="L165" s="1"/>
      <c r="M165" s="1"/>
      <c r="N165" s="1"/>
      <c r="O165" s="1"/>
      <c r="P165" s="1"/>
      <c r="Q165" s="1"/>
      <c r="R165" s="1"/>
      <c r="S165" s="1"/>
      <c r="T165" s="1"/>
      <c r="U165" s="1"/>
      <c r="V165" s="1"/>
      <c r="W165" s="1"/>
      <c r="X165" s="1"/>
      <c r="Y165" s="1"/>
      <c r="Z165" s="1"/>
    </row>
    <row r="166" ht="15.0" customHeight="1">
      <c r="A166" s="1"/>
      <c r="B166" s="1"/>
      <c r="C166" s="1"/>
      <c r="D166" s="1"/>
      <c r="E166" s="1"/>
      <c r="F166" s="1"/>
      <c r="G166" s="41"/>
      <c r="H166" s="1"/>
      <c r="I166" s="1"/>
      <c r="J166" s="1"/>
      <c r="K166" s="1"/>
      <c r="L166" s="1"/>
      <c r="M166" s="1"/>
      <c r="N166" s="1"/>
      <c r="O166" s="1"/>
      <c r="P166" s="1"/>
      <c r="Q166" s="1"/>
      <c r="R166" s="1"/>
      <c r="S166" s="1"/>
      <c r="T166" s="1"/>
      <c r="U166" s="1"/>
      <c r="V166" s="1"/>
      <c r="W166" s="1"/>
      <c r="X166" s="1"/>
      <c r="Y166" s="1"/>
      <c r="Z166" s="1"/>
    </row>
    <row r="167" ht="15.0" customHeight="1">
      <c r="A167" s="1"/>
      <c r="B167" s="1"/>
      <c r="C167" s="1"/>
      <c r="D167" s="1"/>
      <c r="E167" s="1"/>
      <c r="F167" s="1"/>
      <c r="G167" s="41"/>
      <c r="H167" s="1"/>
      <c r="I167" s="1"/>
      <c r="J167" s="1"/>
      <c r="K167" s="1"/>
      <c r="L167" s="1"/>
      <c r="M167" s="1"/>
      <c r="N167" s="1"/>
      <c r="O167" s="1"/>
      <c r="P167" s="1"/>
      <c r="Q167" s="1"/>
      <c r="R167" s="1"/>
      <c r="S167" s="1"/>
      <c r="T167" s="1"/>
      <c r="U167" s="1"/>
      <c r="V167" s="1"/>
      <c r="W167" s="1"/>
      <c r="X167" s="1"/>
      <c r="Y167" s="1"/>
      <c r="Z167" s="1"/>
    </row>
    <row r="168" ht="15.0" customHeight="1">
      <c r="A168" s="1"/>
      <c r="B168" s="1"/>
      <c r="C168" s="1"/>
      <c r="D168" s="1"/>
      <c r="E168" s="1"/>
      <c r="F168" s="1"/>
      <c r="G168" s="41"/>
      <c r="H168" s="1"/>
      <c r="I168" s="1"/>
      <c r="J168" s="1"/>
      <c r="K168" s="1"/>
      <c r="L168" s="1"/>
      <c r="M168" s="1"/>
      <c r="N168" s="1"/>
      <c r="O168" s="1"/>
      <c r="P168" s="1"/>
      <c r="Q168" s="1"/>
      <c r="R168" s="1"/>
      <c r="S168" s="1"/>
      <c r="T168" s="1"/>
      <c r="U168" s="1"/>
      <c r="V168" s="1"/>
      <c r="W168" s="1"/>
      <c r="X168" s="1"/>
      <c r="Y168" s="1"/>
      <c r="Z168" s="1"/>
    </row>
    <row r="169" ht="15.0" customHeight="1">
      <c r="A169" s="1"/>
      <c r="B169" s="1"/>
      <c r="C169" s="1"/>
      <c r="D169" s="1"/>
      <c r="E169" s="1"/>
      <c r="F169" s="1"/>
      <c r="G169" s="41"/>
      <c r="H169" s="1"/>
      <c r="I169" s="1"/>
      <c r="J169" s="1"/>
      <c r="K169" s="1"/>
      <c r="L169" s="1"/>
      <c r="M169" s="1"/>
      <c r="N169" s="1"/>
      <c r="O169" s="1"/>
      <c r="P169" s="1"/>
      <c r="Q169" s="1"/>
      <c r="R169" s="1"/>
      <c r="S169" s="1"/>
      <c r="T169" s="1"/>
      <c r="U169" s="1"/>
      <c r="V169" s="1"/>
      <c r="W169" s="1"/>
      <c r="X169" s="1"/>
      <c r="Y169" s="1"/>
      <c r="Z169" s="1"/>
    </row>
    <row r="170" ht="15.0" customHeight="1">
      <c r="A170" s="1"/>
      <c r="B170" s="1"/>
      <c r="C170" s="1"/>
      <c r="D170" s="1"/>
      <c r="E170" s="1"/>
      <c r="F170" s="1"/>
      <c r="G170" s="41"/>
      <c r="H170" s="1"/>
      <c r="I170" s="1"/>
      <c r="J170" s="1"/>
      <c r="K170" s="1"/>
      <c r="L170" s="1"/>
      <c r="M170" s="1"/>
      <c r="N170" s="1"/>
      <c r="O170" s="1"/>
      <c r="P170" s="1"/>
      <c r="Q170" s="1"/>
      <c r="R170" s="1"/>
      <c r="S170" s="1"/>
      <c r="T170" s="1"/>
      <c r="U170" s="1"/>
      <c r="V170" s="1"/>
      <c r="W170" s="1"/>
      <c r="X170" s="1"/>
      <c r="Y170" s="1"/>
      <c r="Z170" s="1"/>
    </row>
    <row r="171" ht="15.0" customHeight="1">
      <c r="A171" s="1"/>
      <c r="B171" s="1"/>
      <c r="C171" s="1"/>
      <c r="D171" s="1"/>
      <c r="E171" s="1"/>
      <c r="F171" s="1"/>
      <c r="G171" s="41"/>
      <c r="H171" s="1"/>
      <c r="I171" s="1"/>
      <c r="J171" s="1"/>
      <c r="K171" s="1"/>
      <c r="L171" s="1"/>
      <c r="M171" s="1"/>
      <c r="N171" s="1"/>
      <c r="O171" s="1"/>
      <c r="P171" s="1"/>
      <c r="Q171" s="1"/>
      <c r="R171" s="1"/>
      <c r="S171" s="1"/>
      <c r="T171" s="1"/>
      <c r="U171" s="1"/>
      <c r="V171" s="1"/>
      <c r="W171" s="1"/>
      <c r="X171" s="1"/>
      <c r="Y171" s="1"/>
      <c r="Z171" s="1"/>
    </row>
    <row r="172" ht="15.0" customHeight="1">
      <c r="A172" s="1"/>
      <c r="B172" s="1"/>
      <c r="C172" s="1"/>
      <c r="D172" s="1"/>
      <c r="E172" s="1"/>
      <c r="F172" s="1"/>
      <c r="G172" s="41"/>
      <c r="H172" s="1"/>
      <c r="I172" s="1"/>
      <c r="J172" s="1"/>
      <c r="K172" s="1"/>
      <c r="L172" s="1"/>
      <c r="M172" s="1"/>
      <c r="N172" s="1"/>
      <c r="O172" s="1"/>
      <c r="P172" s="1"/>
      <c r="Q172" s="1"/>
      <c r="R172" s="1"/>
      <c r="S172" s="1"/>
      <c r="T172" s="1"/>
      <c r="U172" s="1"/>
      <c r="V172" s="1"/>
      <c r="W172" s="1"/>
      <c r="X172" s="1"/>
      <c r="Y172" s="1"/>
      <c r="Z172" s="1"/>
    </row>
    <row r="173" ht="15.0" customHeight="1">
      <c r="A173" s="1"/>
      <c r="B173" s="1"/>
      <c r="C173" s="1"/>
      <c r="D173" s="1"/>
      <c r="E173" s="1"/>
      <c r="F173" s="1"/>
      <c r="G173" s="41"/>
      <c r="H173" s="1"/>
      <c r="I173" s="1"/>
      <c r="J173" s="1"/>
      <c r="K173" s="1"/>
      <c r="L173" s="1"/>
      <c r="M173" s="1"/>
      <c r="N173" s="1"/>
      <c r="O173" s="1"/>
      <c r="P173" s="1"/>
      <c r="Q173" s="1"/>
      <c r="R173" s="1"/>
      <c r="S173" s="1"/>
      <c r="T173" s="1"/>
      <c r="U173" s="1"/>
      <c r="V173" s="1"/>
      <c r="W173" s="1"/>
      <c r="X173" s="1"/>
      <c r="Y173" s="1"/>
      <c r="Z173" s="1"/>
    </row>
    <row r="174" ht="15.0" customHeight="1">
      <c r="A174" s="1"/>
      <c r="B174" s="1"/>
      <c r="C174" s="1"/>
      <c r="D174" s="1"/>
      <c r="E174" s="1"/>
      <c r="F174" s="1"/>
      <c r="G174" s="41"/>
      <c r="H174" s="1"/>
      <c r="I174" s="1"/>
      <c r="J174" s="1"/>
      <c r="K174" s="1"/>
      <c r="L174" s="1"/>
      <c r="M174" s="1"/>
      <c r="N174" s="1"/>
      <c r="O174" s="1"/>
      <c r="P174" s="1"/>
      <c r="Q174" s="1"/>
      <c r="R174" s="1"/>
      <c r="S174" s="1"/>
      <c r="T174" s="1"/>
      <c r="U174" s="1"/>
      <c r="V174" s="1"/>
      <c r="W174" s="1"/>
      <c r="X174" s="1"/>
      <c r="Y174" s="1"/>
      <c r="Z174" s="1"/>
    </row>
    <row r="175" ht="15.0" customHeight="1">
      <c r="A175" s="1"/>
      <c r="B175" s="1"/>
      <c r="C175" s="1"/>
      <c r="D175" s="1"/>
      <c r="E175" s="1"/>
      <c r="F175" s="1"/>
      <c r="G175" s="41"/>
      <c r="H175" s="1"/>
      <c r="I175" s="1"/>
      <c r="J175" s="1"/>
      <c r="K175" s="1"/>
      <c r="L175" s="1"/>
      <c r="M175" s="1"/>
      <c r="N175" s="1"/>
      <c r="O175" s="1"/>
      <c r="P175" s="1"/>
      <c r="Q175" s="1"/>
      <c r="R175" s="1"/>
      <c r="S175" s="1"/>
      <c r="T175" s="1"/>
      <c r="U175" s="1"/>
      <c r="V175" s="1"/>
      <c r="W175" s="1"/>
      <c r="X175" s="1"/>
      <c r="Y175" s="1"/>
      <c r="Z175" s="1"/>
    </row>
    <row r="176" ht="15.0" customHeight="1">
      <c r="A176" s="1"/>
      <c r="B176" s="1"/>
      <c r="C176" s="1"/>
      <c r="D176" s="1"/>
      <c r="E176" s="1"/>
      <c r="F176" s="1"/>
      <c r="G176" s="41"/>
      <c r="H176" s="1"/>
      <c r="I176" s="1"/>
      <c r="J176" s="1"/>
      <c r="K176" s="1"/>
      <c r="L176" s="1"/>
      <c r="M176" s="1"/>
      <c r="N176" s="1"/>
      <c r="O176" s="1"/>
      <c r="P176" s="1"/>
      <c r="Q176" s="1"/>
      <c r="R176" s="1"/>
      <c r="S176" s="1"/>
      <c r="T176" s="1"/>
      <c r="U176" s="1"/>
      <c r="V176" s="1"/>
      <c r="W176" s="1"/>
      <c r="X176" s="1"/>
      <c r="Y176" s="1"/>
      <c r="Z176" s="1"/>
    </row>
    <row r="177" ht="15.0" customHeight="1">
      <c r="A177" s="1"/>
      <c r="B177" s="1"/>
      <c r="C177" s="1"/>
      <c r="D177" s="1"/>
      <c r="E177" s="1"/>
      <c r="F177" s="1"/>
      <c r="G177" s="41"/>
      <c r="H177" s="1"/>
      <c r="I177" s="1"/>
      <c r="J177" s="1"/>
      <c r="K177" s="1"/>
      <c r="L177" s="1"/>
      <c r="M177" s="1"/>
      <c r="N177" s="1"/>
      <c r="O177" s="1"/>
      <c r="P177" s="1"/>
      <c r="Q177" s="1"/>
      <c r="R177" s="1"/>
      <c r="S177" s="1"/>
      <c r="T177" s="1"/>
      <c r="U177" s="1"/>
      <c r="V177" s="1"/>
      <c r="W177" s="1"/>
      <c r="X177" s="1"/>
      <c r="Y177" s="1"/>
      <c r="Z177" s="1"/>
    </row>
    <row r="178" ht="15.0" customHeight="1">
      <c r="A178" s="1"/>
      <c r="B178" s="1"/>
      <c r="C178" s="1"/>
      <c r="D178" s="1"/>
      <c r="E178" s="1"/>
      <c r="F178" s="1"/>
      <c r="G178" s="41"/>
      <c r="H178" s="1"/>
      <c r="I178" s="1"/>
      <c r="J178" s="1"/>
      <c r="K178" s="1"/>
      <c r="L178" s="1"/>
      <c r="M178" s="1"/>
      <c r="N178" s="1"/>
      <c r="O178" s="1"/>
      <c r="P178" s="1"/>
      <c r="Q178" s="1"/>
      <c r="R178" s="1"/>
      <c r="S178" s="1"/>
      <c r="T178" s="1"/>
      <c r="U178" s="1"/>
      <c r="V178" s="1"/>
      <c r="W178" s="1"/>
      <c r="X178" s="1"/>
      <c r="Y178" s="1"/>
      <c r="Z178" s="1"/>
    </row>
    <row r="179" ht="15.0" customHeight="1">
      <c r="A179" s="1"/>
      <c r="B179" s="1"/>
      <c r="C179" s="1"/>
      <c r="D179" s="1"/>
      <c r="E179" s="1"/>
      <c r="F179" s="1"/>
      <c r="G179" s="41"/>
      <c r="H179" s="1"/>
      <c r="I179" s="1"/>
      <c r="J179" s="1"/>
      <c r="K179" s="1"/>
      <c r="L179" s="1"/>
      <c r="M179" s="1"/>
      <c r="N179" s="1"/>
      <c r="O179" s="1"/>
      <c r="P179" s="1"/>
      <c r="Q179" s="1"/>
      <c r="R179" s="1"/>
      <c r="S179" s="1"/>
      <c r="T179" s="1"/>
      <c r="U179" s="1"/>
      <c r="V179" s="1"/>
      <c r="W179" s="1"/>
      <c r="X179" s="1"/>
      <c r="Y179" s="1"/>
      <c r="Z179" s="1"/>
    </row>
    <row r="180" ht="15.0" customHeight="1">
      <c r="A180" s="1"/>
      <c r="B180" s="1"/>
      <c r="C180" s="1"/>
      <c r="D180" s="1"/>
      <c r="E180" s="1"/>
      <c r="F180" s="1"/>
      <c r="G180" s="41"/>
      <c r="H180" s="1"/>
      <c r="I180" s="1"/>
      <c r="J180" s="1"/>
      <c r="K180" s="1"/>
      <c r="L180" s="1"/>
      <c r="M180" s="1"/>
      <c r="N180" s="1"/>
      <c r="O180" s="1"/>
      <c r="P180" s="1"/>
      <c r="Q180" s="1"/>
      <c r="R180" s="1"/>
      <c r="S180" s="1"/>
      <c r="T180" s="1"/>
      <c r="U180" s="1"/>
      <c r="V180" s="1"/>
      <c r="W180" s="1"/>
      <c r="X180" s="1"/>
      <c r="Y180" s="1"/>
      <c r="Z180" s="1"/>
    </row>
    <row r="181" ht="15.0" customHeight="1">
      <c r="A181" s="1"/>
      <c r="B181" s="1"/>
      <c r="C181" s="1"/>
      <c r="D181" s="1"/>
      <c r="E181" s="1"/>
      <c r="F181" s="1"/>
      <c r="G181" s="41"/>
      <c r="H181" s="1"/>
      <c r="I181" s="1"/>
      <c r="J181" s="1"/>
      <c r="K181" s="1"/>
      <c r="L181" s="1"/>
      <c r="M181" s="1"/>
      <c r="N181" s="1"/>
      <c r="O181" s="1"/>
      <c r="P181" s="1"/>
      <c r="Q181" s="1"/>
      <c r="R181" s="1"/>
      <c r="S181" s="1"/>
      <c r="T181" s="1"/>
      <c r="U181" s="1"/>
      <c r="V181" s="1"/>
      <c r="W181" s="1"/>
      <c r="X181" s="1"/>
      <c r="Y181" s="1"/>
      <c r="Z181" s="1"/>
    </row>
    <row r="182" ht="15.0" customHeight="1">
      <c r="A182" s="1"/>
      <c r="B182" s="1"/>
      <c r="C182" s="1"/>
      <c r="D182" s="1"/>
      <c r="E182" s="1"/>
      <c r="F182" s="1"/>
      <c r="G182" s="41"/>
      <c r="H182" s="1"/>
      <c r="I182" s="1"/>
      <c r="J182" s="1"/>
      <c r="K182" s="1"/>
      <c r="L182" s="1"/>
      <c r="M182" s="1"/>
      <c r="N182" s="1"/>
      <c r="O182" s="1"/>
      <c r="P182" s="1"/>
      <c r="Q182" s="1"/>
      <c r="R182" s="1"/>
      <c r="S182" s="1"/>
      <c r="T182" s="1"/>
      <c r="U182" s="1"/>
      <c r="V182" s="1"/>
      <c r="W182" s="1"/>
      <c r="X182" s="1"/>
      <c r="Y182" s="1"/>
      <c r="Z182" s="1"/>
    </row>
    <row r="183" ht="15.0" customHeight="1">
      <c r="A183" s="1"/>
      <c r="B183" s="1"/>
      <c r="C183" s="1"/>
      <c r="D183" s="1"/>
      <c r="E183" s="1"/>
      <c r="F183" s="1"/>
      <c r="G183" s="41"/>
      <c r="H183" s="1"/>
      <c r="I183" s="1"/>
      <c r="J183" s="1"/>
      <c r="K183" s="1"/>
      <c r="L183" s="1"/>
      <c r="M183" s="1"/>
      <c r="N183" s="1"/>
      <c r="O183" s="1"/>
      <c r="P183" s="1"/>
      <c r="Q183" s="1"/>
      <c r="R183" s="1"/>
      <c r="S183" s="1"/>
      <c r="T183" s="1"/>
      <c r="U183" s="1"/>
      <c r="V183" s="1"/>
      <c r="W183" s="1"/>
      <c r="X183" s="1"/>
      <c r="Y183" s="1"/>
      <c r="Z183" s="1"/>
    </row>
    <row r="184" ht="15.0" customHeight="1">
      <c r="A184" s="1"/>
      <c r="B184" s="1"/>
      <c r="C184" s="1"/>
      <c r="D184" s="1"/>
      <c r="E184" s="1"/>
      <c r="F184" s="1"/>
      <c r="G184" s="41"/>
      <c r="H184" s="1"/>
      <c r="I184" s="1"/>
      <c r="J184" s="1"/>
      <c r="K184" s="1"/>
      <c r="L184" s="1"/>
      <c r="M184" s="1"/>
      <c r="N184" s="1"/>
      <c r="O184" s="1"/>
      <c r="P184" s="1"/>
      <c r="Q184" s="1"/>
      <c r="R184" s="1"/>
      <c r="S184" s="1"/>
      <c r="T184" s="1"/>
      <c r="U184" s="1"/>
      <c r="V184" s="1"/>
      <c r="W184" s="1"/>
      <c r="X184" s="1"/>
      <c r="Y184" s="1"/>
      <c r="Z184" s="1"/>
    </row>
    <row r="185" ht="15.0" customHeight="1">
      <c r="A185" s="1"/>
      <c r="B185" s="1"/>
      <c r="C185" s="1"/>
      <c r="D185" s="1"/>
      <c r="E185" s="1"/>
      <c r="F185" s="1"/>
      <c r="G185" s="41"/>
      <c r="H185" s="1"/>
      <c r="I185" s="1"/>
      <c r="J185" s="1"/>
      <c r="K185" s="1"/>
      <c r="L185" s="1"/>
      <c r="M185" s="1"/>
      <c r="N185" s="1"/>
      <c r="O185" s="1"/>
      <c r="P185" s="1"/>
      <c r="Q185" s="1"/>
      <c r="R185" s="1"/>
      <c r="S185" s="1"/>
      <c r="T185" s="1"/>
      <c r="U185" s="1"/>
      <c r="V185" s="1"/>
      <c r="W185" s="1"/>
      <c r="X185" s="1"/>
      <c r="Y185" s="1"/>
      <c r="Z185" s="1"/>
    </row>
    <row r="186" ht="15.0" customHeight="1">
      <c r="A186" s="1"/>
      <c r="B186" s="1"/>
      <c r="C186" s="1"/>
      <c r="D186" s="1"/>
      <c r="E186" s="1"/>
      <c r="F186" s="1"/>
      <c r="G186" s="41"/>
      <c r="H186" s="1"/>
      <c r="I186" s="1"/>
      <c r="J186" s="1"/>
      <c r="K186" s="1"/>
      <c r="L186" s="1"/>
      <c r="M186" s="1"/>
      <c r="N186" s="1"/>
      <c r="O186" s="1"/>
      <c r="P186" s="1"/>
      <c r="Q186" s="1"/>
      <c r="R186" s="1"/>
      <c r="S186" s="1"/>
      <c r="T186" s="1"/>
      <c r="U186" s="1"/>
      <c r="V186" s="1"/>
      <c r="W186" s="1"/>
      <c r="X186" s="1"/>
      <c r="Y186" s="1"/>
      <c r="Z186" s="1"/>
    </row>
    <row r="187" ht="15.0" customHeight="1">
      <c r="A187" s="1"/>
      <c r="B187" s="1"/>
      <c r="C187" s="1"/>
      <c r="D187" s="1"/>
      <c r="E187" s="1"/>
      <c r="F187" s="1"/>
      <c r="G187" s="41"/>
      <c r="H187" s="1"/>
      <c r="I187" s="1"/>
      <c r="J187" s="1"/>
      <c r="K187" s="1"/>
      <c r="L187" s="1"/>
      <c r="M187" s="1"/>
      <c r="N187" s="1"/>
      <c r="O187" s="1"/>
      <c r="P187" s="1"/>
      <c r="Q187" s="1"/>
      <c r="R187" s="1"/>
      <c r="S187" s="1"/>
      <c r="T187" s="1"/>
      <c r="U187" s="1"/>
      <c r="V187" s="1"/>
      <c r="W187" s="1"/>
      <c r="X187" s="1"/>
      <c r="Y187" s="1"/>
      <c r="Z187" s="1"/>
    </row>
    <row r="188" ht="15.0" customHeight="1">
      <c r="A188" s="1"/>
      <c r="B188" s="1"/>
      <c r="C188" s="1"/>
      <c r="D188" s="1"/>
      <c r="E188" s="1"/>
      <c r="F188" s="1"/>
      <c r="G188" s="41"/>
      <c r="H188" s="1"/>
      <c r="I188" s="1"/>
      <c r="J188" s="1"/>
      <c r="K188" s="1"/>
      <c r="L188" s="1"/>
      <c r="M188" s="1"/>
      <c r="N188" s="1"/>
      <c r="O188" s="1"/>
      <c r="P188" s="1"/>
      <c r="Q188" s="1"/>
      <c r="R188" s="1"/>
      <c r="S188" s="1"/>
      <c r="T188" s="1"/>
      <c r="U188" s="1"/>
      <c r="V188" s="1"/>
      <c r="W188" s="1"/>
      <c r="X188" s="1"/>
      <c r="Y188" s="1"/>
      <c r="Z188" s="1"/>
    </row>
    <row r="189" ht="15.0" customHeight="1">
      <c r="A189" s="1"/>
      <c r="B189" s="1"/>
      <c r="C189" s="1"/>
      <c r="D189" s="1"/>
      <c r="E189" s="1"/>
      <c r="F189" s="1"/>
      <c r="G189" s="41"/>
      <c r="H189" s="1"/>
      <c r="I189" s="1"/>
      <c r="J189" s="1"/>
      <c r="K189" s="1"/>
      <c r="L189" s="1"/>
      <c r="M189" s="1"/>
      <c r="N189" s="1"/>
      <c r="O189" s="1"/>
      <c r="P189" s="1"/>
      <c r="Q189" s="1"/>
      <c r="R189" s="1"/>
      <c r="S189" s="1"/>
      <c r="T189" s="1"/>
      <c r="U189" s="1"/>
      <c r="V189" s="1"/>
      <c r="W189" s="1"/>
      <c r="X189" s="1"/>
      <c r="Y189" s="1"/>
      <c r="Z189" s="1"/>
    </row>
    <row r="190" ht="15.0" customHeight="1">
      <c r="A190" s="1"/>
      <c r="B190" s="1"/>
      <c r="C190" s="1"/>
      <c r="D190" s="1"/>
      <c r="E190" s="1"/>
      <c r="F190" s="1"/>
      <c r="G190" s="41"/>
      <c r="H190" s="1"/>
      <c r="I190" s="1"/>
      <c r="J190" s="1"/>
      <c r="K190" s="1"/>
      <c r="L190" s="1"/>
      <c r="M190" s="1"/>
      <c r="N190" s="1"/>
      <c r="O190" s="1"/>
      <c r="P190" s="1"/>
      <c r="Q190" s="1"/>
      <c r="R190" s="1"/>
      <c r="S190" s="1"/>
      <c r="T190" s="1"/>
      <c r="U190" s="1"/>
      <c r="V190" s="1"/>
      <c r="W190" s="1"/>
      <c r="X190" s="1"/>
      <c r="Y190" s="1"/>
      <c r="Z190" s="1"/>
    </row>
    <row r="191" ht="15.0" customHeight="1">
      <c r="A191" s="1"/>
      <c r="B191" s="1"/>
      <c r="C191" s="1"/>
      <c r="D191" s="1"/>
      <c r="E191" s="1"/>
      <c r="F191" s="1"/>
      <c r="G191" s="41"/>
      <c r="H191" s="1"/>
      <c r="I191" s="1"/>
      <c r="J191" s="1"/>
      <c r="K191" s="1"/>
      <c r="L191" s="1"/>
      <c r="M191" s="1"/>
      <c r="N191" s="1"/>
      <c r="O191" s="1"/>
      <c r="P191" s="1"/>
      <c r="Q191" s="1"/>
      <c r="R191" s="1"/>
      <c r="S191" s="1"/>
      <c r="T191" s="1"/>
      <c r="U191" s="1"/>
      <c r="V191" s="1"/>
      <c r="W191" s="1"/>
      <c r="X191" s="1"/>
      <c r="Y191" s="1"/>
      <c r="Z191" s="1"/>
    </row>
    <row r="192" ht="15.0" customHeight="1">
      <c r="A192" s="1"/>
      <c r="B192" s="1"/>
      <c r="C192" s="1"/>
      <c r="D192" s="1"/>
      <c r="E192" s="1"/>
      <c r="F192" s="1"/>
      <c r="G192" s="41"/>
      <c r="H192" s="1"/>
      <c r="I192" s="1"/>
      <c r="J192" s="1"/>
      <c r="K192" s="1"/>
      <c r="L192" s="1"/>
      <c r="M192" s="1"/>
      <c r="N192" s="1"/>
      <c r="O192" s="1"/>
      <c r="P192" s="1"/>
      <c r="Q192" s="1"/>
      <c r="R192" s="1"/>
      <c r="S192" s="1"/>
      <c r="T192" s="1"/>
      <c r="U192" s="1"/>
      <c r="V192" s="1"/>
      <c r="W192" s="1"/>
      <c r="X192" s="1"/>
      <c r="Y192" s="1"/>
      <c r="Z192" s="1"/>
    </row>
    <row r="193" ht="15.0" customHeight="1">
      <c r="A193" s="1"/>
      <c r="B193" s="1"/>
      <c r="C193" s="1"/>
      <c r="D193" s="1"/>
      <c r="E193" s="1"/>
      <c r="F193" s="1"/>
      <c r="G193" s="41"/>
      <c r="H193" s="1"/>
      <c r="I193" s="1"/>
      <c r="J193" s="1"/>
      <c r="K193" s="1"/>
      <c r="L193" s="1"/>
      <c r="M193" s="1"/>
      <c r="N193" s="1"/>
      <c r="O193" s="1"/>
      <c r="P193" s="1"/>
      <c r="Q193" s="1"/>
      <c r="R193" s="1"/>
      <c r="S193" s="1"/>
      <c r="T193" s="1"/>
      <c r="U193" s="1"/>
      <c r="V193" s="1"/>
      <c r="W193" s="1"/>
      <c r="X193" s="1"/>
      <c r="Y193" s="1"/>
      <c r="Z193" s="1"/>
    </row>
    <row r="194" ht="15.0" customHeight="1">
      <c r="A194" s="1"/>
      <c r="B194" s="1"/>
      <c r="C194" s="1"/>
      <c r="D194" s="1"/>
      <c r="E194" s="1"/>
      <c r="F194" s="1"/>
      <c r="G194" s="41"/>
      <c r="H194" s="1"/>
      <c r="I194" s="1"/>
      <c r="J194" s="1"/>
      <c r="K194" s="1"/>
      <c r="L194" s="1"/>
      <c r="M194" s="1"/>
      <c r="N194" s="1"/>
      <c r="O194" s="1"/>
      <c r="P194" s="1"/>
      <c r="Q194" s="1"/>
      <c r="R194" s="1"/>
      <c r="S194" s="1"/>
      <c r="T194" s="1"/>
      <c r="U194" s="1"/>
      <c r="V194" s="1"/>
      <c r="W194" s="1"/>
      <c r="X194" s="1"/>
      <c r="Y194" s="1"/>
      <c r="Z194" s="1"/>
    </row>
    <row r="195" ht="15.0" customHeight="1">
      <c r="A195" s="1"/>
      <c r="B195" s="1"/>
      <c r="C195" s="1"/>
      <c r="D195" s="1"/>
      <c r="E195" s="1"/>
      <c r="F195" s="1"/>
      <c r="G195" s="41"/>
      <c r="H195" s="1"/>
      <c r="I195" s="1"/>
      <c r="J195" s="1"/>
      <c r="K195" s="1"/>
      <c r="L195" s="1"/>
      <c r="M195" s="1"/>
      <c r="N195" s="1"/>
      <c r="O195" s="1"/>
      <c r="P195" s="1"/>
      <c r="Q195" s="1"/>
      <c r="R195" s="1"/>
      <c r="S195" s="1"/>
      <c r="T195" s="1"/>
      <c r="U195" s="1"/>
      <c r="V195" s="1"/>
      <c r="W195" s="1"/>
      <c r="X195" s="1"/>
      <c r="Y195" s="1"/>
      <c r="Z195" s="1"/>
    </row>
    <row r="196" ht="15.0" customHeight="1">
      <c r="A196" s="1"/>
      <c r="B196" s="1"/>
      <c r="C196" s="1"/>
      <c r="D196" s="1"/>
      <c r="E196" s="1"/>
      <c r="F196" s="1"/>
      <c r="G196" s="41"/>
      <c r="H196" s="1"/>
      <c r="I196" s="1"/>
      <c r="J196" s="1"/>
      <c r="K196" s="1"/>
      <c r="L196" s="1"/>
      <c r="M196" s="1"/>
      <c r="N196" s="1"/>
      <c r="O196" s="1"/>
      <c r="P196" s="1"/>
      <c r="Q196" s="1"/>
      <c r="R196" s="1"/>
      <c r="S196" s="1"/>
      <c r="T196" s="1"/>
      <c r="U196" s="1"/>
      <c r="V196" s="1"/>
      <c r="W196" s="1"/>
      <c r="X196" s="1"/>
      <c r="Y196" s="1"/>
      <c r="Z196" s="1"/>
    </row>
    <row r="197" ht="15.0" customHeight="1">
      <c r="A197" s="1"/>
      <c r="B197" s="1"/>
      <c r="C197" s="1"/>
      <c r="D197" s="1"/>
      <c r="E197" s="1"/>
      <c r="F197" s="1"/>
      <c r="G197" s="41"/>
      <c r="H197" s="1"/>
      <c r="I197" s="1"/>
      <c r="J197" s="1"/>
      <c r="K197" s="1"/>
      <c r="L197" s="1"/>
      <c r="M197" s="1"/>
      <c r="N197" s="1"/>
      <c r="O197" s="1"/>
      <c r="P197" s="1"/>
      <c r="Q197" s="1"/>
      <c r="R197" s="1"/>
      <c r="S197" s="1"/>
      <c r="T197" s="1"/>
      <c r="U197" s="1"/>
      <c r="V197" s="1"/>
      <c r="W197" s="1"/>
      <c r="X197" s="1"/>
      <c r="Y197" s="1"/>
      <c r="Z197" s="1"/>
    </row>
    <row r="198" ht="15.0" customHeight="1">
      <c r="A198" s="1"/>
      <c r="B198" s="1"/>
      <c r="C198" s="1"/>
      <c r="D198" s="1"/>
      <c r="E198" s="1"/>
      <c r="F198" s="1"/>
      <c r="G198" s="41"/>
      <c r="H198" s="1"/>
      <c r="I198" s="1"/>
      <c r="J198" s="1"/>
      <c r="K198" s="1"/>
      <c r="L198" s="1"/>
      <c r="M198" s="1"/>
      <c r="N198" s="1"/>
      <c r="O198" s="1"/>
      <c r="P198" s="1"/>
      <c r="Q198" s="1"/>
      <c r="R198" s="1"/>
      <c r="S198" s="1"/>
      <c r="T198" s="1"/>
      <c r="U198" s="1"/>
      <c r="V198" s="1"/>
      <c r="W198" s="1"/>
      <c r="X198" s="1"/>
      <c r="Y198" s="1"/>
      <c r="Z198" s="1"/>
    </row>
    <row r="199" ht="15.0" customHeight="1">
      <c r="A199" s="1"/>
      <c r="B199" s="1"/>
      <c r="C199" s="1"/>
      <c r="D199" s="1"/>
      <c r="E199" s="1"/>
      <c r="F199" s="1"/>
      <c r="G199" s="41"/>
      <c r="H199" s="1"/>
      <c r="I199" s="1"/>
      <c r="J199" s="1"/>
      <c r="K199" s="1"/>
      <c r="L199" s="1"/>
      <c r="M199" s="1"/>
      <c r="N199" s="1"/>
      <c r="O199" s="1"/>
      <c r="P199" s="1"/>
      <c r="Q199" s="1"/>
      <c r="R199" s="1"/>
      <c r="S199" s="1"/>
      <c r="T199" s="1"/>
      <c r="U199" s="1"/>
      <c r="V199" s="1"/>
      <c r="W199" s="1"/>
      <c r="X199" s="1"/>
      <c r="Y199" s="1"/>
      <c r="Z199" s="1"/>
    </row>
    <row r="200" ht="15.0" customHeight="1">
      <c r="A200" s="1"/>
      <c r="B200" s="1"/>
      <c r="C200" s="1"/>
      <c r="D200" s="1"/>
      <c r="E200" s="1"/>
      <c r="F200" s="1"/>
      <c r="G200" s="4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4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4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4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4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4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4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4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4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4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4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4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4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4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4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4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4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4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4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4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4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4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4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4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4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4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4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4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4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4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4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4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4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4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4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4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4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4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4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4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4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4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4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4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4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4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4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4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4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4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4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4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4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4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4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4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4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4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4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4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4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4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4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4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4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4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4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4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4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4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4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4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4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4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4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4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4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4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4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4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4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4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4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4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4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4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4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4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4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4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4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4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4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4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4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4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41"/>
      <c r="H296" s="1"/>
      <c r="I296" s="1"/>
      <c r="J296" s="1"/>
      <c r="K296" s="1"/>
      <c r="L296" s="1"/>
      <c r="M296" s="1"/>
      <c r="N296" s="1"/>
      <c r="O296" s="1"/>
      <c r="P296" s="1"/>
      <c r="Q296" s="1"/>
      <c r="R296" s="1"/>
      <c r="S296" s="1"/>
      <c r="T296" s="1"/>
      <c r="U296" s="1"/>
      <c r="V296" s="1"/>
      <c r="W296" s="1"/>
      <c r="X296" s="1"/>
      <c r="Y296" s="1"/>
      <c r="Z296" s="1"/>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autoFilter ref="$A$4:$P$81"/>
  <mergeCells count="10">
    <mergeCell ref="A71:P71"/>
    <mergeCell ref="A81:P81"/>
    <mergeCell ref="A87:P87"/>
    <mergeCell ref="A5:P5"/>
    <mergeCell ref="A14:P14"/>
    <mergeCell ref="A25:P25"/>
    <mergeCell ref="A33:P33"/>
    <mergeCell ref="A43:P43"/>
    <mergeCell ref="A53:P53"/>
    <mergeCell ref="A61:P61"/>
  </mergeCells>
  <conditionalFormatting sqref="N5:N96">
    <cfRule type="cellIs" dxfId="5" priority="1" operator="equal">
      <formula>"High"</formula>
    </cfRule>
  </conditionalFormatting>
  <conditionalFormatting sqref="N5:N96">
    <cfRule type="cellIs" dxfId="2" priority="2" operator="equal">
      <formula>"Medium"</formula>
    </cfRule>
  </conditionalFormatting>
  <conditionalFormatting sqref="N5:N96">
    <cfRule type="cellIs" dxfId="3" priority="3" operator="equal">
      <formula>"Low"</formula>
    </cfRule>
  </conditionalFormatting>
  <conditionalFormatting sqref="O5:O96">
    <cfRule type="cellIs" dxfId="6" priority="4" operator="equal">
      <formula>"Non-compliant"</formula>
    </cfRule>
  </conditionalFormatting>
  <conditionalFormatting sqref="O5:O96">
    <cfRule type="cellIs" dxfId="7" priority="5" operator="equal">
      <formula>"Compliant"</formula>
    </cfRule>
  </conditionalFormatting>
  <dataValidations>
    <dataValidation type="list" allowBlank="1" sqref="I6:I13 I15:I24 I26:I32 I34:I42 I44:I52 I54:I60 I62:I70 I72:I80 I82:I86 I88:I96">
      <formula1>"0,1,2,3,4,NA"</formula1>
    </dataValidation>
  </dataValidations>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outlineLevelCol="1"/>
  <cols>
    <col customWidth="1" min="1" max="1" width="7.0"/>
    <col customWidth="1" min="2" max="2" width="11.43"/>
    <col customWidth="1" min="3" max="3" width="46.0"/>
    <col customWidth="1" min="4" max="4" width="28.29"/>
    <col customWidth="1" min="5" max="5" width="13.71"/>
    <col customWidth="1" min="6" max="6" width="26.0"/>
    <col customWidth="1" min="7" max="7" width="13.43"/>
    <col customWidth="1" min="8" max="8" width="12.57"/>
    <col customWidth="1" min="9" max="9" width="16.0"/>
    <col customWidth="1" min="10" max="10" width="30.0"/>
    <col customWidth="1" min="11" max="11" width="28.0"/>
    <col customWidth="1" min="12" max="12" width="30.0"/>
    <col customWidth="1" min="13" max="14" width="15.57"/>
    <col customWidth="1" min="15" max="15" width="16.0"/>
    <col customWidth="1" min="16" max="16" width="24.57"/>
    <col customWidth="1" hidden="1" min="17" max="21" width="7.0" outlineLevel="1"/>
    <col customWidth="1" min="22" max="26" width="8.71"/>
  </cols>
  <sheetData>
    <row r="1" ht="15.75" customHeight="1">
      <c r="A1" s="40" t="s">
        <v>793</v>
      </c>
      <c r="B1" s="1"/>
      <c r="C1" s="1"/>
      <c r="D1" s="1"/>
      <c r="E1" s="1"/>
      <c r="F1" s="1"/>
      <c r="G1" s="1"/>
      <c r="H1" s="1"/>
      <c r="I1" s="1"/>
      <c r="J1" s="1"/>
      <c r="K1" s="1"/>
      <c r="L1" s="1"/>
      <c r="M1" s="1"/>
      <c r="N1" s="1"/>
      <c r="O1" s="1"/>
      <c r="P1" s="1"/>
      <c r="Q1" s="1"/>
      <c r="R1" s="1"/>
      <c r="S1" s="1"/>
      <c r="T1" s="1"/>
      <c r="U1" s="1"/>
      <c r="V1" s="1"/>
      <c r="W1" s="1"/>
      <c r="X1" s="1"/>
      <c r="Y1" s="1"/>
      <c r="Z1" s="1"/>
    </row>
    <row r="2" ht="15.0" customHeight="1">
      <c r="A2" s="42" t="s">
        <v>159</v>
      </c>
      <c r="B2" s="1"/>
      <c r="C2" s="1"/>
      <c r="D2" s="1"/>
      <c r="E2" s="1"/>
      <c r="F2" s="1"/>
      <c r="G2" s="1"/>
      <c r="H2" s="1"/>
      <c r="I2" s="1"/>
      <c r="J2" s="1"/>
      <c r="K2" s="1"/>
      <c r="L2" s="1"/>
      <c r="M2" s="1"/>
      <c r="N2" s="1"/>
      <c r="O2" s="1"/>
      <c r="P2" s="1"/>
      <c r="Q2" s="1"/>
      <c r="R2" s="1"/>
      <c r="S2" s="1"/>
      <c r="T2" s="1"/>
      <c r="U2" s="1"/>
      <c r="V2" s="1"/>
      <c r="W2" s="1"/>
      <c r="X2" s="1"/>
      <c r="Y2" s="1"/>
      <c r="Z2" s="1"/>
    </row>
    <row r="3" ht="15.0" customHeight="1">
      <c r="A3" s="1"/>
      <c r="B3" s="1"/>
      <c r="C3" s="1"/>
      <c r="D3" s="1"/>
      <c r="E3" s="1"/>
      <c r="F3" s="1"/>
      <c r="G3" s="1"/>
      <c r="H3" s="1"/>
      <c r="I3" s="1"/>
      <c r="J3" s="1"/>
      <c r="K3" s="1"/>
      <c r="L3" s="1"/>
      <c r="M3" s="1"/>
      <c r="N3" s="1"/>
      <c r="O3" s="1"/>
      <c r="P3" s="1"/>
      <c r="Q3" s="1"/>
      <c r="R3" s="1"/>
      <c r="S3" s="1"/>
      <c r="T3" s="1"/>
      <c r="U3" s="1"/>
      <c r="V3" s="1"/>
      <c r="W3" s="1"/>
      <c r="X3" s="1"/>
      <c r="Y3" s="1"/>
      <c r="Z3" s="1"/>
    </row>
    <row r="4" ht="31.5" customHeight="1">
      <c r="A4" s="7" t="s">
        <v>160</v>
      </c>
      <c r="B4" s="7" t="s">
        <v>78</v>
      </c>
      <c r="C4" s="7" t="s">
        <v>56</v>
      </c>
      <c r="D4" s="7" t="s">
        <v>161</v>
      </c>
      <c r="E4" s="7" t="s">
        <v>162</v>
      </c>
      <c r="F4" s="7" t="s">
        <v>163</v>
      </c>
      <c r="G4" s="7" t="s">
        <v>164</v>
      </c>
      <c r="H4" s="7" t="s">
        <v>48</v>
      </c>
      <c r="I4" s="7" t="s">
        <v>165</v>
      </c>
      <c r="J4" s="7" t="s">
        <v>57</v>
      </c>
      <c r="K4" s="7" t="s">
        <v>58</v>
      </c>
      <c r="L4" s="7" t="s">
        <v>59</v>
      </c>
      <c r="M4" s="7" t="s">
        <v>46</v>
      </c>
      <c r="N4" s="7" t="s">
        <v>166</v>
      </c>
      <c r="O4" s="7" t="s">
        <v>167</v>
      </c>
      <c r="P4" s="7" t="s">
        <v>168</v>
      </c>
      <c r="Q4" s="43" t="s">
        <v>169</v>
      </c>
      <c r="R4" s="43" t="s">
        <v>170</v>
      </c>
      <c r="S4" s="43" t="s">
        <v>80</v>
      </c>
      <c r="T4" s="43" t="s">
        <v>171</v>
      </c>
      <c r="U4" s="43" t="s">
        <v>172</v>
      </c>
      <c r="V4" s="1"/>
      <c r="W4" s="1"/>
      <c r="X4" s="1"/>
      <c r="Y4" s="1"/>
      <c r="Z4" s="1"/>
    </row>
    <row r="5" ht="15.0" customHeight="1">
      <c r="A5" s="44" t="s">
        <v>794</v>
      </c>
      <c r="B5" s="45"/>
      <c r="C5" s="45"/>
      <c r="D5" s="45"/>
      <c r="E5" s="45"/>
      <c r="F5" s="45"/>
      <c r="G5" s="45"/>
      <c r="H5" s="45"/>
      <c r="I5" s="45"/>
      <c r="J5" s="45"/>
      <c r="K5" s="45"/>
      <c r="L5" s="45"/>
      <c r="M5" s="45"/>
      <c r="N5" s="45"/>
      <c r="O5" s="45"/>
      <c r="P5" s="46"/>
      <c r="Q5" s="1"/>
      <c r="R5" s="1"/>
      <c r="S5" s="1"/>
      <c r="T5" s="1"/>
      <c r="U5" s="1"/>
      <c r="V5" s="1"/>
      <c r="W5" s="1"/>
      <c r="X5" s="1"/>
      <c r="Y5" s="1"/>
      <c r="Z5" s="1"/>
    </row>
    <row r="6" ht="30.75" customHeight="1">
      <c r="A6" s="47" t="s">
        <v>795</v>
      </c>
      <c r="B6" s="47" t="s">
        <v>106</v>
      </c>
      <c r="C6" s="10" t="s">
        <v>796</v>
      </c>
      <c r="D6" s="10" t="s">
        <v>797</v>
      </c>
      <c r="E6" s="47" t="s">
        <v>177</v>
      </c>
      <c r="F6" s="10" t="s">
        <v>798</v>
      </c>
      <c r="G6" s="47" t="s">
        <v>179</v>
      </c>
      <c r="H6" s="47">
        <v>3.0</v>
      </c>
      <c r="I6" s="17">
        <v>2.0</v>
      </c>
      <c r="J6" s="16" t="s">
        <v>799</v>
      </c>
      <c r="K6" s="16" t="s">
        <v>800</v>
      </c>
      <c r="L6" s="16" t="s">
        <v>801</v>
      </c>
      <c r="M6" s="48">
        <f t="shared" ref="M6:M10" si="1">IF(ISNUMBER(I6),(4-I6)*H6*IF(E6="M",1.5,1),"")</f>
        <v>9</v>
      </c>
      <c r="N6" s="49" t="str">
        <f t="shared" ref="N6:N10" si="2">IF(M6="","",IF(M6&gt;=9,"High",IF(M6&gt;=4,"Medium","Low")))</f>
        <v>High</v>
      </c>
      <c r="O6" s="49" t="str">
        <f t="shared" ref="O6:O10" si="3">IF(NOT(ISNUMBER(I6)),IF(I6="NA","N/A","Not scored"),IF(E6="M",IF(I6&gt;=3,"Compliant","Non-compliant"),IF(I6&gt;=3,"Meets GP","Below GP")))</f>
        <v>Non-compliant</v>
      </c>
      <c r="P6" s="10" t="s">
        <v>802</v>
      </c>
      <c r="Q6" s="49">
        <f t="shared" ref="Q6:Q10" si="4">IF(ISNUMBER(I6),I6*H6,0)</f>
        <v>6</v>
      </c>
      <c r="R6" s="49">
        <f t="shared" ref="R6:R10" si="5">IF(ISNUMBER(I6),4*H6,0)</f>
        <v>12</v>
      </c>
      <c r="S6" s="49">
        <f t="shared" ref="S6:S10" si="6">IF(ISNUMBER(I6),1,0)</f>
        <v>1</v>
      </c>
      <c r="T6" s="49">
        <f t="shared" ref="T6:T10" si="7">IF(AND(E6="M",ISNUMBER(I6)),1,0)</f>
        <v>1</v>
      </c>
      <c r="U6" s="49">
        <f t="shared" ref="U6:U10" si="8">IF(AND(E6="M",ISNUMBER(I6)),IF(I6&gt;=3,1,0),0)</f>
        <v>0</v>
      </c>
      <c r="V6" s="1"/>
      <c r="W6" s="1"/>
      <c r="X6" s="1"/>
      <c r="Y6" s="1"/>
      <c r="Z6" s="1"/>
    </row>
    <row r="7" ht="55.5" customHeight="1">
      <c r="A7" s="47" t="s">
        <v>803</v>
      </c>
      <c r="B7" s="47" t="s">
        <v>106</v>
      </c>
      <c r="C7" s="10" t="s">
        <v>804</v>
      </c>
      <c r="D7" s="10" t="s">
        <v>805</v>
      </c>
      <c r="E7" s="47" t="s">
        <v>177</v>
      </c>
      <c r="F7" s="10" t="s">
        <v>806</v>
      </c>
      <c r="G7" s="47" t="s">
        <v>179</v>
      </c>
      <c r="H7" s="47">
        <v>3.0</v>
      </c>
      <c r="I7" s="17">
        <v>2.0</v>
      </c>
      <c r="J7" s="16" t="inlineStr">
        <is>
          <t xml:space="preserve">DR: activation SOP (field note) and RDRRMC8 Res. 12-006 define White/Blue/Red; Blue = at least 50% of resources ready. RDRRMOC SOPG 2022 (OCD VIII) sets White, Blue and Red alerts with raising and downgrading rules for the regional OpCen.</t>
        </is>
      </c>
      <c r="K7" s="16" t="s">
        <v>808</v>
      </c>
      <c r="L7" s="16" t="inlineStr">
        <is>
          <t xml:space="preserve">Write the activation matrix using NDRRMC Memo 131 s.2018 triggers (9.2.1) and standard alert codes, with the SID posture (IRR Rule IV Sec. 1). Use the RDRRMOC SOPG 2022 alert model (White/Blue/Red; Standby/Alpha/Bravo/Charlie protocols) as the template.</t>
        </is>
      </c>
      <c r="M7" s="48">
        <f t="shared" si="1"/>
        <v>9</v>
      </c>
      <c r="N7" s="49" t="str">
        <f t="shared" si="2"/>
        <v>High</v>
      </c>
      <c r="O7" s="49" t="str">
        <f t="shared" si="3"/>
        <v>Non-compliant</v>
      </c>
      <c r="P7" s="10" t="s">
        <v>519</v>
      </c>
      <c r="Q7" s="49">
        <f t="shared" si="4"/>
        <v>6</v>
      </c>
      <c r="R7" s="49">
        <f t="shared" si="5"/>
        <v>12</v>
      </c>
      <c r="S7" s="49">
        <f t="shared" si="6"/>
        <v>1</v>
      </c>
      <c r="T7" s="49">
        <f t="shared" si="7"/>
        <v>1</v>
      </c>
      <c r="U7" s="49">
        <f t="shared" si="8"/>
        <v>0</v>
      </c>
      <c r="V7" s="1"/>
      <c r="W7" s="1"/>
      <c r="X7" s="1"/>
      <c r="Y7" s="1"/>
      <c r="Z7" s="1"/>
    </row>
    <row r="8" ht="30.75" customHeight="1">
      <c r="A8" s="47" t="s">
        <v>810</v>
      </c>
      <c r="B8" s="47" t="s">
        <v>106</v>
      </c>
      <c r="C8" s="10" t="s">
        <v>811</v>
      </c>
      <c r="D8" s="10" t="s">
        <v>812</v>
      </c>
      <c r="E8" s="47" t="s">
        <v>177</v>
      </c>
      <c r="F8" s="10" t="s">
        <v>813</v>
      </c>
      <c r="G8" s="47" t="s">
        <v>196</v>
      </c>
      <c r="H8" s="47">
        <v>3.0</v>
      </c>
      <c r="I8" s="17">
        <v>2.0</v>
      </c>
      <c r="J8" s="16" t="s">
        <v>814</v>
      </c>
      <c r="K8" s="16" t="s">
        <v>815</v>
      </c>
      <c r="L8" s="16" t="inlineStr">
        <is>
          <t xml:space="preserve">Add escalation/de-escalation/deactivation steps and authority (NDRRMC Memo 131 s.2018 deactivation triggers; RDRRMOC SOPG 2022 raising and downgrading rules) to EOC Manual Ch.2.</t>
        </is>
      </c>
      <c r="M8" s="48">
        <f t="shared" si="1"/>
        <v>9</v>
      </c>
      <c r="N8" s="49" t="str">
        <f t="shared" si="2"/>
        <v>High</v>
      </c>
      <c r="O8" s="49" t="str">
        <f t="shared" si="3"/>
        <v>Non-compliant</v>
      </c>
      <c r="P8" s="10" t="s">
        <v>668</v>
      </c>
      <c r="Q8" s="49">
        <f t="shared" si="4"/>
        <v>6</v>
      </c>
      <c r="R8" s="49">
        <f t="shared" si="5"/>
        <v>12</v>
      </c>
      <c r="S8" s="49">
        <f t="shared" si="6"/>
        <v>1</v>
      </c>
      <c r="T8" s="49">
        <f t="shared" si="7"/>
        <v>1</v>
      </c>
      <c r="U8" s="49">
        <f t="shared" si="8"/>
        <v>0</v>
      </c>
      <c r="V8" s="1"/>
      <c r="W8" s="1"/>
      <c r="X8" s="1"/>
      <c r="Y8" s="1"/>
      <c r="Z8" s="1"/>
    </row>
    <row r="9" ht="43.5" customHeight="1">
      <c r="A9" s="47" t="s">
        <v>817</v>
      </c>
      <c r="B9" s="47" t="s">
        <v>106</v>
      </c>
      <c r="C9" s="10" t="s">
        <v>818</v>
      </c>
      <c r="D9" s="10" t="s">
        <v>812</v>
      </c>
      <c r="E9" s="47" t="s">
        <v>177</v>
      </c>
      <c r="F9" s="10" t="s">
        <v>819</v>
      </c>
      <c r="G9" s="47" t="s">
        <v>179</v>
      </c>
      <c r="H9" s="47">
        <v>2.0</v>
      </c>
      <c r="I9" s="17">
        <v>1.0</v>
      </c>
      <c r="J9" s="16" t="s">
        <v>820</v>
      </c>
      <c r="K9" s="16" t="s">
        <v>821</v>
      </c>
      <c r="L9" s="16" t="s">
        <v>822</v>
      </c>
      <c r="M9" s="48">
        <f t="shared" si="1"/>
        <v>9</v>
      </c>
      <c r="N9" s="49" t="str">
        <f t="shared" si="2"/>
        <v>High</v>
      </c>
      <c r="O9" s="49" t="str">
        <f t="shared" si="3"/>
        <v>Non-compliant</v>
      </c>
      <c r="P9" s="10" t="s">
        <v>668</v>
      </c>
      <c r="Q9" s="49">
        <f t="shared" si="4"/>
        <v>2</v>
      </c>
      <c r="R9" s="49">
        <f t="shared" si="5"/>
        <v>8</v>
      </c>
      <c r="S9" s="49">
        <f t="shared" si="6"/>
        <v>1</v>
      </c>
      <c r="T9" s="49">
        <f t="shared" si="7"/>
        <v>1</v>
      </c>
      <c r="U9" s="49">
        <f t="shared" si="8"/>
        <v>0</v>
      </c>
      <c r="V9" s="1"/>
      <c r="W9" s="1"/>
      <c r="X9" s="1"/>
      <c r="Y9" s="1"/>
      <c r="Z9" s="1"/>
    </row>
    <row r="10" ht="30.75" customHeight="1">
      <c r="A10" s="47" t="s">
        <v>823</v>
      </c>
      <c r="B10" s="47" t="s">
        <v>106</v>
      </c>
      <c r="C10" s="10" t="s">
        <v>824</v>
      </c>
      <c r="D10" s="10" t="s">
        <v>812</v>
      </c>
      <c r="E10" s="47" t="s">
        <v>177</v>
      </c>
      <c r="F10" s="10" t="s">
        <v>825</v>
      </c>
      <c r="G10" s="47" t="s">
        <v>196</v>
      </c>
      <c r="H10" s="47">
        <v>2.0</v>
      </c>
      <c r="I10" s="17">
        <v>2.0</v>
      </c>
      <c r="J10" s="16" t="s">
        <v>826</v>
      </c>
      <c r="K10" s="16" t="s">
        <v>827</v>
      </c>
      <c r="L10" s="16" t="s">
        <v>828</v>
      </c>
      <c r="M10" s="48">
        <f t="shared" si="1"/>
        <v>6</v>
      </c>
      <c r="N10" s="49" t="str">
        <f t="shared" si="2"/>
        <v>Medium</v>
      </c>
      <c r="O10" s="49" t="str">
        <f t="shared" si="3"/>
        <v>Non-compliant</v>
      </c>
      <c r="P10" s="10" t="s">
        <v>668</v>
      </c>
      <c r="Q10" s="49">
        <f t="shared" si="4"/>
        <v>4</v>
      </c>
      <c r="R10" s="49">
        <f t="shared" si="5"/>
        <v>8</v>
      </c>
      <c r="S10" s="49">
        <f t="shared" si="6"/>
        <v>1</v>
      </c>
      <c r="T10" s="49">
        <f t="shared" si="7"/>
        <v>1</v>
      </c>
      <c r="U10" s="49">
        <f t="shared" si="8"/>
        <v>0</v>
      </c>
      <c r="V10" s="1"/>
      <c r="W10" s="1"/>
      <c r="X10" s="1"/>
      <c r="Y10" s="1"/>
      <c r="Z10" s="1"/>
    </row>
    <row r="11" ht="15.0" customHeight="1">
      <c r="A11" s="44" t="s">
        <v>829</v>
      </c>
      <c r="B11" s="45"/>
      <c r="C11" s="45"/>
      <c r="D11" s="45"/>
      <c r="E11" s="45"/>
      <c r="F11" s="45"/>
      <c r="G11" s="45"/>
      <c r="H11" s="45"/>
      <c r="I11" s="45"/>
      <c r="J11" s="45"/>
      <c r="K11" s="45"/>
      <c r="L11" s="45"/>
      <c r="M11" s="45"/>
      <c r="N11" s="45"/>
      <c r="O11" s="45"/>
      <c r="P11" s="46"/>
      <c r="Q11" s="1"/>
      <c r="R11" s="1"/>
      <c r="S11" s="1"/>
      <c r="T11" s="1"/>
      <c r="U11" s="1"/>
      <c r="V11" s="1"/>
      <c r="W11" s="1"/>
      <c r="X11" s="1"/>
      <c r="Y11" s="1"/>
      <c r="Z11" s="1"/>
    </row>
    <row r="12" ht="30.75" customHeight="1">
      <c r="A12" s="47" t="s">
        <v>830</v>
      </c>
      <c r="B12" s="47" t="s">
        <v>108</v>
      </c>
      <c r="C12" s="10" t="s">
        <v>831</v>
      </c>
      <c r="D12" s="10" t="s">
        <v>832</v>
      </c>
      <c r="E12" s="47" t="s">
        <v>177</v>
      </c>
      <c r="F12" s="10" t="s">
        <v>833</v>
      </c>
      <c r="G12" s="47" t="s">
        <v>591</v>
      </c>
      <c r="H12" s="47">
        <v>3.0</v>
      </c>
      <c r="I12" s="50">
        <v>1</v>
      </c>
      <c r="J12" s="16" t="inlineStr">
        <is>
          <t xml:space="preserve">DR: the EOC site is not located in the 10-Yr Plan, CLUP or CDRA. CDRA and GeoRiskPH flood, landslide and storm-surge maps are available for an overlay; CDRA rates the city highly susceptible to flood and storm surge at the head of Ormoc Bay.</t>
        </is>
      </c>
      <c r="K12" s="16" t="inlineStr">
        <is>
          <t xml:space="preserve">Provisional desk score pending site inspection: no hazard overlay of the EOC site has been done, so compliance cannot be shown.</t>
        </is>
      </c>
      <c r="L12" s="16" t="inlineStr">
        <is>
          <t xml:space="preserve">Overlay the primary and alternate EOC sites on CDRA/GeoRiskPH flood, landslide, storm-surge, liquefaction and tsunami maps; record results on the Site Selection and Mitigation sheets of the OCD EOC Capability Assessment Checklist; if a site is in a high-hazard zone, record mitigation (elevated floor, relocation trigger).</t>
        </is>
      </c>
      <c r="M12" s="48" t="str">
        <f t="shared" ref="M12:M18" si="9">IF(ISNUMBER(I12),(4-I12)*H12*IF(E12="M",1.5,1),"")</f>
        <v/>
      </c>
      <c r="N12" s="49" t="str">
        <f t="shared" ref="N12:N18" si="10">IF(M12="","",IF(M12&gt;=9,"High",IF(M12&gt;=4,"Medium","Low")))</f>
        <v/>
      </c>
      <c r="O12" s="49" t="str">
        <f t="shared" ref="O12:O18" si="11">IF(NOT(ISNUMBER(I12)),IF(I12="NA","N/A","Not scored"),IF(E12="M",IF(I12&gt;=3,"Compliant","Non-compliant"),IF(I12&gt;=3,"Meets GP","Below GP")))</f>
        <v>Not scored</v>
      </c>
      <c r="P12" s="10" t="s">
        <v>837</v>
      </c>
      <c r="Q12" s="49">
        <f t="shared" ref="Q12:Q18" si="12">IF(ISNUMBER(I12),I12*H12,0)</f>
        <v>0</v>
      </c>
      <c r="R12" s="49">
        <f t="shared" ref="R12:R18" si="13">IF(ISNUMBER(I12),4*H12,0)</f>
        <v>0</v>
      </c>
      <c r="S12" s="49">
        <f t="shared" ref="S12:S18" si="14">IF(ISNUMBER(I12),1,0)</f>
        <v>0</v>
      </c>
      <c r="T12" s="49">
        <f t="shared" ref="T12:T18" si="15">IF(AND(E12="M",ISNUMBER(I12)),1,0)</f>
        <v>0</v>
      </c>
      <c r="U12" s="49">
        <f t="shared" ref="U12:U18" si="16">IF(AND(E12="M",ISNUMBER(I12)),IF(I12&gt;=3,1,0),0)</f>
        <v>0</v>
      </c>
      <c r="V12" s="1"/>
      <c r="W12" s="1"/>
      <c r="X12" s="1"/>
      <c r="Y12" s="1"/>
      <c r="Z12" s="1"/>
    </row>
    <row r="13" ht="30.75" customHeight="1">
      <c r="A13" s="47" t="s">
        <v>838</v>
      </c>
      <c r="B13" s="47" t="s">
        <v>108</v>
      </c>
      <c r="C13" s="10" t="s">
        <v>839</v>
      </c>
      <c r="D13" s="10" t="s">
        <v>840</v>
      </c>
      <c r="E13" s="47" t="s">
        <v>177</v>
      </c>
      <c r="F13" s="10" t="s">
        <v>841</v>
      </c>
      <c r="G13" s="47" t="s">
        <v>273</v>
      </c>
      <c r="H13" s="47">
        <v>3.0</v>
      </c>
      <c r="I13" s="17">
        <v>1</v>
      </c>
      <c r="J13" s="16" t="inlineStr">
        <is>
          <t xml:space="preserve">DR: no structural assessment or occupancy permit for the EOC building sighted. 10-Yr Plan records city hall retrofitting under the 2016-2020 DRRM Plan, but does not say whether the EOC is in that building. The ZO sets a 5-m easement on the Marina Fault trace.</t>
        </is>
      </c>
      <c r="K13" s="16" t="inlineStr">
        <is>
          <t xml:space="preserve">Provisional desk score pending Building Official records.</t>
        </is>
      </c>
      <c r="L13" s="16" t="inlineStr">
        <is>
          <t xml:space="preserve">Ask the Building Official for a structural and seismic assessment of the EOC building (NBCP, NSCP) and its occupancy certificate; record results on the Building Design sheet of the EOC Capability Checklist; schedule retrofit if needed (see C2.1).</t>
        </is>
      </c>
      <c r="M13" s="48" t="str">
        <f t="shared" si="9"/>
        <v/>
      </c>
      <c r="N13" s="49" t="str">
        <f t="shared" si="10"/>
        <v/>
      </c>
      <c r="O13" s="49" t="str">
        <f t="shared" si="11"/>
        <v>Not scored</v>
      </c>
      <c r="P13" s="10" t="s">
        <v>845</v>
      </c>
      <c r="Q13" s="49">
        <f t="shared" si="12"/>
        <v>0</v>
      </c>
      <c r="R13" s="49">
        <f t="shared" si="13"/>
        <v>0</v>
      </c>
      <c r="S13" s="49">
        <f t="shared" si="14"/>
        <v>0</v>
      </c>
      <c r="T13" s="49">
        <f t="shared" si="15"/>
        <v>0</v>
      </c>
      <c r="U13" s="49">
        <f t="shared" si="16"/>
        <v>0</v>
      </c>
      <c r="V13" s="1"/>
      <c r="W13" s="1"/>
      <c r="X13" s="1"/>
      <c r="Y13" s="1"/>
      <c r="Z13" s="1"/>
    </row>
    <row r="14" ht="30.75" customHeight="1">
      <c r="A14" s="47" t="s">
        <v>846</v>
      </c>
      <c r="B14" s="47" t="s">
        <v>108</v>
      </c>
      <c r="C14" s="10" t="s">
        <v>847</v>
      </c>
      <c r="D14" s="10" t="s">
        <v>848</v>
      </c>
      <c r="E14" s="47" t="s">
        <v>177</v>
      </c>
      <c r="F14" s="10" t="s">
        <v>849</v>
      </c>
      <c r="G14" s="47" t="s">
        <v>850</v>
      </c>
      <c r="H14" s="47">
        <v>3.0</v>
      </c>
      <c r="I14" s="17">
        <v>1</v>
      </c>
      <c r="J14" s="16" t="inlineStr">
        <is>
          <t xml:space="preserve">DR: 10-Yr Plan OpCen Program funds fuel, preventive maintenance, supplies and telco; no generator or UPS capacity, test log or 72-hour fuel stock record sighted.</t>
        </is>
      </c>
      <c r="K14" s="16" t="inlineStr">
        <is>
          <t xml:space="preserve">Provisional desk score pending OBS/TST: backup power capability not evidenced.</t>
        </is>
      </c>
      <c r="L14" s="16" t="inlineStr">
        <is>
          <t xml:space="preserve">Inventory the generator (kVA) and UPS; test the generator at full load monthly with a log; keep 72-hour fuel on site and a fuel supply contract for longer events (EOC Checklist, SOP and Supplies sheets).</t>
        </is>
      </c>
      <c r="M14" s="48" t="str">
        <f t="shared" si="9"/>
        <v/>
      </c>
      <c r="N14" s="49" t="str">
        <f t="shared" si="10"/>
        <v/>
      </c>
      <c r="O14" s="49" t="str">
        <f t="shared" si="11"/>
        <v>Not scored</v>
      </c>
      <c r="P14" s="10" t="s">
        <v>845</v>
      </c>
      <c r="Q14" s="49">
        <f t="shared" si="12"/>
        <v>0</v>
      </c>
      <c r="R14" s="49">
        <f t="shared" si="13"/>
        <v>0</v>
      </c>
      <c r="S14" s="49">
        <f t="shared" si="14"/>
        <v>0</v>
      </c>
      <c r="T14" s="49">
        <f t="shared" si="15"/>
        <v>0</v>
      </c>
      <c r="U14" s="49">
        <f t="shared" si="16"/>
        <v>0</v>
      </c>
      <c r="V14" s="1"/>
      <c r="W14" s="1"/>
      <c r="X14" s="1"/>
      <c r="Y14" s="1"/>
      <c r="Z14" s="1"/>
    </row>
    <row r="15" ht="30.75" customHeight="1">
      <c r="A15" s="47" t="s">
        <v>854</v>
      </c>
      <c r="B15" s="47" t="s">
        <v>108</v>
      </c>
      <c r="C15" s="10" t="s">
        <v>855</v>
      </c>
      <c r="D15" s="10" t="s">
        <v>812</v>
      </c>
      <c r="E15" s="47" t="s">
        <v>211</v>
      </c>
      <c r="F15" s="10" t="s">
        <v>856</v>
      </c>
      <c r="G15" s="47" t="s">
        <v>857</v>
      </c>
      <c r="H15" s="47">
        <v>2.0</v>
      </c>
      <c r="I15" s="17">
        <v>1</v>
      </c>
      <c r="J15" s="16" t="inlineStr">
        <is>
          <t xml:space="preserve">DR: 10-Yr Plan says the City has a fully functional 24/7 EOC with trained personnel; no floor plan or room list sighted.</t>
        </is>
      </c>
      <c r="K15" s="16" t="inlineStr">
        <is>
          <t xml:space="preserve">Provisional desk score pending OBS: operations floor, decision room, comms room, rest and sanitation spaces not confirmed.</t>
        </is>
      </c>
      <c r="L15" s="16" t="inlineStr">
        <is>
          <t xml:space="preserve">Draw the EOC floor plan and check it against the Room Design and Personnel Space sheets of the EOC Capability Checklist (operations room, comms room, briefing room, rest, food, sanitation); list fixes in an EOC Manual annex.</t>
        </is>
      </c>
      <c r="M15" s="48" t="str">
        <f t="shared" si="9"/>
        <v/>
      </c>
      <c r="N15" s="49" t="str">
        <f t="shared" si="10"/>
        <v/>
      </c>
      <c r="O15" s="49" t="str">
        <f t="shared" si="11"/>
        <v>Not scored</v>
      </c>
      <c r="P15" s="10" t="s">
        <v>845</v>
      </c>
      <c r="Q15" s="49">
        <f t="shared" si="12"/>
        <v>0</v>
      </c>
      <c r="R15" s="49">
        <f t="shared" si="13"/>
        <v>0</v>
      </c>
      <c r="S15" s="49">
        <f t="shared" si="14"/>
        <v>0</v>
      </c>
      <c r="T15" s="49">
        <f t="shared" si="15"/>
        <v>0</v>
      </c>
      <c r="U15" s="49">
        <f t="shared" si="16"/>
        <v>0</v>
      </c>
      <c r="V15" s="1"/>
      <c r="W15" s="1"/>
      <c r="X15" s="1"/>
      <c r="Y15" s="1"/>
      <c r="Z15" s="1"/>
    </row>
    <row r="16" ht="30.75" customHeight="1">
      <c r="A16" s="47" t="s">
        <v>861</v>
      </c>
      <c r="B16" s="47" t="s">
        <v>108</v>
      </c>
      <c r="C16" s="10" t="s">
        <v>862</v>
      </c>
      <c r="D16" s="10" t="s">
        <v>863</v>
      </c>
      <c r="E16" s="47" t="s">
        <v>211</v>
      </c>
      <c r="F16" s="10" t="s">
        <v>864</v>
      </c>
      <c r="G16" s="47" t="s">
        <v>857</v>
      </c>
      <c r="H16" s="47">
        <v>1.0</v>
      </c>
      <c r="I16" s="17">
        <v>1</v>
      </c>
      <c r="J16" s="16" t="inlineStr">
        <is>
          <t xml:space="preserve">DR: OpCen Program budgets meals support (10-Yr Plan); no 72-hour stock of water, food or sanitation supplies for EOC staff recorded.</t>
        </is>
      </c>
      <c r="K16" s="16" t="inlineStr">
        <is>
          <t xml:space="preserve">Provisional desk score pending OBS.</t>
        </is>
      </c>
      <c r="L16" s="16" t="inlineStr">
        <is>
          <t xml:space="preserve">Stock and log 72-hour water, food, hygiene and medical supplies for the full activated EOC roster; check them quarterly with the warehouse inventory (A7.5).</t>
        </is>
      </c>
      <c r="M16" s="48" t="str">
        <f t="shared" si="9"/>
        <v/>
      </c>
      <c r="N16" s="49" t="str">
        <f t="shared" si="10"/>
        <v/>
      </c>
      <c r="O16" s="49" t="str">
        <f t="shared" si="11"/>
        <v>Not scored</v>
      </c>
      <c r="P16" s="10" t="s">
        <v>845</v>
      </c>
      <c r="Q16" s="49">
        <f t="shared" si="12"/>
        <v>0</v>
      </c>
      <c r="R16" s="49">
        <f t="shared" si="13"/>
        <v>0</v>
      </c>
      <c r="S16" s="49">
        <f t="shared" si="14"/>
        <v>0</v>
      </c>
      <c r="T16" s="49">
        <f t="shared" si="15"/>
        <v>0</v>
      </c>
      <c r="U16" s="49">
        <f t="shared" si="16"/>
        <v>0</v>
      </c>
      <c r="V16" s="1"/>
      <c r="W16" s="1"/>
      <c r="X16" s="1"/>
      <c r="Y16" s="1"/>
      <c r="Z16" s="1"/>
    </row>
    <row r="17" ht="30.75" customHeight="1">
      <c r="A17" s="47" t="s">
        <v>868</v>
      </c>
      <c r="B17" s="47" t="s">
        <v>108</v>
      </c>
      <c r="C17" s="10" t="s">
        <v>869</v>
      </c>
      <c r="D17" s="10" t="s">
        <v>870</v>
      </c>
      <c r="E17" s="47" t="s">
        <v>211</v>
      </c>
      <c r="F17" s="10" t="s">
        <v>871</v>
      </c>
      <c r="G17" s="47" t="s">
        <v>857</v>
      </c>
      <c r="H17" s="47">
        <v>1.0</v>
      </c>
      <c r="I17" s="17">
        <v>1</v>
      </c>
      <c r="J17" s="16" t="inlineStr">
        <is>
          <t xml:space="preserve">DR: CCTV in the 10-Yr Plan is for hazard monitoring (OpCen integrated EWS); no EOC access-control rule, ID system or visitor log sighted.</t>
        </is>
      </c>
      <c r="K17" s="16" t="inlineStr">
        <is>
          <t xml:space="preserve">Provisional desk score pending OBS.</t>
        </is>
      </c>
      <c r="L17" s="16" t="inlineStr">
        <is>
          <t xml:space="preserve">Write access rules in the EOC Manual: staff IDs, visitor log, badges for agency liaisons, restricted areas (comms, servers); add CCTV at entrances when the OpCen CCTV system is procured.</t>
        </is>
      </c>
      <c r="M17" s="48" t="str">
        <f t="shared" si="9"/>
        <v/>
      </c>
      <c r="N17" s="49" t="str">
        <f t="shared" si="10"/>
        <v/>
      </c>
      <c r="O17" s="49" t="str">
        <f t="shared" si="11"/>
        <v>Not scored</v>
      </c>
      <c r="P17" s="10" t="s">
        <v>845</v>
      </c>
      <c r="Q17" s="49">
        <f t="shared" si="12"/>
        <v>0</v>
      </c>
      <c r="R17" s="49">
        <f t="shared" si="13"/>
        <v>0</v>
      </c>
      <c r="S17" s="49">
        <f t="shared" si="14"/>
        <v>0</v>
      </c>
      <c r="T17" s="49">
        <f t="shared" si="15"/>
        <v>0</v>
      </c>
      <c r="U17" s="49">
        <f t="shared" si="16"/>
        <v>0</v>
      </c>
      <c r="V17" s="1"/>
      <c r="W17" s="1"/>
      <c r="X17" s="1"/>
      <c r="Y17" s="1"/>
      <c r="Z17" s="1"/>
    </row>
    <row r="18" ht="30.75" customHeight="1">
      <c r="A18" s="47" t="s">
        <v>874</v>
      </c>
      <c r="B18" s="47" t="s">
        <v>108</v>
      </c>
      <c r="C18" s="10" t="s">
        <v>875</v>
      </c>
      <c r="D18" s="10" t="s">
        <v>876</v>
      </c>
      <c r="E18" s="47" t="s">
        <v>177</v>
      </c>
      <c r="F18" s="10" t="s">
        <v>877</v>
      </c>
      <c r="G18" s="47" t="s">
        <v>273</v>
      </c>
      <c r="H18" s="47">
        <v>2.0</v>
      </c>
      <c r="I18" s="17">
        <v>0</v>
      </c>
      <c r="J18" s="16" t="inlineStr">
        <is>
          <t xml:space="preserve">DR: no alternate EOC designated in the documents reviewed; PSCP not completed (A3.4). NDRRMC Memo 131 s.2018 requires an alternate EOC based on the CP/PSCP; CDRA MDA 7 recommends stronger EOC continuity arrangements.</t>
        </is>
      </c>
      <c r="K18" s="16" t="inlineStr">
        <is>
          <t xml:space="preserve">No alternate EOC, relocation trigger or relocation procedure. Mandatory gap.</t>
        </is>
      </c>
      <c r="L18" s="16" t="inlineStr">
        <is>
          <t xml:space="preserve">Designate an alternate EOC outside the primary site's hazard zones through the PSCP; equip it with a go-kit (radios, laptops, forms, power); write relocation triggers and steps; drill relocation once a year.</t>
        </is>
      </c>
      <c r="M18" s="48" t="str">
        <f t="shared" si="9"/>
        <v/>
      </c>
      <c r="N18" s="49" t="str">
        <f t="shared" si="10"/>
        <v/>
      </c>
      <c r="O18" s="49" t="str">
        <f t="shared" si="11"/>
        <v>Not scored</v>
      </c>
      <c r="P18" s="10" t="s">
        <v>881</v>
      </c>
      <c r="Q18" s="49">
        <f t="shared" si="12"/>
        <v>0</v>
      </c>
      <c r="R18" s="49">
        <f t="shared" si="13"/>
        <v>0</v>
      </c>
      <c r="S18" s="49">
        <f t="shared" si="14"/>
        <v>0</v>
      </c>
      <c r="T18" s="49">
        <f t="shared" si="15"/>
        <v>0</v>
      </c>
      <c r="U18" s="49">
        <f t="shared" si="16"/>
        <v>0</v>
      </c>
      <c r="V18" s="1"/>
      <c r="W18" s="1"/>
      <c r="X18" s="1"/>
      <c r="Y18" s="1"/>
      <c r="Z18" s="1"/>
    </row>
    <row r="19" ht="15.0" customHeight="1">
      <c r="A19" s="44" t="s">
        <v>882</v>
      </c>
      <c r="B19" s="45"/>
      <c r="C19" s="45"/>
      <c r="D19" s="45"/>
      <c r="E19" s="45"/>
      <c r="F19" s="45"/>
      <c r="G19" s="45"/>
      <c r="H19" s="45"/>
      <c r="I19" s="45"/>
      <c r="J19" s="45"/>
      <c r="K19" s="45"/>
      <c r="L19" s="45"/>
      <c r="M19" s="45"/>
      <c r="N19" s="45"/>
      <c r="O19" s="45"/>
      <c r="P19" s="46"/>
      <c r="Q19" s="1"/>
      <c r="R19" s="1"/>
      <c r="S19" s="1"/>
      <c r="T19" s="1"/>
      <c r="U19" s="1"/>
      <c r="V19" s="1"/>
      <c r="W19" s="1"/>
      <c r="X19" s="1"/>
      <c r="Y19" s="1"/>
      <c r="Z19" s="1"/>
    </row>
    <row r="20" ht="43.5" customHeight="1">
      <c r="A20" s="47" t="s">
        <v>883</v>
      </c>
      <c r="B20" s="47" t="s">
        <v>110</v>
      </c>
      <c r="C20" s="10" t="s">
        <v>884</v>
      </c>
      <c r="D20" s="10" t="s">
        <v>885</v>
      </c>
      <c r="E20" s="47" t="s">
        <v>177</v>
      </c>
      <c r="F20" s="10" t="s">
        <v>886</v>
      </c>
      <c r="G20" s="47" t="s">
        <v>850</v>
      </c>
      <c r="H20" s="47">
        <v>3.0</v>
      </c>
      <c r="I20" s="17">
        <v>2.0</v>
      </c>
      <c r="J20" s="16" t="s">
        <v>887</v>
      </c>
      <c r="K20" s="16" t="s">
        <v>888</v>
      </c>
      <c r="L20" s="16" t="s">
        <v>889</v>
      </c>
      <c r="M20" s="48">
        <f t="shared" ref="M20:M25" si="17">IF(ISNUMBER(I20),(4-I20)*H20*IF(E20="M",1.5,1),"")</f>
        <v>9</v>
      </c>
      <c r="N20" s="49" t="str">
        <f t="shared" ref="N20:N25" si="18">IF(M20="","",IF(M20&gt;=9,"High",IF(M20&gt;=4,"Medium","Low")))</f>
        <v>High</v>
      </c>
      <c r="O20" s="49" t="str">
        <f t="shared" ref="O20:O25" si="19">IF(NOT(ISNUMBER(I20)),IF(I20="NA","N/A","Not scored"),IF(E20="M",IF(I20&gt;=3,"Compliant","Non-compliant"),IF(I20&gt;=3,"Meets GP","Below GP")))</f>
        <v>Non-compliant</v>
      </c>
      <c r="P20" s="10" t="s">
        <v>890</v>
      </c>
      <c r="Q20" s="49">
        <f t="shared" ref="Q20:Q25" si="20">IF(ISNUMBER(I20),I20*H20,0)</f>
        <v>6</v>
      </c>
      <c r="R20" s="49">
        <f t="shared" ref="R20:R25" si="21">IF(ISNUMBER(I20),4*H20,0)</f>
        <v>12</v>
      </c>
      <c r="S20" s="49">
        <f t="shared" ref="S20:S25" si="22">IF(ISNUMBER(I20),1,0)</f>
        <v>1</v>
      </c>
      <c r="T20" s="49">
        <f t="shared" ref="T20:T25" si="23">IF(AND(E20="M",ISNUMBER(I20)),1,0)</f>
        <v>1</v>
      </c>
      <c r="U20" s="49">
        <f t="shared" ref="U20:U25" si="24">IF(AND(E20="M",ISNUMBER(I20)),IF(I20&gt;=3,1,0),0)</f>
        <v>0</v>
      </c>
      <c r="V20" s="1"/>
      <c r="W20" s="1"/>
      <c r="X20" s="1"/>
      <c r="Y20" s="1"/>
      <c r="Z20" s="1"/>
    </row>
    <row r="21" ht="30.75" customHeight="1">
      <c r="A21" s="47" t="s">
        <v>891</v>
      </c>
      <c r="B21" s="47" t="s">
        <v>110</v>
      </c>
      <c r="C21" s="10" t="s">
        <v>892</v>
      </c>
      <c r="D21" s="10" t="s">
        <v>893</v>
      </c>
      <c r="E21" s="47" t="s">
        <v>177</v>
      </c>
      <c r="F21" s="10" t="s">
        <v>894</v>
      </c>
      <c r="G21" s="47" t="s">
        <v>895</v>
      </c>
      <c r="H21" s="47">
        <v>2.0</v>
      </c>
      <c r="I21" s="17">
        <v>2.0</v>
      </c>
      <c r="J21" s="16" t="s">
        <v>896</v>
      </c>
      <c r="K21" s="16" t="s">
        <v>897</v>
      </c>
      <c r="L21" s="16" t="s">
        <v>898</v>
      </c>
      <c r="M21" s="48">
        <f t="shared" si="17"/>
        <v>6</v>
      </c>
      <c r="N21" s="49" t="str">
        <f t="shared" si="18"/>
        <v>Medium</v>
      </c>
      <c r="O21" s="49" t="str">
        <f t="shared" si="19"/>
        <v>Non-compliant</v>
      </c>
      <c r="P21" s="10" t="s">
        <v>654</v>
      </c>
      <c r="Q21" s="49">
        <f t="shared" si="20"/>
        <v>4</v>
      </c>
      <c r="R21" s="49">
        <f t="shared" si="21"/>
        <v>8</v>
      </c>
      <c r="S21" s="49">
        <f t="shared" si="22"/>
        <v>1</v>
      </c>
      <c r="T21" s="49">
        <f t="shared" si="23"/>
        <v>1</v>
      </c>
      <c r="U21" s="49">
        <f t="shared" si="24"/>
        <v>0</v>
      </c>
      <c r="V21" s="1"/>
      <c r="W21" s="1"/>
      <c r="X21" s="1"/>
      <c r="Y21" s="1"/>
      <c r="Z21" s="1"/>
    </row>
    <row r="22" ht="30.75" customHeight="1">
      <c r="A22" s="47" t="s">
        <v>899</v>
      </c>
      <c r="B22" s="47" t="s">
        <v>110</v>
      </c>
      <c r="C22" s="10" t="s">
        <v>900</v>
      </c>
      <c r="D22" s="10" t="s">
        <v>901</v>
      </c>
      <c r="E22" s="47" t="s">
        <v>211</v>
      </c>
      <c r="F22" s="10" t="s">
        <v>902</v>
      </c>
      <c r="G22" s="47" t="s">
        <v>850</v>
      </c>
      <c r="H22" s="47">
        <v>2.0</v>
      </c>
      <c r="I22" s="50">
        <v>1</v>
      </c>
      <c r="J22" s="16" t="inlineStr">
        <is>
          <t xml:space="preserve">DR: 10-Yr Plan OpCen Program funds telco expenses; no second ISP, satellite link or failover test sighted.</t>
        </is>
      </c>
      <c r="K22" s="16" t="inlineStr">
        <is>
          <t xml:space="preserve">Provisional desk score pending KII/OBS.</t>
        </is>
      </c>
      <c r="L22" s="16" t="inlineStr">
        <is>
          <t xml:space="preserve">Contract a second ISP or satellite terminal on a separate path; test failover quarterly; keep offline copies of forms and contact lists (the DRRM platform works offline).</t>
        </is>
      </c>
      <c r="M22" s="48" t="str">
        <f t="shared" si="17"/>
        <v/>
      </c>
      <c r="N22" s="49" t="str">
        <f t="shared" si="18"/>
        <v/>
      </c>
      <c r="O22" s="49" t="str">
        <f t="shared" si="19"/>
        <v>Not scored</v>
      </c>
      <c r="P22" s="10" t="s">
        <v>654</v>
      </c>
      <c r="Q22" s="49">
        <f t="shared" si="20"/>
        <v>0</v>
      </c>
      <c r="R22" s="49">
        <f t="shared" si="21"/>
        <v>0</v>
      </c>
      <c r="S22" s="49">
        <f t="shared" si="22"/>
        <v>0</v>
      </c>
      <c r="T22" s="49">
        <f t="shared" si="23"/>
        <v>0</v>
      </c>
      <c r="U22" s="49">
        <f t="shared" si="24"/>
        <v>0</v>
      </c>
      <c r="V22" s="1"/>
      <c r="W22" s="1"/>
      <c r="X22" s="1"/>
      <c r="Y22" s="1"/>
      <c r="Z22" s="1"/>
    </row>
    <row r="23" ht="30.75" customHeight="1">
      <c r="A23" s="47" t="s">
        <v>905</v>
      </c>
      <c r="B23" s="47" t="s">
        <v>110</v>
      </c>
      <c r="C23" s="10" t="s">
        <v>906</v>
      </c>
      <c r="D23" s="10" t="s">
        <v>812</v>
      </c>
      <c r="E23" s="47" t="s">
        <v>177</v>
      </c>
      <c r="F23" s="10" t="s">
        <v>907</v>
      </c>
      <c r="G23" s="47" t="s">
        <v>179</v>
      </c>
      <c r="H23" s="47">
        <v>2.0</v>
      </c>
      <c r="I23" s="17">
        <v>1</v>
      </c>
      <c r="J23" s="16" t="inlineStr">
        <is>
          <t xml:space="preserve">DR: daily reporting to OCD VIII (A10.3) shows working contacts, but no dated directory of agencies, 85 barangays and clusters was sighted.</t>
        </is>
      </c>
      <c r="K23" s="16" t="inlineStr">
        <is>
          <t xml:space="preserve">Provisional desk score: contacts are held informally by duty staff.</t>
        </is>
      </c>
      <c r="L23" s="16" t="inlineStr">
        <is>
          <t xml:space="preserve">Publish a dated directory (agencies, 85 barangays, cluster leads, utilities, media) as an EOC Manual annex; update it every 6 months and after elections or reassignments.</t>
        </is>
      </c>
      <c r="M23" s="48" t="str">
        <f t="shared" si="17"/>
        <v/>
      </c>
      <c r="N23" s="49" t="str">
        <f t="shared" si="18"/>
        <v/>
      </c>
      <c r="O23" s="49" t="str">
        <f t="shared" si="19"/>
        <v>Not scored</v>
      </c>
      <c r="P23" s="10" t="s">
        <v>654</v>
      </c>
      <c r="Q23" s="49">
        <f t="shared" si="20"/>
        <v>0</v>
      </c>
      <c r="R23" s="49">
        <f t="shared" si="21"/>
        <v>0</v>
      </c>
      <c r="S23" s="49">
        <f t="shared" si="22"/>
        <v>0</v>
      </c>
      <c r="T23" s="49">
        <f t="shared" si="23"/>
        <v>0</v>
      </c>
      <c r="U23" s="49">
        <f t="shared" si="24"/>
        <v>0</v>
      </c>
      <c r="V23" s="1"/>
      <c r="W23" s="1"/>
      <c r="X23" s="1"/>
      <c r="Y23" s="1"/>
      <c r="Z23" s="1"/>
    </row>
    <row r="24" ht="30.75" customHeight="1">
      <c r="A24" s="47" t="s">
        <v>910</v>
      </c>
      <c r="B24" s="47" t="s">
        <v>110</v>
      </c>
      <c r="C24" s="10" t="s">
        <v>911</v>
      </c>
      <c r="D24" s="10" t="s">
        <v>912</v>
      </c>
      <c r="E24" s="47" t="s">
        <v>211</v>
      </c>
      <c r="F24" s="10" t="s">
        <v>913</v>
      </c>
      <c r="G24" s="47" t="s">
        <v>914</v>
      </c>
      <c r="H24" s="47">
        <v>1.0</v>
      </c>
      <c r="I24" s="17">
        <v>1</v>
      </c>
      <c r="J24" s="16" t="inlineStr">
        <is>
          <t xml:space="preserve">DR: cloud IMS planned (10-Yr Plan); City DPO and data-sharing agreements not confirmed (A5.5); no EOC access or backup policy sighted.</t>
        </is>
      </c>
      <c r="K24" s="16" t="inlineStr">
        <is>
          <t xml:space="preserve">Provisional desk score pending KII with City ICT.</t>
        </is>
      </c>
      <c r="L24" s="16" t="inlineStr">
        <is>
          <t xml:space="preserve">Adopt an EOC information-security policy: named accounts and role-based access, MFA for admin accounts, daily backups, device sign-out rules, incident reporting to the City DPO (RA 10173).</t>
        </is>
      </c>
      <c r="M24" s="48" t="str">
        <f t="shared" si="17"/>
        <v/>
      </c>
      <c r="N24" s="49" t="str">
        <f t="shared" si="18"/>
        <v/>
      </c>
      <c r="O24" s="49" t="str">
        <f t="shared" si="19"/>
        <v>Not scored</v>
      </c>
      <c r="P24" s="10" t="s">
        <v>654</v>
      </c>
      <c r="Q24" s="49">
        <f t="shared" si="20"/>
        <v>0</v>
      </c>
      <c r="R24" s="49">
        <f t="shared" si="21"/>
        <v>0</v>
      </c>
      <c r="S24" s="49">
        <f t="shared" si="22"/>
        <v>0</v>
      </c>
      <c r="T24" s="49">
        <f t="shared" si="23"/>
        <v>0</v>
      </c>
      <c r="U24" s="49">
        <f t="shared" si="24"/>
        <v>0</v>
      </c>
      <c r="V24" s="1"/>
      <c r="W24" s="1"/>
      <c r="X24" s="1"/>
      <c r="Y24" s="1"/>
      <c r="Z24" s="1"/>
    </row>
    <row r="25" ht="30.75" customHeight="1">
      <c r="A25" s="47" t="s">
        <v>918</v>
      </c>
      <c r="B25" s="47" t="s">
        <v>110</v>
      </c>
      <c r="C25" s="10" t="s">
        <v>919</v>
      </c>
      <c r="D25" s="10" t="s">
        <v>870</v>
      </c>
      <c r="E25" s="47" t="s">
        <v>211</v>
      </c>
      <c r="F25" s="10" t="s">
        <v>920</v>
      </c>
      <c r="G25" s="47" t="s">
        <v>857</v>
      </c>
      <c r="H25" s="47">
        <v>1.0</v>
      </c>
      <c r="I25" s="50">
        <v>1</v>
      </c>
      <c r="J25" s="16" t="inlineStr">
        <is>
          <t xml:space="preserve">DR: 10-Yr Plan PPA (2023-2025) to procure and install CCTV and hazard monitoring equipment for the OpCen Integrated Multi-hazard EWS; installation status and displays not confirmed.</t>
        </is>
      </c>
      <c r="K25" s="16" t="inlineStr">
        <is>
          <t xml:space="preserve">Provisional desk score pending OBS.</t>
        </is>
      </c>
      <c r="L25" s="16" t="inlineStr">
        <is>
          <t xml:space="preserve">Confirm displays for PAGASA/PHIVOLCS feeds, CCTV and the common operating picture; if missing, include a display wall in the OpCen EWS procurement.</t>
        </is>
      </c>
      <c r="M25" s="48" t="str">
        <f t="shared" si="17"/>
        <v/>
      </c>
      <c r="N25" s="49" t="str">
        <f t="shared" si="18"/>
        <v/>
      </c>
      <c r="O25" s="49" t="str">
        <f t="shared" si="19"/>
        <v>Not scored</v>
      </c>
      <c r="P25" s="10" t="s">
        <v>654</v>
      </c>
      <c r="Q25" s="49">
        <f t="shared" si="20"/>
        <v>0</v>
      </c>
      <c r="R25" s="49">
        <f t="shared" si="21"/>
        <v>0</v>
      </c>
      <c r="S25" s="49">
        <f t="shared" si="22"/>
        <v>0</v>
      </c>
      <c r="T25" s="49">
        <f t="shared" si="23"/>
        <v>0</v>
      </c>
      <c r="U25" s="49">
        <f t="shared" si="24"/>
        <v>0</v>
      </c>
      <c r="V25" s="1"/>
      <c r="W25" s="1"/>
      <c r="X25" s="1"/>
      <c r="Y25" s="1"/>
      <c r="Z25" s="1"/>
    </row>
    <row r="26" ht="15.0" customHeight="1">
      <c r="A26" s="44" t="s">
        <v>924</v>
      </c>
      <c r="B26" s="45"/>
      <c r="C26" s="45"/>
      <c r="D26" s="45"/>
      <c r="E26" s="45"/>
      <c r="F26" s="45"/>
      <c r="G26" s="45"/>
      <c r="H26" s="45"/>
      <c r="I26" s="45"/>
      <c r="J26" s="45"/>
      <c r="K26" s="45"/>
      <c r="L26" s="45"/>
      <c r="M26" s="45"/>
      <c r="N26" s="45"/>
      <c r="O26" s="45"/>
      <c r="P26" s="46"/>
      <c r="Q26" s="1"/>
      <c r="R26" s="1"/>
      <c r="S26" s="1"/>
      <c r="T26" s="1"/>
      <c r="U26" s="1"/>
      <c r="V26" s="1"/>
      <c r="W26" s="1"/>
      <c r="X26" s="1"/>
      <c r="Y26" s="1"/>
      <c r="Z26" s="1"/>
    </row>
    <row r="27" ht="43.5" customHeight="1">
      <c r="A27" s="47" t="s">
        <v>925</v>
      </c>
      <c r="B27" s="47" t="s">
        <v>112</v>
      </c>
      <c r="C27" s="10" t="s">
        <v>926</v>
      </c>
      <c r="D27" s="10" t="s">
        <v>927</v>
      </c>
      <c r="E27" s="47" t="s">
        <v>177</v>
      </c>
      <c r="F27" s="10" t="s">
        <v>928</v>
      </c>
      <c r="G27" s="47" t="s">
        <v>179</v>
      </c>
      <c r="H27" s="47">
        <v>3.0</v>
      </c>
      <c r="I27" s="17">
        <v>1.0</v>
      </c>
      <c r="J27" s="16" t="s">
        <v>929</v>
      </c>
      <c r="K27" s="16" t="s">
        <v>930</v>
      </c>
      <c r="L27" s="16" t="s">
        <v>931</v>
      </c>
      <c r="M27" s="48">
        <f t="shared" ref="M27:M32" si="25">IF(ISNUMBER(I27),(4-I27)*H27*IF(E27="M",1.5,1),"")</f>
        <v>13.5</v>
      </c>
      <c r="N27" s="49" t="str">
        <f t="shared" ref="N27:N32" si="26">IF(M27="","",IF(M27&gt;=9,"High",IF(M27&gt;=4,"Medium","Low")))</f>
        <v>High</v>
      </c>
      <c r="O27" s="49" t="str">
        <f t="shared" ref="O27:O32" si="27">IF(NOT(ISNUMBER(I27)),IF(I27="NA","N/A","Not scored"),IF(E27="M",IF(I27&gt;=3,"Compliant","Non-compliant"),IF(I27&gt;=3,"Meets GP","Below GP")))</f>
        <v>Non-compliant</v>
      </c>
      <c r="P27" s="10" t="s">
        <v>932</v>
      </c>
      <c r="Q27" s="49">
        <f t="shared" ref="Q27:Q32" si="28">IF(ISNUMBER(I27),I27*H27,0)</f>
        <v>3</v>
      </c>
      <c r="R27" s="49">
        <f t="shared" ref="R27:R32" si="29">IF(ISNUMBER(I27),4*H27,0)</f>
        <v>12</v>
      </c>
      <c r="S27" s="49">
        <f t="shared" ref="S27:S32" si="30">IF(ISNUMBER(I27),1,0)</f>
        <v>1</v>
      </c>
      <c r="T27" s="49">
        <f t="shared" ref="T27:T32" si="31">IF(AND(E27="M",ISNUMBER(I27)),1,0)</f>
        <v>1</v>
      </c>
      <c r="U27" s="49">
        <f t="shared" ref="U27:U32" si="32">IF(AND(E27="M",ISNUMBER(I27)),IF(I27&gt;=3,1,0),0)</f>
        <v>0</v>
      </c>
      <c r="V27" s="1"/>
      <c r="W27" s="1"/>
      <c r="X27" s="1"/>
      <c r="Y27" s="1"/>
      <c r="Z27" s="1"/>
    </row>
    <row r="28" ht="30.75" customHeight="1">
      <c r="A28" s="47" t="s">
        <v>933</v>
      </c>
      <c r="B28" s="47" t="s">
        <v>112</v>
      </c>
      <c r="C28" s="10" t="s">
        <v>934</v>
      </c>
      <c r="D28" s="10" t="s">
        <v>812</v>
      </c>
      <c r="E28" s="47" t="s">
        <v>177</v>
      </c>
      <c r="F28" s="10" t="s">
        <v>935</v>
      </c>
      <c r="G28" s="47" t="s">
        <v>179</v>
      </c>
      <c r="H28" s="47">
        <v>3.0</v>
      </c>
      <c r="I28" s="17">
        <v>1</v>
      </c>
      <c r="J28" s="16" t="inlineStr">
        <is>
          <t xml:space="preserve">DR: plantilla gaps (A2.3 = 2); 10-Yr Plan plans 10 new CDRRMO items; no EOC roster with named alternates sighted.</t>
        </is>
      </c>
      <c r="K28" s="16" t="inlineStr">
        <is>
          <t xml:space="preserve">Provisional: alternates are not named, so 72-hour activation cannot be staffed 2 deep.</t>
        </is>
      </c>
      <c r="L28" s="16" t="inlineStr">
        <is>
          <t xml:space="preserve">Name a primary and 2 alternates for each key EOC position (EOC Manager, Operations, Planning, Logistics, Finance/Admin, liaison), drawing on CDRRMC member offices where CDRRMO staff are short; review the roster each quarter.</t>
        </is>
      </c>
      <c r="M28" s="48" t="str">
        <f t="shared" si="25"/>
        <v/>
      </c>
      <c r="N28" s="49" t="str">
        <f t="shared" si="26"/>
        <v/>
      </c>
      <c r="O28" s="49" t="str">
        <f t="shared" si="27"/>
        <v>Not scored</v>
      </c>
      <c r="P28" s="10" t="s">
        <v>542</v>
      </c>
      <c r="Q28" s="49">
        <f t="shared" si="28"/>
        <v>0</v>
      </c>
      <c r="R28" s="49">
        <f t="shared" si="29"/>
        <v>0</v>
      </c>
      <c r="S28" s="49">
        <f t="shared" si="30"/>
        <v>0</v>
      </c>
      <c r="T28" s="49">
        <f t="shared" si="31"/>
        <v>0</v>
      </c>
      <c r="U28" s="49">
        <f t="shared" si="32"/>
        <v>0</v>
      </c>
      <c r="V28" s="1"/>
      <c r="W28" s="1"/>
      <c r="X28" s="1"/>
      <c r="Y28" s="1"/>
      <c r="Z28" s="1"/>
    </row>
    <row r="29" ht="30.75" customHeight="1">
      <c r="A29" s="47" t="s">
        <v>939</v>
      </c>
      <c r="B29" s="47" t="s">
        <v>112</v>
      </c>
      <c r="C29" s="10" t="s">
        <v>940</v>
      </c>
      <c r="D29" s="10" t="s">
        <v>870</v>
      </c>
      <c r="E29" s="47" t="s">
        <v>177</v>
      </c>
      <c r="F29" s="10" t="s">
        <v>941</v>
      </c>
      <c r="G29" s="47" t="s">
        <v>273</v>
      </c>
      <c r="H29" s="47">
        <v>2.0</v>
      </c>
      <c r="I29" s="17">
        <v>2.0</v>
      </c>
      <c r="J29" s="16" t="s">
        <v>942</v>
      </c>
      <c r="K29" s="16" t="s">
        <v>943</v>
      </c>
      <c r="L29" s="16" t="inlineStr">
        <is>
          <t xml:space="preserve">Adopt a shift handover form based on the RDRRMOC SOPG 2022 turn-over document and swapping form; keep rosters and signed handovers as proof of use.</t>
        </is>
      </c>
      <c r="M29" s="48">
        <f t="shared" si="25"/>
        <v>6</v>
      </c>
      <c r="N29" s="49" t="str">
        <f t="shared" si="26"/>
        <v>Medium</v>
      </c>
      <c r="O29" s="49" t="str">
        <f t="shared" si="27"/>
        <v>Non-compliant</v>
      </c>
      <c r="P29" s="10" t="s">
        <v>542</v>
      </c>
      <c r="Q29" s="49">
        <f t="shared" si="28"/>
        <v>4</v>
      </c>
      <c r="R29" s="49">
        <f t="shared" si="29"/>
        <v>8</v>
      </c>
      <c r="S29" s="49">
        <f t="shared" si="30"/>
        <v>1</v>
      </c>
      <c r="T29" s="49">
        <f t="shared" si="31"/>
        <v>1</v>
      </c>
      <c r="U29" s="49">
        <f t="shared" si="32"/>
        <v>0</v>
      </c>
      <c r="V29" s="1"/>
      <c r="W29" s="1"/>
      <c r="X29" s="1"/>
      <c r="Y29" s="1"/>
      <c r="Z29" s="1"/>
    </row>
    <row r="30" ht="30.75" customHeight="1">
      <c r="A30" s="47" t="s">
        <v>945</v>
      </c>
      <c r="B30" s="47" t="s">
        <v>112</v>
      </c>
      <c r="C30" s="10" t="s">
        <v>946</v>
      </c>
      <c r="D30" s="10" t="s">
        <v>947</v>
      </c>
      <c r="E30" s="47" t="s">
        <v>177</v>
      </c>
      <c r="F30" s="10" t="s">
        <v>948</v>
      </c>
      <c r="G30" s="47" t="s">
        <v>179</v>
      </c>
      <c r="H30" s="47">
        <v>2.0</v>
      </c>
      <c r="I30" s="17">
        <v>2.0</v>
      </c>
      <c r="J30" s="16" t="s">
        <v>949</v>
      </c>
      <c r="K30" s="16" t="s">
        <v>950</v>
      </c>
      <c r="L30" s="16" t="s">
        <v>951</v>
      </c>
      <c r="M30" s="48">
        <f t="shared" si="25"/>
        <v>6</v>
      </c>
      <c r="N30" s="49" t="str">
        <f t="shared" si="26"/>
        <v>Medium</v>
      </c>
      <c r="O30" s="49" t="str">
        <f t="shared" si="27"/>
        <v>Non-compliant</v>
      </c>
      <c r="P30" s="10" t="s">
        <v>542</v>
      </c>
      <c r="Q30" s="49">
        <f t="shared" si="28"/>
        <v>4</v>
      </c>
      <c r="R30" s="49">
        <f t="shared" si="29"/>
        <v>8</v>
      </c>
      <c r="S30" s="49">
        <f t="shared" si="30"/>
        <v>1</v>
      </c>
      <c r="T30" s="49">
        <f t="shared" si="31"/>
        <v>1</v>
      </c>
      <c r="U30" s="49">
        <f t="shared" si="32"/>
        <v>0</v>
      </c>
      <c r="V30" s="1"/>
      <c r="W30" s="1"/>
      <c r="X30" s="1"/>
      <c r="Y30" s="1"/>
      <c r="Z30" s="1"/>
    </row>
    <row r="31" ht="30.75" customHeight="1">
      <c r="A31" s="47" t="s">
        <v>952</v>
      </c>
      <c r="B31" s="47" t="s">
        <v>112</v>
      </c>
      <c r="C31" s="10" t="s">
        <v>953</v>
      </c>
      <c r="D31" s="10" t="s">
        <v>870</v>
      </c>
      <c r="E31" s="47" t="s">
        <v>211</v>
      </c>
      <c r="F31" s="10" t="s">
        <v>954</v>
      </c>
      <c r="G31" s="47" t="s">
        <v>179</v>
      </c>
      <c r="H31" s="47">
        <v>2.0</v>
      </c>
      <c r="I31" s="17">
        <v>1.0</v>
      </c>
      <c r="J31" s="16" t="s">
        <v>955</v>
      </c>
      <c r="K31" s="16" t="s">
        <v>956</v>
      </c>
      <c r="L31" s="16" t="s">
        <v>957</v>
      </c>
      <c r="M31" s="48">
        <f t="shared" si="25"/>
        <v>6</v>
      </c>
      <c r="N31" s="49" t="str">
        <f t="shared" si="26"/>
        <v>Medium</v>
      </c>
      <c r="O31" s="49" t="str">
        <f t="shared" si="27"/>
        <v>Below GP</v>
      </c>
      <c r="P31" s="10" t="s">
        <v>542</v>
      </c>
      <c r="Q31" s="49">
        <f t="shared" si="28"/>
        <v>2</v>
      </c>
      <c r="R31" s="49">
        <f t="shared" si="29"/>
        <v>8</v>
      </c>
      <c r="S31" s="49">
        <f t="shared" si="30"/>
        <v>1</v>
      </c>
      <c r="T31" s="49">
        <f t="shared" si="31"/>
        <v>0</v>
      </c>
      <c r="U31" s="49">
        <f t="shared" si="32"/>
        <v>0</v>
      </c>
      <c r="V31" s="1"/>
      <c r="W31" s="1"/>
      <c r="X31" s="1"/>
      <c r="Y31" s="1"/>
      <c r="Z31" s="1"/>
    </row>
    <row r="32" ht="30.75" customHeight="1">
      <c r="A32" s="47" t="s">
        <v>958</v>
      </c>
      <c r="B32" s="47" t="s">
        <v>112</v>
      </c>
      <c r="C32" s="10" t="s">
        <v>959</v>
      </c>
      <c r="D32" s="10" t="s">
        <v>960</v>
      </c>
      <c r="E32" s="47" t="s">
        <v>211</v>
      </c>
      <c r="F32" s="10" t="s">
        <v>961</v>
      </c>
      <c r="G32" s="47" t="s">
        <v>719</v>
      </c>
      <c r="H32" s="47">
        <v>1.0</v>
      </c>
      <c r="I32" s="17">
        <v>1.0</v>
      </c>
      <c r="J32" s="16" t="s">
        <v>962</v>
      </c>
      <c r="K32" s="16" t="s">
        <v>963</v>
      </c>
      <c r="L32" s="16" t="s">
        <v>964</v>
      </c>
      <c r="M32" s="48">
        <f t="shared" si="25"/>
        <v>3</v>
      </c>
      <c r="N32" s="49" t="str">
        <f t="shared" si="26"/>
        <v>Low</v>
      </c>
      <c r="O32" s="49" t="str">
        <f t="shared" si="27"/>
        <v>Below GP</v>
      </c>
      <c r="P32" s="10" t="s">
        <v>542</v>
      </c>
      <c r="Q32" s="49">
        <f t="shared" si="28"/>
        <v>1</v>
      </c>
      <c r="R32" s="49">
        <f t="shared" si="29"/>
        <v>4</v>
      </c>
      <c r="S32" s="49">
        <f t="shared" si="30"/>
        <v>1</v>
      </c>
      <c r="T32" s="49">
        <f t="shared" si="31"/>
        <v>0</v>
      </c>
      <c r="U32" s="49">
        <f t="shared" si="32"/>
        <v>0</v>
      </c>
      <c r="V32" s="1"/>
      <c r="W32" s="1"/>
      <c r="X32" s="1"/>
      <c r="Y32" s="1"/>
      <c r="Z32" s="1"/>
    </row>
    <row r="33" ht="15.0" customHeight="1">
      <c r="A33" s="44" t="s">
        <v>965</v>
      </c>
      <c r="B33" s="45"/>
      <c r="C33" s="45"/>
      <c r="D33" s="45"/>
      <c r="E33" s="45"/>
      <c r="F33" s="45"/>
      <c r="G33" s="45"/>
      <c r="H33" s="45"/>
      <c r="I33" s="45"/>
      <c r="J33" s="45"/>
      <c r="K33" s="45"/>
      <c r="L33" s="45"/>
      <c r="M33" s="45"/>
      <c r="N33" s="45"/>
      <c r="O33" s="45"/>
      <c r="P33" s="46"/>
      <c r="Q33" s="1"/>
      <c r="R33" s="1"/>
      <c r="S33" s="1"/>
      <c r="T33" s="1"/>
      <c r="U33" s="1"/>
      <c r="V33" s="1"/>
      <c r="W33" s="1"/>
      <c r="X33" s="1"/>
      <c r="Y33" s="1"/>
      <c r="Z33" s="1"/>
    </row>
    <row r="34" ht="30.75" customHeight="1">
      <c r="A34" s="47" t="s">
        <v>966</v>
      </c>
      <c r="B34" s="47" t="s">
        <v>114</v>
      </c>
      <c r="C34" s="10" t="s">
        <v>967</v>
      </c>
      <c r="D34" s="10" t="s">
        <v>968</v>
      </c>
      <c r="E34" s="47" t="s">
        <v>177</v>
      </c>
      <c r="F34" s="10" t="s">
        <v>969</v>
      </c>
      <c r="G34" s="47" t="s">
        <v>179</v>
      </c>
      <c r="H34" s="47">
        <v>3.0</v>
      </c>
      <c r="I34" s="17">
        <v>2.0</v>
      </c>
      <c r="J34" s="16" t="s">
        <v>970</v>
      </c>
      <c r="K34" s="16" t="s">
        <v>971</v>
      </c>
      <c r="L34" s="16" t="inlineStr">
        <is>
          <t xml:space="preserve">Adopt the harmonized template and reporting schedule by CDRRMC resolution and put it in EOC Manual Ch.6, with file-naming rules modelled on RDRRMOC SOPG 2022 (Tables 4-5).</t>
        </is>
      </c>
      <c r="M34" s="48">
        <f t="shared" ref="M34:M40" si="33">IF(ISNUMBER(I34),(4-I34)*H34*IF(E34="M",1.5,1),"")</f>
        <v>9</v>
      </c>
      <c r="N34" s="49" t="str">
        <f t="shared" ref="N34:N40" si="34">IF(M34="","",IF(M34&gt;=9,"High",IF(M34&gt;=4,"Medium","Low")))</f>
        <v>High</v>
      </c>
      <c r="O34" s="49" t="str">
        <f t="shared" ref="O34:O40" si="35">IF(NOT(ISNUMBER(I34)),IF(I34="NA","N/A","Not scored"),IF(E34="M",IF(I34&gt;=3,"Compliant","Non-compliant"),IF(I34&gt;=3,"Meets GP","Below GP")))</f>
        <v>Non-compliant</v>
      </c>
      <c r="P34" s="10" t="s">
        <v>973</v>
      </c>
      <c r="Q34" s="49">
        <f t="shared" ref="Q34:Q40" si="36">IF(ISNUMBER(I34),I34*H34,0)</f>
        <v>6</v>
      </c>
      <c r="R34" s="49">
        <f t="shared" ref="R34:R40" si="37">IF(ISNUMBER(I34),4*H34,0)</f>
        <v>12</v>
      </c>
      <c r="S34" s="49">
        <f t="shared" ref="S34:S40" si="38">IF(ISNUMBER(I34),1,0)</f>
        <v>1</v>
      </c>
      <c r="T34" s="49">
        <f t="shared" ref="T34:T40" si="39">IF(AND(E34="M",ISNUMBER(I34)),1,0)</f>
        <v>1</v>
      </c>
      <c r="U34" s="49">
        <f t="shared" ref="U34:U40" si="40">IF(AND(E34="M",ISNUMBER(I34)),IF(I34&gt;=3,1,0),0)</f>
        <v>0</v>
      </c>
      <c r="V34" s="1"/>
      <c r="W34" s="1"/>
      <c r="X34" s="1"/>
      <c r="Y34" s="1"/>
      <c r="Z34" s="1"/>
    </row>
    <row r="35" ht="30.75" customHeight="1">
      <c r="A35" s="47" t="s">
        <v>974</v>
      </c>
      <c r="B35" s="47" t="s">
        <v>114</v>
      </c>
      <c r="C35" s="10" t="s">
        <v>975</v>
      </c>
      <c r="D35" s="10" t="s">
        <v>976</v>
      </c>
      <c r="E35" s="47" t="s">
        <v>177</v>
      </c>
      <c r="F35" s="10" t="s">
        <v>977</v>
      </c>
      <c r="G35" s="47" t="s">
        <v>576</v>
      </c>
      <c r="H35" s="47">
        <v>3.0</v>
      </c>
      <c r="I35" s="17">
        <v>1.0</v>
      </c>
      <c r="J35" s="16" t="s">
        <v>978</v>
      </c>
      <c r="K35" s="16" t="s">
        <v>979</v>
      </c>
      <c r="L35" s="16" t="s">
        <v>980</v>
      </c>
      <c r="M35" s="48">
        <f t="shared" si="33"/>
        <v>13.5</v>
      </c>
      <c r="N35" s="49" t="str">
        <f t="shared" si="34"/>
        <v>High</v>
      </c>
      <c r="O35" s="49" t="str">
        <f t="shared" si="35"/>
        <v>Non-compliant</v>
      </c>
      <c r="P35" s="10" t="s">
        <v>981</v>
      </c>
      <c r="Q35" s="49">
        <f t="shared" si="36"/>
        <v>3</v>
      </c>
      <c r="R35" s="49">
        <f t="shared" si="37"/>
        <v>12</v>
      </c>
      <c r="S35" s="49">
        <f t="shared" si="38"/>
        <v>1</v>
      </c>
      <c r="T35" s="49">
        <f t="shared" si="39"/>
        <v>1</v>
      </c>
      <c r="U35" s="49">
        <f t="shared" si="40"/>
        <v>0</v>
      </c>
      <c r="V35" s="1"/>
      <c r="W35" s="1"/>
      <c r="X35" s="1"/>
      <c r="Y35" s="1"/>
      <c r="Z35" s="1"/>
    </row>
    <row r="36" ht="30.75" customHeight="1">
      <c r="A36" s="47" t="s">
        <v>982</v>
      </c>
      <c r="B36" s="47" t="s">
        <v>114</v>
      </c>
      <c r="C36" s="10" t="s">
        <v>983</v>
      </c>
      <c r="D36" s="10" t="s">
        <v>812</v>
      </c>
      <c r="E36" s="47" t="s">
        <v>211</v>
      </c>
      <c r="F36" s="10" t="s">
        <v>984</v>
      </c>
      <c r="G36" s="47" t="s">
        <v>857</v>
      </c>
      <c r="H36" s="47">
        <v>2.0</v>
      </c>
      <c r="I36" s="17">
        <v>1.0</v>
      </c>
      <c r="J36" s="16" t="s">
        <v>985</v>
      </c>
      <c r="K36" s="16" t="s">
        <v>986</v>
      </c>
      <c r="L36" s="16" t="s">
        <v>987</v>
      </c>
      <c r="M36" s="48">
        <f t="shared" si="33"/>
        <v>6</v>
      </c>
      <c r="N36" s="49" t="str">
        <f t="shared" si="34"/>
        <v>Medium</v>
      </c>
      <c r="O36" s="49" t="str">
        <f t="shared" si="35"/>
        <v>Below GP</v>
      </c>
      <c r="P36" s="10" t="s">
        <v>981</v>
      </c>
      <c r="Q36" s="49">
        <f t="shared" si="36"/>
        <v>2</v>
      </c>
      <c r="R36" s="49">
        <f t="shared" si="37"/>
        <v>8</v>
      </c>
      <c r="S36" s="49">
        <f t="shared" si="38"/>
        <v>1</v>
      </c>
      <c r="T36" s="49">
        <f t="shared" si="39"/>
        <v>0</v>
      </c>
      <c r="U36" s="49">
        <f t="shared" si="40"/>
        <v>0</v>
      </c>
      <c r="V36" s="1"/>
      <c r="W36" s="1"/>
      <c r="X36" s="1"/>
      <c r="Y36" s="1"/>
      <c r="Z36" s="1"/>
    </row>
    <row r="37" ht="30.75" customHeight="1">
      <c r="A37" s="47" t="s">
        <v>988</v>
      </c>
      <c r="B37" s="47" t="s">
        <v>114</v>
      </c>
      <c r="C37" s="10" t="s">
        <v>989</v>
      </c>
      <c r="D37" s="10" t="s">
        <v>990</v>
      </c>
      <c r="E37" s="47" t="s">
        <v>177</v>
      </c>
      <c r="F37" s="10" t="s">
        <v>991</v>
      </c>
      <c r="G37" s="47" t="s">
        <v>179</v>
      </c>
      <c r="H37" s="47">
        <v>2.0</v>
      </c>
      <c r="I37" s="17">
        <v>2</v>
      </c>
      <c r="J37" s="16" t="inlineStr">
        <is>
          <t xml:space="preserve">DR: OpCen compiles RDANA reports with affected families and damage (cited as sources in the 10-Yr Plan); digitised IDP registration is a 10-Yr Plan PPA; DAFAC use not sighted.</t>
        </is>
      </c>
      <c r="K37" s="16" t="inlineStr">
        <is>
          <t xml:space="preserve">Provisional: EC data reach the EOC through RDANA reports and SitReps, but not through a defined DAFAC feed with fixed times.</t>
        </is>
      </c>
      <c r="L37" s="16" t="inlineStr">
        <is>
          <t xml:space="preserve">Use DSWD DAFAC at all ECs; set an EC-to-EOC count report (families, persons, sex/age/PWD) at fixed times; keep names in CSWDO records only and counts in EOC dashboards (RA 10173).</t>
        </is>
      </c>
      <c r="M37" s="48" t="str">
        <f t="shared" si="33"/>
        <v/>
      </c>
      <c r="N37" s="49" t="str">
        <f t="shared" si="34"/>
        <v/>
      </c>
      <c r="O37" s="49" t="str">
        <f t="shared" si="35"/>
        <v>Not scored</v>
      </c>
      <c r="P37" s="10" t="s">
        <v>981</v>
      </c>
      <c r="Q37" s="49">
        <f t="shared" si="36"/>
        <v>0</v>
      </c>
      <c r="R37" s="49">
        <f t="shared" si="37"/>
        <v>0</v>
      </c>
      <c r="S37" s="49">
        <f t="shared" si="38"/>
        <v>0</v>
      </c>
      <c r="T37" s="49">
        <f t="shared" si="39"/>
        <v>0</v>
      </c>
      <c r="U37" s="49">
        <f t="shared" si="40"/>
        <v>0</v>
      </c>
      <c r="V37" s="1"/>
      <c r="W37" s="1"/>
      <c r="X37" s="1"/>
      <c r="Y37" s="1"/>
      <c r="Z37" s="1"/>
    </row>
    <row r="38" ht="30.75" customHeight="1">
      <c r="A38" s="47" t="s">
        <v>995</v>
      </c>
      <c r="B38" s="47" t="s">
        <v>114</v>
      </c>
      <c r="C38" s="10" t="s">
        <v>996</v>
      </c>
      <c r="D38" s="10" t="s">
        <v>997</v>
      </c>
      <c r="E38" s="47" t="s">
        <v>177</v>
      </c>
      <c r="F38" s="10" t="s">
        <v>998</v>
      </c>
      <c r="G38" s="47" t="s">
        <v>273</v>
      </c>
      <c r="H38" s="47">
        <v>2.0</v>
      </c>
      <c r="I38" s="17">
        <v>1</v>
      </c>
      <c r="J38" s="16" t="inlineStr">
        <is>
          <t xml:space="preserve">DR: no EOC logbook or records retention schedule sighted; the RDRRMOC SOPG 2022 model requires a duty personnel journal/logbook and turn-over document.</t>
        </is>
      </c>
      <c r="K38" s="16" t="inlineStr">
        <is>
          <t xml:space="preserve">Provisional desk score pending OBS.</t>
        </is>
      </c>
      <c r="L38" s="16" t="inlineStr">
        <is>
          <t xml:space="preserve">Keep a bound or append-only digital significant-events log (time, source, action, initials); adopt a records retention schedule with the City Records Officer.</t>
        </is>
      </c>
      <c r="M38" s="48" t="str">
        <f t="shared" si="33"/>
        <v/>
      </c>
      <c r="N38" s="49" t="str">
        <f t="shared" si="34"/>
        <v/>
      </c>
      <c r="O38" s="49" t="str">
        <f t="shared" si="35"/>
        <v>Not scored</v>
      </c>
      <c r="P38" s="10" t="s">
        <v>981</v>
      </c>
      <c r="Q38" s="49">
        <f t="shared" si="36"/>
        <v>0</v>
      </c>
      <c r="R38" s="49">
        <f t="shared" si="37"/>
        <v>0</v>
      </c>
      <c r="S38" s="49">
        <f t="shared" si="38"/>
        <v>0</v>
      </c>
      <c r="T38" s="49">
        <f t="shared" si="39"/>
        <v>0</v>
      </c>
      <c r="U38" s="49">
        <f t="shared" si="40"/>
        <v>0</v>
      </c>
      <c r="V38" s="1"/>
      <c r="W38" s="1"/>
      <c r="X38" s="1"/>
      <c r="Y38" s="1"/>
      <c r="Z38" s="1"/>
    </row>
    <row r="39" ht="30.75" customHeight="1">
      <c r="A39" s="47" t="s">
        <v>1001</v>
      </c>
      <c r="B39" s="47" t="s">
        <v>114</v>
      </c>
      <c r="C39" s="10" t="s">
        <v>1002</v>
      </c>
      <c r="D39" s="10" t="s">
        <v>1003</v>
      </c>
      <c r="E39" s="47" t="s">
        <v>177</v>
      </c>
      <c r="F39" s="10" t="s">
        <v>1004</v>
      </c>
      <c r="G39" s="47" t="s">
        <v>273</v>
      </c>
      <c r="H39" s="47">
        <v>2.0</v>
      </c>
      <c r="I39" s="17">
        <v>2.0</v>
      </c>
      <c r="J39" s="16" t="s">
        <v>1005</v>
      </c>
      <c r="K39" s="16" t="s">
        <v>1006</v>
      </c>
      <c r="L39" s="16" t="s">
        <v>1007</v>
      </c>
      <c r="M39" s="48">
        <f t="shared" si="33"/>
        <v>6</v>
      </c>
      <c r="N39" s="49" t="str">
        <f t="shared" si="34"/>
        <v>Medium</v>
      </c>
      <c r="O39" s="49" t="str">
        <f t="shared" si="35"/>
        <v>Non-compliant</v>
      </c>
      <c r="P39" s="10" t="s">
        <v>981</v>
      </c>
      <c r="Q39" s="49">
        <f t="shared" si="36"/>
        <v>4</v>
      </c>
      <c r="R39" s="49">
        <f t="shared" si="37"/>
        <v>8</v>
      </c>
      <c r="S39" s="49">
        <f t="shared" si="38"/>
        <v>1</v>
      </c>
      <c r="T39" s="49">
        <f t="shared" si="39"/>
        <v>1</v>
      </c>
      <c r="U39" s="49">
        <f t="shared" si="40"/>
        <v>0</v>
      </c>
      <c r="V39" s="1"/>
      <c r="W39" s="1"/>
      <c r="X39" s="1"/>
      <c r="Y39" s="1"/>
      <c r="Z39" s="1"/>
    </row>
    <row r="40" ht="43.5" customHeight="1">
      <c r="A40" s="47" t="s">
        <v>1008</v>
      </c>
      <c r="B40" s="47" t="s">
        <v>114</v>
      </c>
      <c r="C40" s="10" t="s">
        <v>1009</v>
      </c>
      <c r="D40" s="10" t="s">
        <v>1010</v>
      </c>
      <c r="E40" s="47" t="s">
        <v>211</v>
      </c>
      <c r="F40" s="10" t="s">
        <v>1011</v>
      </c>
      <c r="G40" s="47" t="s">
        <v>591</v>
      </c>
      <c r="H40" s="47">
        <v>1.0</v>
      </c>
      <c r="I40" s="17">
        <v>1.0</v>
      </c>
      <c r="J40" s="16" t="s">
        <v>1012</v>
      </c>
      <c r="K40" s="16" t="s">
        <v>963</v>
      </c>
      <c r="L40" s="16" t="s">
        <v>1013</v>
      </c>
      <c r="M40" s="48">
        <f t="shared" si="33"/>
        <v>3</v>
      </c>
      <c r="N40" s="49" t="str">
        <f t="shared" si="34"/>
        <v>Low</v>
      </c>
      <c r="O40" s="49" t="str">
        <f t="shared" si="35"/>
        <v>Below GP</v>
      </c>
      <c r="P40" s="10" t="s">
        <v>981</v>
      </c>
      <c r="Q40" s="49">
        <f t="shared" si="36"/>
        <v>1</v>
      </c>
      <c r="R40" s="49">
        <f t="shared" si="37"/>
        <v>4</v>
      </c>
      <c r="S40" s="49">
        <f t="shared" si="38"/>
        <v>1</v>
      </c>
      <c r="T40" s="49">
        <f t="shared" si="39"/>
        <v>0</v>
      </c>
      <c r="U40" s="49">
        <f t="shared" si="40"/>
        <v>0</v>
      </c>
      <c r="V40" s="1"/>
      <c r="W40" s="1"/>
      <c r="X40" s="1"/>
      <c r="Y40" s="1"/>
      <c r="Z40" s="1"/>
    </row>
    <row r="41" ht="15.0" customHeight="1">
      <c r="A41" s="44" t="s">
        <v>1014</v>
      </c>
      <c r="B41" s="45"/>
      <c r="C41" s="45"/>
      <c r="D41" s="45"/>
      <c r="E41" s="45"/>
      <c r="F41" s="45"/>
      <c r="G41" s="45"/>
      <c r="H41" s="45"/>
      <c r="I41" s="45"/>
      <c r="J41" s="45"/>
      <c r="K41" s="45"/>
      <c r="L41" s="45"/>
      <c r="M41" s="45"/>
      <c r="N41" s="45"/>
      <c r="O41" s="45"/>
      <c r="P41" s="46"/>
      <c r="Q41" s="1"/>
      <c r="R41" s="1"/>
      <c r="S41" s="1"/>
      <c r="T41" s="1"/>
      <c r="U41" s="1"/>
      <c r="V41" s="1"/>
      <c r="W41" s="1"/>
      <c r="X41" s="1"/>
      <c r="Y41" s="1"/>
      <c r="Z41" s="1"/>
    </row>
    <row r="42" ht="30.75" customHeight="1">
      <c r="A42" s="47" t="s">
        <v>1015</v>
      </c>
      <c r="B42" s="47" t="s">
        <v>116</v>
      </c>
      <c r="C42" s="10" t="s">
        <v>1016</v>
      </c>
      <c r="D42" s="10" t="s">
        <v>1017</v>
      </c>
      <c r="E42" s="47" t="s">
        <v>177</v>
      </c>
      <c r="F42" s="10" t="s">
        <v>1018</v>
      </c>
      <c r="G42" s="47" t="s">
        <v>196</v>
      </c>
      <c r="H42" s="47">
        <v>3.0</v>
      </c>
      <c r="I42" s="17">
        <v>1.0</v>
      </c>
      <c r="J42" s="16" t="s">
        <v>1019</v>
      </c>
      <c r="K42" s="16" t="s">
        <v>1020</v>
      </c>
      <c r="L42" s="16" t="s">
        <v>1021</v>
      </c>
      <c r="M42" s="48">
        <f t="shared" ref="M42:M47" si="41">IF(ISNUMBER(I42),(4-I42)*H42*IF(E42="M",1.5,1),"")</f>
        <v>13.5</v>
      </c>
      <c r="N42" s="49" t="str">
        <f t="shared" ref="N42:N47" si="42">IF(M42="","",IF(M42&gt;=9,"High",IF(M42&gt;=4,"Medium","Low")))</f>
        <v>High</v>
      </c>
      <c r="O42" s="49" t="str">
        <f t="shared" ref="O42:O47" si="43">IF(NOT(ISNUMBER(I42)),IF(I42="NA","N/A","Not scored"),IF(E42="M",IF(I42&gt;=3,"Compliant","Non-compliant"),IF(I42&gt;=3,"Meets GP","Below GP")))</f>
        <v>Non-compliant</v>
      </c>
      <c r="P42" s="10" t="s">
        <v>1022</v>
      </c>
      <c r="Q42" s="49">
        <f t="shared" ref="Q42:Q47" si="44">IF(ISNUMBER(I42),I42*H42,0)</f>
        <v>3</v>
      </c>
      <c r="R42" s="49">
        <f t="shared" ref="R42:R47" si="45">IF(ISNUMBER(I42),4*H42,0)</f>
        <v>12</v>
      </c>
      <c r="S42" s="49">
        <f t="shared" ref="S42:S47" si="46">IF(ISNUMBER(I42),1,0)</f>
        <v>1</v>
      </c>
      <c r="T42" s="49">
        <f t="shared" ref="T42:T47" si="47">IF(AND(E42="M",ISNUMBER(I42)),1,0)</f>
        <v>1</v>
      </c>
      <c r="U42" s="49">
        <f t="shared" ref="U42:U47" si="48">IF(AND(E42="M",ISNUMBER(I42)),IF(I42&gt;=3,1,0),0)</f>
        <v>0</v>
      </c>
      <c r="V42" s="1"/>
      <c r="W42" s="1"/>
      <c r="X42" s="1"/>
      <c r="Y42" s="1"/>
      <c r="Z42" s="1"/>
    </row>
    <row r="43" ht="30.75" customHeight="1">
      <c r="A43" s="47" t="s">
        <v>1023</v>
      </c>
      <c r="B43" s="47" t="s">
        <v>116</v>
      </c>
      <c r="C43" s="10" t="s">
        <v>1024</v>
      </c>
      <c r="D43" s="10" t="s">
        <v>1025</v>
      </c>
      <c r="E43" s="47" t="s">
        <v>177</v>
      </c>
      <c r="F43" s="10" t="s">
        <v>1026</v>
      </c>
      <c r="G43" s="47" t="s">
        <v>273</v>
      </c>
      <c r="H43" s="47">
        <v>3.0</v>
      </c>
      <c r="I43" s="17">
        <v>1.0</v>
      </c>
      <c r="J43" s="16" t="s">
        <v>1027</v>
      </c>
      <c r="K43" s="16" t="s">
        <v>1028</v>
      </c>
      <c r="L43" s="16" t="s">
        <v>1029</v>
      </c>
      <c r="M43" s="48">
        <f t="shared" si="41"/>
        <v>13.5</v>
      </c>
      <c r="N43" s="49" t="str">
        <f t="shared" si="42"/>
        <v>High</v>
      </c>
      <c r="O43" s="49" t="str">
        <f t="shared" si="43"/>
        <v>Non-compliant</v>
      </c>
      <c r="P43" s="10" t="s">
        <v>1030</v>
      </c>
      <c r="Q43" s="49">
        <f t="shared" si="44"/>
        <v>3</v>
      </c>
      <c r="R43" s="49">
        <f t="shared" si="45"/>
        <v>12</v>
      </c>
      <c r="S43" s="49">
        <f t="shared" si="46"/>
        <v>1</v>
      </c>
      <c r="T43" s="49">
        <f t="shared" si="47"/>
        <v>1</v>
      </c>
      <c r="U43" s="49">
        <f t="shared" si="48"/>
        <v>0</v>
      </c>
      <c r="V43" s="1"/>
      <c r="W43" s="1"/>
      <c r="X43" s="1"/>
      <c r="Y43" s="1"/>
      <c r="Z43" s="1"/>
    </row>
    <row r="44" ht="30.75" customHeight="1">
      <c r="A44" s="47" t="s">
        <v>1031</v>
      </c>
      <c r="B44" s="47" t="s">
        <v>116</v>
      </c>
      <c r="C44" s="10" t="s">
        <v>1032</v>
      </c>
      <c r="D44" s="10" t="s">
        <v>1033</v>
      </c>
      <c r="E44" s="47" t="s">
        <v>177</v>
      </c>
      <c r="F44" s="10" t="s">
        <v>1034</v>
      </c>
      <c r="G44" s="47" t="s">
        <v>273</v>
      </c>
      <c r="H44" s="47">
        <v>2.0</v>
      </c>
      <c r="I44" s="17">
        <v>2.0</v>
      </c>
      <c r="J44" s="16" t="s">
        <v>1035</v>
      </c>
      <c r="K44" s="16" t="s">
        <v>1036</v>
      </c>
      <c r="L44" s="16" t="s">
        <v>1037</v>
      </c>
      <c r="M44" s="48">
        <f t="shared" si="41"/>
        <v>6</v>
      </c>
      <c r="N44" s="49" t="str">
        <f t="shared" si="42"/>
        <v>Medium</v>
      </c>
      <c r="O44" s="49" t="str">
        <f t="shared" si="43"/>
        <v>Non-compliant</v>
      </c>
      <c r="P44" s="10" t="s">
        <v>1030</v>
      </c>
      <c r="Q44" s="49">
        <f t="shared" si="44"/>
        <v>4</v>
      </c>
      <c r="R44" s="49">
        <f t="shared" si="45"/>
        <v>8</v>
      </c>
      <c r="S44" s="49">
        <f t="shared" si="46"/>
        <v>1</v>
      </c>
      <c r="T44" s="49">
        <f t="shared" si="47"/>
        <v>1</v>
      </c>
      <c r="U44" s="49">
        <f t="shared" si="48"/>
        <v>0</v>
      </c>
      <c r="V44" s="1"/>
      <c r="W44" s="1"/>
      <c r="X44" s="1"/>
      <c r="Y44" s="1"/>
      <c r="Z44" s="1"/>
    </row>
    <row r="45" ht="30.75" customHeight="1">
      <c r="A45" s="47" t="s">
        <v>1038</v>
      </c>
      <c r="B45" s="47" t="s">
        <v>116</v>
      </c>
      <c r="C45" s="10" t="s">
        <v>1039</v>
      </c>
      <c r="D45" s="10" t="s">
        <v>1040</v>
      </c>
      <c r="E45" s="47" t="s">
        <v>211</v>
      </c>
      <c r="F45" s="10" t="s">
        <v>1041</v>
      </c>
      <c r="G45" s="47" t="s">
        <v>179</v>
      </c>
      <c r="H45" s="47">
        <v>1.0</v>
      </c>
      <c r="I45" s="17">
        <v>2.0</v>
      </c>
      <c r="J45" s="16" t="s">
        <v>1042</v>
      </c>
      <c r="K45" s="16" t="s">
        <v>1043</v>
      </c>
      <c r="L45" s="16" t="s">
        <v>1044</v>
      </c>
      <c r="M45" s="48">
        <f t="shared" si="41"/>
        <v>2</v>
      </c>
      <c r="N45" s="49" t="str">
        <f t="shared" si="42"/>
        <v>Low</v>
      </c>
      <c r="O45" s="49" t="str">
        <f t="shared" si="43"/>
        <v>Below GP</v>
      </c>
      <c r="P45" s="10" t="s">
        <v>1030</v>
      </c>
      <c r="Q45" s="49">
        <f t="shared" si="44"/>
        <v>2</v>
      </c>
      <c r="R45" s="49">
        <f t="shared" si="45"/>
        <v>4</v>
      </c>
      <c r="S45" s="49">
        <f t="shared" si="46"/>
        <v>1</v>
      </c>
      <c r="T45" s="49">
        <f t="shared" si="47"/>
        <v>0</v>
      </c>
      <c r="U45" s="49">
        <f t="shared" si="48"/>
        <v>0</v>
      </c>
      <c r="V45" s="1"/>
      <c r="W45" s="1"/>
      <c r="X45" s="1"/>
      <c r="Y45" s="1"/>
      <c r="Z45" s="1"/>
    </row>
    <row r="46" ht="30.75" customHeight="1">
      <c r="A46" s="47" t="s">
        <v>1045</v>
      </c>
      <c r="B46" s="47" t="s">
        <v>116</v>
      </c>
      <c r="C46" s="10" t="s">
        <v>1046</v>
      </c>
      <c r="D46" s="10" t="s">
        <v>1047</v>
      </c>
      <c r="E46" s="47" t="s">
        <v>211</v>
      </c>
      <c r="F46" s="10" t="s">
        <v>1048</v>
      </c>
      <c r="G46" s="47" t="s">
        <v>196</v>
      </c>
      <c r="H46" s="47">
        <v>2.0</v>
      </c>
      <c r="I46" s="17">
        <v>2</v>
      </c>
      <c r="J46" s="16" t="inlineStr">
        <is>
          <t xml:space="preserve">DR: PDRA meetings are held before forecast hazards (A8.6 = 3) and the CDRRMC meets as needed (A1.3 = 4); no fixed briefing intervals or briefing records during activation sighted.</t>
        </is>
      </c>
      <c r="K46" s="16" t="inlineStr">
        <is>
          <t xml:space="preserve">Provisional: briefings happen through PDRA and CDRRMC meetings, but not at fixed intervals by alert level.</t>
        </is>
      </c>
      <c r="L46" s="16" t="inlineStr">
        <is>
          <t xml:space="preserve">Set briefing times by alert level (e.g., Blue: twice daily; Red: every 6 hours) to the Mayor/CDRRMC; use a one-page briefing template linked to the SitRep; file the briefing notes.</t>
        </is>
      </c>
      <c r="M46" s="48" t="str">
        <f t="shared" si="41"/>
        <v/>
      </c>
      <c r="N46" s="49" t="str">
        <f t="shared" si="42"/>
        <v/>
      </c>
      <c r="O46" s="49" t="str">
        <f t="shared" si="43"/>
        <v>Not scored</v>
      </c>
      <c r="P46" s="10" t="s">
        <v>1030</v>
      </c>
      <c r="Q46" s="49">
        <f t="shared" si="44"/>
        <v>0</v>
      </c>
      <c r="R46" s="49">
        <f t="shared" si="45"/>
        <v>0</v>
      </c>
      <c r="S46" s="49">
        <f t="shared" si="46"/>
        <v>0</v>
      </c>
      <c r="T46" s="49">
        <f t="shared" si="47"/>
        <v>0</v>
      </c>
      <c r="U46" s="49">
        <f t="shared" si="48"/>
        <v>0</v>
      </c>
      <c r="V46" s="1"/>
      <c r="W46" s="1"/>
      <c r="X46" s="1"/>
      <c r="Y46" s="1"/>
      <c r="Z46" s="1"/>
    </row>
    <row r="47" ht="55.5" customHeight="1">
      <c r="A47" s="47" t="s">
        <v>1051</v>
      </c>
      <c r="B47" s="47" t="s">
        <v>116</v>
      </c>
      <c r="C47" s="10" t="s">
        <v>1052</v>
      </c>
      <c r="D47" s="10" t="s">
        <v>1053</v>
      </c>
      <c r="E47" s="47" t="s">
        <v>211</v>
      </c>
      <c r="F47" s="10" t="s">
        <v>1054</v>
      </c>
      <c r="G47" s="47" t="s">
        <v>179</v>
      </c>
      <c r="H47" s="47">
        <v>2.0</v>
      </c>
      <c r="I47" s="17">
        <v>1.0</v>
      </c>
      <c r="J47" s="16" t="s">
        <v>1055</v>
      </c>
      <c r="K47" s="16" t="s">
        <v>1056</v>
      </c>
      <c r="L47" s="16" t="s">
        <v>1057</v>
      </c>
      <c r="M47" s="48">
        <f t="shared" si="41"/>
        <v>6</v>
      </c>
      <c r="N47" s="49" t="str">
        <f t="shared" si="42"/>
        <v>Medium</v>
      </c>
      <c r="O47" s="49" t="str">
        <f t="shared" si="43"/>
        <v>Below GP</v>
      </c>
      <c r="P47" s="10" t="s">
        <v>1030</v>
      </c>
      <c r="Q47" s="49">
        <f t="shared" si="44"/>
        <v>2</v>
      </c>
      <c r="R47" s="49">
        <f t="shared" si="45"/>
        <v>8</v>
      </c>
      <c r="S47" s="49">
        <f t="shared" si="46"/>
        <v>1</v>
      </c>
      <c r="T47" s="49">
        <f t="shared" si="47"/>
        <v>0</v>
      </c>
      <c r="U47" s="49">
        <f t="shared" si="48"/>
        <v>0</v>
      </c>
      <c r="V47" s="1"/>
      <c r="W47" s="1"/>
      <c r="X47" s="1"/>
      <c r="Y47" s="1"/>
      <c r="Z47" s="1"/>
    </row>
    <row r="48" ht="15.0" customHeight="1">
      <c r="A48" s="44" t="s">
        <v>1058</v>
      </c>
      <c r="B48" s="45"/>
      <c r="C48" s="45"/>
      <c r="D48" s="45"/>
      <c r="E48" s="45"/>
      <c r="F48" s="45"/>
      <c r="G48" s="45"/>
      <c r="H48" s="45"/>
      <c r="I48" s="45"/>
      <c r="J48" s="45"/>
      <c r="K48" s="45"/>
      <c r="L48" s="45"/>
      <c r="M48" s="45"/>
      <c r="N48" s="45"/>
      <c r="O48" s="45"/>
      <c r="P48" s="46"/>
      <c r="Q48" s="1"/>
      <c r="R48" s="1"/>
      <c r="S48" s="1"/>
      <c r="T48" s="1"/>
      <c r="U48" s="1"/>
      <c r="V48" s="1"/>
      <c r="W48" s="1"/>
      <c r="X48" s="1"/>
      <c r="Y48" s="1"/>
      <c r="Z48" s="1"/>
    </row>
    <row r="49" ht="30.75" customHeight="1">
      <c r="A49" s="47" t="s">
        <v>1059</v>
      </c>
      <c r="B49" s="47" t="s">
        <v>118</v>
      </c>
      <c r="C49" s="10" t="s">
        <v>1060</v>
      </c>
      <c r="D49" s="10" t="s">
        <v>812</v>
      </c>
      <c r="E49" s="47" t="s">
        <v>177</v>
      </c>
      <c r="F49" s="10" t="s">
        <v>1061</v>
      </c>
      <c r="G49" s="47" t="s">
        <v>179</v>
      </c>
      <c r="H49" s="47">
        <v>3.0</v>
      </c>
      <c r="I49" s="17">
        <v>2.0</v>
      </c>
      <c r="J49" s="16" t="s">
        <v>1062</v>
      </c>
      <c r="K49" s="16" t="s">
        <v>963</v>
      </c>
      <c r="L49" s="16" t="s">
        <v>1063</v>
      </c>
      <c r="M49" s="48">
        <f t="shared" ref="M49:M54" si="49">IF(ISNUMBER(I49),(4-I49)*H49*IF(E49="M",1.5,1),"")</f>
        <v>9</v>
      </c>
      <c r="N49" s="49" t="str">
        <f t="shared" ref="N49:N54" si="50">IF(M49="","",IF(M49&gt;=9,"High",IF(M49&gt;=4,"Medium","Low")))</f>
        <v>High</v>
      </c>
      <c r="O49" s="49" t="str">
        <f t="shared" ref="O49:O54" si="51">IF(NOT(ISNUMBER(I49)),IF(I49="NA","N/A","Not scored"),IF(E49="M",IF(I49&gt;=3,"Compliant","Non-compliant"),IF(I49&gt;=3,"Meets GP","Below GP")))</f>
        <v>Non-compliant</v>
      </c>
      <c r="P49" s="10" t="s">
        <v>1064</v>
      </c>
      <c r="Q49" s="49">
        <f t="shared" ref="Q49:Q54" si="52">IF(ISNUMBER(I49),I49*H49,0)</f>
        <v>6</v>
      </c>
      <c r="R49" s="49">
        <f t="shared" ref="R49:R54" si="53">IF(ISNUMBER(I49),4*H49,0)</f>
        <v>12</v>
      </c>
      <c r="S49" s="49">
        <f t="shared" ref="S49:S54" si="54">IF(ISNUMBER(I49),1,0)</f>
        <v>1</v>
      </c>
      <c r="T49" s="49">
        <f t="shared" ref="T49:T54" si="55">IF(AND(E49="M",ISNUMBER(I49)),1,0)</f>
        <v>1</v>
      </c>
      <c r="U49" s="49">
        <f t="shared" ref="U49:U54" si="56">IF(AND(E49="M",ISNUMBER(I49)),IF(I49&gt;=3,1,0),0)</f>
        <v>0</v>
      </c>
      <c r="V49" s="1"/>
      <c r="W49" s="1"/>
      <c r="X49" s="1"/>
      <c r="Y49" s="1"/>
      <c r="Z49" s="1"/>
    </row>
    <row r="50" ht="30.75" customHeight="1">
      <c r="A50" s="47" t="s">
        <v>1065</v>
      </c>
      <c r="B50" s="47" t="s">
        <v>118</v>
      </c>
      <c r="C50" s="10" t="s">
        <v>1066</v>
      </c>
      <c r="D50" s="10" t="s">
        <v>1067</v>
      </c>
      <c r="E50" s="47" t="s">
        <v>177</v>
      </c>
      <c r="F50" s="10" t="s">
        <v>1068</v>
      </c>
      <c r="G50" s="47" t="s">
        <v>179</v>
      </c>
      <c r="H50" s="47">
        <v>2.0</v>
      </c>
      <c r="I50" s="17">
        <v>2.0</v>
      </c>
      <c r="J50" s="16" t="s">
        <v>1069</v>
      </c>
      <c r="K50" s="16" t="s">
        <v>963</v>
      </c>
      <c r="L50" s="16" t="s">
        <v>1070</v>
      </c>
      <c r="M50" s="48">
        <f t="shared" si="49"/>
        <v>6</v>
      </c>
      <c r="N50" s="49" t="str">
        <f t="shared" si="50"/>
        <v>Medium</v>
      </c>
      <c r="O50" s="49" t="str">
        <f t="shared" si="51"/>
        <v>Non-compliant</v>
      </c>
      <c r="P50" s="10" t="s">
        <v>1071</v>
      </c>
      <c r="Q50" s="49">
        <f t="shared" si="52"/>
        <v>4</v>
      </c>
      <c r="R50" s="49">
        <f t="shared" si="53"/>
        <v>8</v>
      </c>
      <c r="S50" s="49">
        <f t="shared" si="54"/>
        <v>1</v>
      </c>
      <c r="T50" s="49">
        <f t="shared" si="55"/>
        <v>1</v>
      </c>
      <c r="U50" s="49">
        <f t="shared" si="56"/>
        <v>0</v>
      </c>
      <c r="V50" s="1"/>
      <c r="W50" s="1"/>
      <c r="X50" s="1"/>
      <c r="Y50" s="1"/>
      <c r="Z50" s="1"/>
    </row>
    <row r="51" ht="30.75" customHeight="1">
      <c r="A51" s="47" t="s">
        <v>1072</v>
      </c>
      <c r="B51" s="47" t="s">
        <v>118</v>
      </c>
      <c r="C51" s="10" t="s">
        <v>1073</v>
      </c>
      <c r="D51" s="10" t="s">
        <v>1074</v>
      </c>
      <c r="E51" s="47" t="s">
        <v>177</v>
      </c>
      <c r="F51" s="10" t="s">
        <v>1075</v>
      </c>
      <c r="G51" s="47" t="s">
        <v>179</v>
      </c>
      <c r="H51" s="47">
        <v>2.0</v>
      </c>
      <c r="I51" s="17">
        <v>2.0</v>
      </c>
      <c r="J51" s="16" t="s">
        <v>1076</v>
      </c>
      <c r="K51" s="16" t="s">
        <v>1077</v>
      </c>
      <c r="L51" s="16" t="s">
        <v>1078</v>
      </c>
      <c r="M51" s="48">
        <f t="shared" si="49"/>
        <v>6</v>
      </c>
      <c r="N51" s="49" t="str">
        <f t="shared" si="50"/>
        <v>Medium</v>
      </c>
      <c r="O51" s="49" t="str">
        <f t="shared" si="51"/>
        <v>Non-compliant</v>
      </c>
      <c r="P51" s="10" t="s">
        <v>1079</v>
      </c>
      <c r="Q51" s="49">
        <f t="shared" si="52"/>
        <v>4</v>
      </c>
      <c r="R51" s="49">
        <f t="shared" si="53"/>
        <v>8</v>
      </c>
      <c r="S51" s="49">
        <f t="shared" si="54"/>
        <v>1</v>
      </c>
      <c r="T51" s="49">
        <f t="shared" si="55"/>
        <v>1</v>
      </c>
      <c r="U51" s="49">
        <f t="shared" si="56"/>
        <v>0</v>
      </c>
      <c r="V51" s="1"/>
      <c r="W51" s="1"/>
      <c r="X51" s="1"/>
      <c r="Y51" s="1"/>
      <c r="Z51" s="1"/>
    </row>
    <row r="52" ht="30.75" customHeight="1">
      <c r="A52" s="47" t="s">
        <v>1080</v>
      </c>
      <c r="B52" s="47" t="s">
        <v>118</v>
      </c>
      <c r="C52" s="10" t="s">
        <v>1081</v>
      </c>
      <c r="D52" s="10" t="s">
        <v>870</v>
      </c>
      <c r="E52" s="47" t="s">
        <v>211</v>
      </c>
      <c r="F52" s="10" t="s">
        <v>1082</v>
      </c>
      <c r="G52" s="47" t="s">
        <v>179</v>
      </c>
      <c r="H52" s="47">
        <v>2.0</v>
      </c>
      <c r="I52" s="17">
        <v>2.0</v>
      </c>
      <c r="J52" s="16" t="s">
        <v>1083</v>
      </c>
      <c r="K52" s="16" t="s">
        <v>1084</v>
      </c>
      <c r="L52" s="16" t="s">
        <v>1085</v>
      </c>
      <c r="M52" s="48">
        <f t="shared" si="49"/>
        <v>4</v>
      </c>
      <c r="N52" s="49" t="str">
        <f t="shared" si="50"/>
        <v>Medium</v>
      </c>
      <c r="O52" s="49" t="str">
        <f t="shared" si="51"/>
        <v>Below GP</v>
      </c>
      <c r="P52" s="10" t="s">
        <v>1079</v>
      </c>
      <c r="Q52" s="49">
        <f t="shared" si="52"/>
        <v>4</v>
      </c>
      <c r="R52" s="49">
        <f t="shared" si="53"/>
        <v>8</v>
      </c>
      <c r="S52" s="49">
        <f t="shared" si="54"/>
        <v>1</v>
      </c>
      <c r="T52" s="49">
        <f t="shared" si="55"/>
        <v>0</v>
      </c>
      <c r="U52" s="49">
        <f t="shared" si="56"/>
        <v>0</v>
      </c>
      <c r="V52" s="1"/>
      <c r="W52" s="1"/>
      <c r="X52" s="1"/>
      <c r="Y52" s="1"/>
      <c r="Z52" s="1"/>
    </row>
    <row r="53" ht="30.75" customHeight="1">
      <c r="A53" s="47" t="s">
        <v>1086</v>
      </c>
      <c r="B53" s="47" t="s">
        <v>118</v>
      </c>
      <c r="C53" s="10" t="s">
        <v>1087</v>
      </c>
      <c r="D53" s="10" t="s">
        <v>352</v>
      </c>
      <c r="E53" s="47" t="s">
        <v>177</v>
      </c>
      <c r="F53" s="10" t="s">
        <v>1088</v>
      </c>
      <c r="G53" s="47" t="s">
        <v>179</v>
      </c>
      <c r="H53" s="47">
        <v>2.0</v>
      </c>
      <c r="I53" s="17">
        <v>3.0</v>
      </c>
      <c r="J53" s="16" t="s">
        <v>1089</v>
      </c>
      <c r="K53" s="16" t="s">
        <v>1090</v>
      </c>
      <c r="L53" s="16" t="s">
        <v>1091</v>
      </c>
      <c r="M53" s="48">
        <f t="shared" si="49"/>
        <v>3</v>
      </c>
      <c r="N53" s="49" t="str">
        <f t="shared" si="50"/>
        <v>Low</v>
      </c>
      <c r="O53" s="49" t="str">
        <f t="shared" si="51"/>
        <v>Compliant</v>
      </c>
      <c r="P53" s="10" t="s">
        <v>1092</v>
      </c>
      <c r="Q53" s="49">
        <f t="shared" si="52"/>
        <v>6</v>
      </c>
      <c r="R53" s="49">
        <f t="shared" si="53"/>
        <v>8</v>
      </c>
      <c r="S53" s="49">
        <f t="shared" si="54"/>
        <v>1</v>
      </c>
      <c r="T53" s="49">
        <f t="shared" si="55"/>
        <v>1</v>
      </c>
      <c r="U53" s="49">
        <f t="shared" si="56"/>
        <v>1</v>
      </c>
      <c r="V53" s="1"/>
      <c r="W53" s="1"/>
      <c r="X53" s="1"/>
      <c r="Y53" s="1"/>
      <c r="Z53" s="1"/>
    </row>
    <row r="54" ht="30.75" customHeight="1">
      <c r="A54" s="47" t="s">
        <v>1093</v>
      </c>
      <c r="B54" s="47" t="s">
        <v>118</v>
      </c>
      <c r="C54" s="10" t="s">
        <v>1094</v>
      </c>
      <c r="D54" s="10" t="s">
        <v>863</v>
      </c>
      <c r="E54" s="47" t="s">
        <v>211</v>
      </c>
      <c r="F54" s="10" t="s">
        <v>1095</v>
      </c>
      <c r="G54" s="47" t="s">
        <v>273</v>
      </c>
      <c r="H54" s="47">
        <v>1.0</v>
      </c>
      <c r="I54" s="17">
        <v>1.0</v>
      </c>
      <c r="J54" s="16" t="s">
        <v>1096</v>
      </c>
      <c r="K54" s="16" t="s">
        <v>963</v>
      </c>
      <c r="L54" s="16" t="s">
        <v>1097</v>
      </c>
      <c r="M54" s="48">
        <f t="shared" si="49"/>
        <v>3</v>
      </c>
      <c r="N54" s="49" t="str">
        <f t="shared" si="50"/>
        <v>Low</v>
      </c>
      <c r="O54" s="49" t="str">
        <f t="shared" si="51"/>
        <v>Below GP</v>
      </c>
      <c r="P54" s="10" t="s">
        <v>1098</v>
      </c>
      <c r="Q54" s="49">
        <f t="shared" si="52"/>
        <v>1</v>
      </c>
      <c r="R54" s="49">
        <f t="shared" si="53"/>
        <v>4</v>
      </c>
      <c r="S54" s="49">
        <f t="shared" si="54"/>
        <v>1</v>
      </c>
      <c r="T54" s="49">
        <f t="shared" si="55"/>
        <v>0</v>
      </c>
      <c r="U54" s="49">
        <f t="shared" si="56"/>
        <v>0</v>
      </c>
      <c r="V54" s="1"/>
      <c r="W54" s="1"/>
      <c r="X54" s="1"/>
      <c r="Y54" s="1"/>
      <c r="Z54" s="1"/>
    </row>
    <row r="55" ht="15.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autoFilter ref="$A$4:$P$52"/>
  <mergeCells count="7">
    <mergeCell ref="A5:P5"/>
    <mergeCell ref="A11:P11"/>
    <mergeCell ref="A19:P19"/>
    <mergeCell ref="A26:P26"/>
    <mergeCell ref="A33:P33"/>
    <mergeCell ref="A41:P41"/>
    <mergeCell ref="A48:P48"/>
  </mergeCells>
  <conditionalFormatting sqref="N5:N54">
    <cfRule type="cellIs" dxfId="5" priority="1" operator="equal">
      <formula>"High"</formula>
    </cfRule>
  </conditionalFormatting>
  <conditionalFormatting sqref="N5:N54">
    <cfRule type="cellIs" dxfId="2" priority="2" operator="equal">
      <formula>"Medium"</formula>
    </cfRule>
  </conditionalFormatting>
  <conditionalFormatting sqref="N5:N54">
    <cfRule type="cellIs" dxfId="3" priority="3" operator="equal">
      <formula>"Low"</formula>
    </cfRule>
  </conditionalFormatting>
  <conditionalFormatting sqref="O5:O54">
    <cfRule type="cellIs" dxfId="6" priority="4" operator="equal">
      <formula>"Non-compliant"</formula>
    </cfRule>
  </conditionalFormatting>
  <conditionalFormatting sqref="O5:O54">
    <cfRule type="cellIs" dxfId="7" priority="5" operator="equal">
      <formula>"Compliant"</formula>
    </cfRule>
  </conditionalFormatting>
  <dataValidations>
    <dataValidation type="list" allowBlank="1" sqref="I6:I10 I12:I18 I20:I25 I27:I32 I34:I40 I42:I47 I49:I54">
      <formula1>"0,1,2,3,4,NA"</formula1>
    </dataValidation>
  </dataValidations>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outlineLevelCol="1"/>
  <cols>
    <col customWidth="1" min="1" max="1" width="7.0"/>
    <col customWidth="1" min="2" max="2" width="11.43"/>
    <col customWidth="1" min="3" max="3" width="46.0"/>
    <col customWidth="1" min="4" max="4" width="28.29"/>
    <col customWidth="1" min="5" max="5" width="22.0"/>
    <col customWidth="1" min="6" max="6" width="26.0"/>
    <col customWidth="1" min="7" max="7" width="13.43"/>
    <col customWidth="1" min="8" max="8" width="12.57"/>
    <col customWidth="1" min="9" max="9" width="16.0"/>
    <col customWidth="1" min="10" max="10" width="30.0"/>
    <col customWidth="1" min="11" max="11" width="28.0"/>
    <col customWidth="1" min="12" max="12" width="30.0"/>
    <col customWidth="1" min="13" max="14" width="15.57"/>
    <col customWidth="1" min="15" max="15" width="16.0"/>
    <col customWidth="1" min="16" max="16" width="24.57"/>
    <col customWidth="1" hidden="1" min="17" max="21" width="7.0" outlineLevel="1"/>
    <col customWidth="1" min="22" max="26" width="8.71"/>
  </cols>
  <sheetData>
    <row r="1" ht="15.75" customHeight="1">
      <c r="A1" s="40" t="s">
        <v>1099</v>
      </c>
      <c r="B1" s="1"/>
      <c r="C1" s="1"/>
      <c r="D1" s="1"/>
      <c r="E1" s="1"/>
      <c r="F1" s="1"/>
      <c r="G1" s="1"/>
      <c r="H1" s="1"/>
      <c r="I1" s="1"/>
      <c r="J1" s="1"/>
      <c r="K1" s="1"/>
      <c r="L1" s="1"/>
      <c r="M1" s="1"/>
      <c r="N1" s="1"/>
      <c r="O1" s="1"/>
      <c r="P1" s="1"/>
      <c r="Q1" s="1"/>
      <c r="R1" s="1"/>
      <c r="S1" s="1"/>
      <c r="T1" s="1"/>
      <c r="U1" s="1"/>
      <c r="V1" s="1"/>
      <c r="W1" s="1"/>
      <c r="X1" s="1"/>
      <c r="Y1" s="1"/>
      <c r="Z1" s="1"/>
    </row>
    <row r="2" ht="15.0" customHeight="1">
      <c r="A2" s="42" t="s">
        <v>1100</v>
      </c>
      <c r="B2" s="1"/>
      <c r="C2" s="1"/>
      <c r="D2" s="1"/>
      <c r="E2" s="1"/>
      <c r="F2" s="1"/>
      <c r="G2" s="1"/>
      <c r="H2" s="1"/>
      <c r="I2" s="1"/>
      <c r="J2" s="1"/>
      <c r="K2" s="1"/>
      <c r="L2" s="1"/>
      <c r="M2" s="1"/>
      <c r="N2" s="1"/>
      <c r="O2" s="1"/>
      <c r="P2" s="1"/>
      <c r="Q2" s="1"/>
      <c r="R2" s="1"/>
      <c r="S2" s="1"/>
      <c r="T2" s="1"/>
      <c r="U2" s="1"/>
      <c r="V2" s="1"/>
      <c r="W2" s="1"/>
      <c r="X2" s="1"/>
      <c r="Y2" s="1"/>
      <c r="Z2" s="1"/>
    </row>
    <row r="3" ht="15.0" customHeight="1">
      <c r="A3" s="1"/>
      <c r="B3" s="1"/>
      <c r="C3" s="1"/>
      <c r="D3" s="1"/>
      <c r="E3" s="1"/>
      <c r="F3" s="1"/>
      <c r="G3" s="1"/>
      <c r="H3" s="1"/>
      <c r="I3" s="1"/>
      <c r="J3" s="1"/>
      <c r="K3" s="1"/>
      <c r="L3" s="1"/>
      <c r="M3" s="1"/>
      <c r="N3" s="1"/>
      <c r="O3" s="1"/>
      <c r="P3" s="1"/>
      <c r="Q3" s="1"/>
      <c r="R3" s="1"/>
      <c r="S3" s="1"/>
      <c r="T3" s="1"/>
      <c r="U3" s="1"/>
      <c r="V3" s="1"/>
      <c r="W3" s="1"/>
      <c r="X3" s="1"/>
      <c r="Y3" s="1"/>
      <c r="Z3" s="1"/>
    </row>
    <row r="4" ht="31.5" customHeight="1">
      <c r="A4" s="7" t="s">
        <v>160</v>
      </c>
      <c r="B4" s="7" t="s">
        <v>78</v>
      </c>
      <c r="C4" s="7" t="s">
        <v>56</v>
      </c>
      <c r="D4" s="7" t="s">
        <v>161</v>
      </c>
      <c r="E4" s="7" t="s">
        <v>1101</v>
      </c>
      <c r="F4" s="7" t="s">
        <v>163</v>
      </c>
      <c r="G4" s="7" t="s">
        <v>164</v>
      </c>
      <c r="H4" s="7" t="s">
        <v>48</v>
      </c>
      <c r="I4" s="7" t="s">
        <v>165</v>
      </c>
      <c r="J4" s="7" t="s">
        <v>57</v>
      </c>
      <c r="K4" s="7" t="s">
        <v>58</v>
      </c>
      <c r="L4" s="7" t="s">
        <v>59</v>
      </c>
      <c r="M4" s="7" t="s">
        <v>46</v>
      </c>
      <c r="N4" s="7" t="s">
        <v>166</v>
      </c>
      <c r="O4" s="7" t="s">
        <v>1102</v>
      </c>
      <c r="P4" s="7" t="s">
        <v>168</v>
      </c>
      <c r="Q4" s="43" t="s">
        <v>169</v>
      </c>
      <c r="R4" s="43" t="s">
        <v>170</v>
      </c>
      <c r="S4" s="43" t="s">
        <v>80</v>
      </c>
      <c r="T4" s="43"/>
      <c r="U4" s="43"/>
      <c r="V4" s="1"/>
      <c r="W4" s="1"/>
      <c r="X4" s="1"/>
      <c r="Y4" s="1"/>
      <c r="Z4" s="1"/>
    </row>
    <row r="5" ht="15.0" customHeight="1">
      <c r="A5" s="44" t="s">
        <v>1103</v>
      </c>
      <c r="B5" s="45"/>
      <c r="C5" s="45"/>
      <c r="D5" s="45"/>
      <c r="E5" s="45"/>
      <c r="F5" s="45"/>
      <c r="G5" s="45"/>
      <c r="H5" s="45"/>
      <c r="I5" s="45"/>
      <c r="J5" s="45"/>
      <c r="K5" s="45"/>
      <c r="L5" s="45"/>
      <c r="M5" s="45"/>
      <c r="N5" s="45"/>
      <c r="O5" s="45"/>
      <c r="P5" s="46"/>
      <c r="Q5" s="1"/>
      <c r="R5" s="1"/>
      <c r="S5" s="1"/>
      <c r="T5" s="1"/>
      <c r="U5" s="1"/>
      <c r="V5" s="1"/>
      <c r="W5" s="1"/>
      <c r="X5" s="1"/>
      <c r="Y5" s="1"/>
      <c r="Z5" s="1"/>
    </row>
    <row r="6" ht="33.75" customHeight="1">
      <c r="A6" s="47" t="s">
        <v>1104</v>
      </c>
      <c r="B6" s="47" t="s">
        <v>1105</v>
      </c>
      <c r="C6" s="10" t="s">
        <v>1106</v>
      </c>
      <c r="D6" s="10" t="s">
        <v>1107</v>
      </c>
      <c r="E6" s="47" t="s">
        <v>1108</v>
      </c>
      <c r="F6" s="10" t="s">
        <v>1109</v>
      </c>
      <c r="G6" s="47" t="s">
        <v>196</v>
      </c>
      <c r="H6" s="47">
        <v>2.0</v>
      </c>
      <c r="I6" s="17">
        <v>2.0</v>
      </c>
      <c r="J6" s="16" t="inlineStr">
        <is>
          <t xml:space="preserve">DR: CLUP 2017-2027 (110 barangays) has a DRRM-CCA chapter but predates the CDRA. CDRA Final Report rates risk by likelihood and severity per hazard and cites GeoRiskPH damage estimates, but defines no explicit most-probable and most-severe scenarios.</t>
        </is>
      </c>
      <c r="K6" s="16" t="inlineStr">
        <is>
          <t xml:space="preserve">Provisional. Scenarios not defined; CLUP not yet updated with CDRA results; CPDO KII pending.</t>
        </is>
      </c>
      <c r="L6" s="16" t="inlineStr">
        <is>
          <t xml:space="preserve">Define most-probable and most-severe scenarios per priority hazard from the CDRA and GeoRiskPH; use them to set CDP/CLUP priorities and the siting of major investments in the CLUP update (CDRA MDA 1).</t>
        </is>
      </c>
      <c r="M6" s="48">
        <f t="shared" ref="M6:M9" si="1">IF(ISNUMBER(I6),(4-I6)*H6,"")</f>
        <v>4</v>
      </c>
      <c r="N6" s="49" t="str">
        <f t="shared" ref="N6:N9" si="2">IF(M6="","",IF(M6&gt;=9,"High",IF(M6&gt;=4,"Medium","Low")))</f>
        <v>Medium</v>
      </c>
      <c r="O6" s="49" t="str">
        <f t="shared" ref="O6:O9" si="3">IF(NOT(ISNUMBER(I6)),IF(I6="NA","N/A","Not scored"),IF(I6&gt;=3,"Meets","Below"))</f>
        <v>Below</v>
      </c>
      <c r="P6" s="10" t="s">
        <v>333</v>
      </c>
      <c r="Q6" s="49">
        <f t="shared" ref="Q6:Q9" si="4">IF(ISNUMBER(I6),I6*H6,0)</f>
        <v>4</v>
      </c>
      <c r="R6" s="49">
        <f t="shared" ref="R6:R9" si="5">IF(ISNUMBER(I6),4*H6,0)</f>
        <v>8</v>
      </c>
      <c r="S6" s="49">
        <f t="shared" ref="S6:S9" si="6">IF(ISNUMBER(I6),1,0)</f>
        <v>1</v>
      </c>
      <c r="T6" s="49"/>
      <c r="U6" s="49"/>
      <c r="V6" s="1"/>
      <c r="W6" s="1"/>
      <c r="X6" s="1"/>
      <c r="Y6" s="1"/>
      <c r="Z6" s="1"/>
    </row>
    <row r="7" ht="30.75" customHeight="1">
      <c r="A7" s="47" t="s">
        <v>1113</v>
      </c>
      <c r="B7" s="47" t="s">
        <v>1105</v>
      </c>
      <c r="C7" s="10" t="s">
        <v>1114</v>
      </c>
      <c r="D7" s="10" t="s">
        <v>1115</v>
      </c>
      <c r="E7" s="47" t="s">
        <v>1116</v>
      </c>
      <c r="F7" s="10" t="s">
        <v>1117</v>
      </c>
      <c r="G7" s="47" t="s">
        <v>196</v>
      </c>
      <c r="H7" s="47">
        <v>1.0</v>
      </c>
      <c r="I7" s="17">
        <v>1</v>
      </c>
      <c r="J7" s="16" t="inlineStr">
        <is>
          <t xml:space="preserve">DR: CDRA 6.7.1 proposes 'share of development proposals screened against hazard information' as a future indicator; CLUP 2.5.3 proposes an LDC monitoring team; DRRM sits in the LDC and LFC (A1.7). No screening form or LDC/LFC record sighted.</t>
        </is>
      </c>
      <c r="K7" s="16" t="inlineStr">
        <is>
          <t xml:space="preserve">Provisional: DRRM input to LDC/LFC is informal; no screening step. CPDO and Budget KII pending.</t>
        </is>
      </c>
      <c r="L7" s="16" t="inlineStr">
        <is>
          <t xml:space="preserve">Add a one-page DRR/CCA screening form to LDC/LFC project review (hazard overlay, exposure, design standard, climate expenditure tag), owned by CPDO with CDRRMO sign-off.</t>
        </is>
      </c>
      <c r="M7" s="48" t="str">
        <f t="shared" si="1"/>
        <v/>
      </c>
      <c r="N7" s="49" t="str">
        <f t="shared" si="2"/>
        <v/>
      </c>
      <c r="O7" s="49" t="str">
        <f t="shared" si="3"/>
        <v>Not scored</v>
      </c>
      <c r="P7" s="10" t="s">
        <v>1120</v>
      </c>
      <c r="Q7" s="49">
        <f t="shared" si="4"/>
        <v>0</v>
      </c>
      <c r="R7" s="49">
        <f t="shared" si="5"/>
        <v>0</v>
      </c>
      <c r="S7" s="49">
        <f t="shared" si="6"/>
        <v>0</v>
      </c>
      <c r="T7" s="49"/>
      <c r="U7" s="49"/>
      <c r="V7" s="1"/>
      <c r="W7" s="1"/>
      <c r="X7" s="1"/>
      <c r="Y7" s="1"/>
      <c r="Z7" s="1"/>
    </row>
    <row r="8" ht="43.5" customHeight="1">
      <c r="A8" s="47" t="s">
        <v>1121</v>
      </c>
      <c r="B8" s="47" t="s">
        <v>1105</v>
      </c>
      <c r="C8" s="10" t="s">
        <v>1122</v>
      </c>
      <c r="D8" s="10" t="s">
        <v>1123</v>
      </c>
      <c r="E8" s="47" t="s">
        <v>1108</v>
      </c>
      <c r="F8" s="10" t="s">
        <v>1124</v>
      </c>
      <c r="G8" s="47" t="s">
        <v>179</v>
      </c>
      <c r="H8" s="47">
        <v>1.0</v>
      </c>
      <c r="I8" s="17">
        <v>2</v>
      </c>
      <c r="J8" s="16" t="inlineStr">
        <is>
          <t xml:space="preserve">DR: CDRA Final Report estimates exposure and risk for population (incl. informal settlers, light-material houses and households below poverty), urban use areas (PHP values), agriculture and fisheries production areas, critical-point facilities and lifelines; ecosystems are covered by qualitative impact chains.</t>
        </is>
      </c>
      <c r="K8" s="16" t="inlineStr">
        <is>
          <t xml:space="preserve">Jobs and income losses, ecosystem service losses and cultural heritage (CLUP Heritage Overlay Zone) are not quantified. Desk-review cap of 2.</t>
        </is>
      </c>
      <c r="L8" s="16" t="inlineStr">
        <is>
          <t xml:space="preserve">In the CDRA update, estimate jobs and income lost, displacement days, ecosystem services and heritage assets in the Heritage Overlay Zone; use the 10-Yr Plan business data (establishments, employment) as the baseline.</t>
        </is>
      </c>
      <c r="M8" s="48" t="str">
        <f t="shared" si="1"/>
        <v/>
      </c>
      <c r="N8" s="49" t="str">
        <f t="shared" si="2"/>
        <v/>
      </c>
      <c r="O8" s="49" t="str">
        <f t="shared" si="3"/>
        <v>Not scored</v>
      </c>
      <c r="P8" s="10" t="s">
        <v>333</v>
      </c>
      <c r="Q8" s="49">
        <f t="shared" si="4"/>
        <v>0</v>
      </c>
      <c r="R8" s="49">
        <f t="shared" si="5"/>
        <v>0</v>
      </c>
      <c r="S8" s="49">
        <f t="shared" si="6"/>
        <v>0</v>
      </c>
      <c r="T8" s="49"/>
      <c r="U8" s="49"/>
      <c r="V8" s="1"/>
      <c r="W8" s="1"/>
      <c r="X8" s="1"/>
      <c r="Y8" s="1"/>
      <c r="Z8" s="1"/>
    </row>
    <row r="9" ht="30.75" customHeight="1">
      <c r="A9" s="47" t="s">
        <v>1128</v>
      </c>
      <c r="B9" s="47" t="s">
        <v>1105</v>
      </c>
      <c r="C9" s="10" t="s">
        <v>1129</v>
      </c>
      <c r="D9" s="10" t="s">
        <v>1130</v>
      </c>
      <c r="E9" s="47" t="s">
        <v>1131</v>
      </c>
      <c r="F9" s="10" t="s">
        <v>1132</v>
      </c>
      <c r="G9" s="47" t="s">
        <v>196</v>
      </c>
      <c r="H9" s="47">
        <v>2.0</v>
      </c>
      <c r="I9" s="17">
        <v>2.0</v>
      </c>
      <c r="J9" s="16" t="inlineStr">
        <is>
          <t xml:space="preserve">DR: ZO (CLUP 2017-2027) requires a locational clearance before a building permit, Water Code easements, a 5-m Marina Fault easement and no-build zones; no flood, landslide or storm-surge overlay. CENRO/CDRRMO sit on the Local Zoning Review Committee.</t>
        </is>
      </c>
      <c r="K9" s="16" t="inlineStr">
        <is>
          <t xml:space="preserve">Provisional. Hazard-based permit review is limited to easements; permit records not sighted.</t>
        </is>
      </c>
      <c r="L9" s="16" t="inlineStr">
        <is>
          <t xml:space="preserve">Add hazard overlay zones and permit conditions (floor elevation, setbacks, geotechnical study) in the ZO update; have the Zoning Administrator check hazard maps for each locational clearance; use the CDRRMO seat on the LZRC to review hazard cases.</t>
        </is>
      </c>
      <c r="M9" s="48">
        <f t="shared" si="1"/>
        <v>4</v>
      </c>
      <c r="N9" s="49" t="str">
        <f t="shared" si="2"/>
        <v>Medium</v>
      </c>
      <c r="O9" s="49" t="str">
        <f t="shared" si="3"/>
        <v>Below</v>
      </c>
      <c r="P9" s="10" t="s">
        <v>333</v>
      </c>
      <c r="Q9" s="49">
        <f t="shared" si="4"/>
        <v>4</v>
      </c>
      <c r="R9" s="49">
        <f t="shared" si="5"/>
        <v>8</v>
      </c>
      <c r="S9" s="49">
        <f t="shared" si="6"/>
        <v>1</v>
      </c>
      <c r="T9" s="49"/>
      <c r="U9" s="49"/>
      <c r="V9" s="1"/>
      <c r="W9" s="1"/>
      <c r="X9" s="1"/>
      <c r="Y9" s="1"/>
      <c r="Z9" s="1"/>
    </row>
    <row r="10" ht="15.0" customHeight="1">
      <c r="A10" s="44" t="s">
        <v>1136</v>
      </c>
      <c r="B10" s="45"/>
      <c r="C10" s="45"/>
      <c r="D10" s="45"/>
      <c r="E10" s="45"/>
      <c r="F10" s="45"/>
      <c r="G10" s="45"/>
      <c r="H10" s="45"/>
      <c r="I10" s="45"/>
      <c r="J10" s="45"/>
      <c r="K10" s="45"/>
      <c r="L10" s="45"/>
      <c r="M10" s="45"/>
      <c r="N10" s="45"/>
      <c r="O10" s="45"/>
      <c r="P10" s="46"/>
      <c r="Q10" s="1"/>
      <c r="R10" s="1"/>
      <c r="S10" s="1"/>
      <c r="T10" s="1"/>
      <c r="U10" s="1"/>
      <c r="V10" s="1"/>
      <c r="W10" s="1"/>
      <c r="X10" s="1"/>
      <c r="Y10" s="1"/>
      <c r="Z10" s="1"/>
    </row>
    <row r="11" ht="55.5" customHeight="1">
      <c r="A11" s="47" t="s">
        <v>1137</v>
      </c>
      <c r="B11" s="47" t="s">
        <v>1138</v>
      </c>
      <c r="C11" s="10" t="s">
        <v>1139</v>
      </c>
      <c r="D11" s="10" t="s">
        <v>1140</v>
      </c>
      <c r="E11" s="47" t="s">
        <v>1141</v>
      </c>
      <c r="F11" s="10" t="s">
        <v>1142</v>
      </c>
      <c r="G11" s="47" t="s">
        <v>273</v>
      </c>
      <c r="H11" s="47">
        <v>3.0</v>
      </c>
      <c r="I11" s="17">
        <v>1</v>
      </c>
      <c r="J11" s="16" t="inlineStr">
        <is>
          <t xml:space="preserve">DR: CDRA scores critical-point facility vulnerability (e.g., ECs and covered courts rated 'Poor'; most facilities lack landslide mitigation measures); 10-Yr Plan plans retrofitting of 30 ECs. No Building Official structural assessment or pre-impact inspection procedure sighted.</t>
        </is>
      </c>
      <c r="K11" s="16" t="inlineStr">
        <is>
          <t xml:space="preserve">Provisional: a desk vulnerability scoring exists, but no engineering assessment or rapid pre-impact inspection.</t>
        </is>
      </c>
      <c r="L11" s="16" t="inlineStr">
        <is>
          <t xml:space="preserve">Have the Building Official assess the EOC, ECs and critical public facilities, starting with those rated 'Poor' in the CDRA; write a rapid pre-impact inspection checklist used at the PDRA stage.</t>
        </is>
      </c>
      <c r="M11" s="48" t="str">
        <f t="shared" ref="M11:M13" si="7">IF(ISNUMBER(I11),(4-I11)*H11,"")</f>
        <v/>
      </c>
      <c r="N11" s="49" t="str">
        <f t="shared" ref="N11:N13" si="8">IF(M11="","",IF(M11&gt;=9,"High",IF(M11&gt;=4,"Medium","Low")))</f>
        <v/>
      </c>
      <c r="O11" s="49" t="str">
        <f t="shared" ref="O11:O13" si="9">IF(NOT(ISNUMBER(I11)),IF(I11="NA","N/A","Not scored"),IF(I11&gt;=3,"Meets","Below"))</f>
        <v>Not scored</v>
      </c>
      <c r="P11" s="10" t="s">
        <v>1145</v>
      </c>
      <c r="Q11" s="49">
        <f t="shared" ref="Q11:Q13" si="10">IF(ISNUMBER(I11),I11*H11,0)</f>
        <v>0</v>
      </c>
      <c r="R11" s="49">
        <f t="shared" ref="R11:R13" si="11">IF(ISNUMBER(I11),4*H11,0)</f>
        <v>0</v>
      </c>
      <c r="S11" s="49">
        <f t="shared" ref="S11:S13" si="12">IF(ISNUMBER(I11),1,0)</f>
        <v>0</v>
      </c>
      <c r="T11" s="49"/>
      <c r="U11" s="49"/>
      <c r="V11" s="1"/>
      <c r="W11" s="1"/>
      <c r="X11" s="1"/>
      <c r="Y11" s="1"/>
      <c r="Z11" s="1"/>
    </row>
    <row r="12" ht="55.5" customHeight="1">
      <c r="A12" s="47" t="s">
        <v>1146</v>
      </c>
      <c r="B12" s="47" t="s">
        <v>1138</v>
      </c>
      <c r="C12" s="10" t="s">
        <v>1147</v>
      </c>
      <c r="D12" s="10" t="s">
        <v>1148</v>
      </c>
      <c r="E12" s="47" t="s">
        <v>1149</v>
      </c>
      <c r="F12" s="10" t="s">
        <v>1150</v>
      </c>
      <c r="G12" s="47" t="s">
        <v>196</v>
      </c>
      <c r="H12" s="47">
        <v>2.0</v>
      </c>
      <c r="I12" s="17">
        <v>1.0</v>
      </c>
      <c r="J12" s="16" t="inlineStr">
        <is>
          <t xml:space="preserve">DR: telco restoration MOA planned (10-Yr Plan); CDRA rates lifeline exposure by barangay and notes no lifeline utility is insured; CDRA MDA 2 recommends lifeline dependency maps and restoration priorities.</t>
        </is>
      </c>
      <c r="K12" s="16" t="s">
        <v>963</v>
      </c>
      <c r="L12" s="16" t="s">
        <v>1152</v>
      </c>
      <c r="M12" s="48">
        <f t="shared" si="7"/>
        <v>6</v>
      </c>
      <c r="N12" s="49" t="str">
        <f t="shared" si="8"/>
        <v>Medium</v>
      </c>
      <c r="O12" s="49" t="str">
        <f t="shared" si="9"/>
        <v>Below</v>
      </c>
      <c r="P12" s="10" t="s">
        <v>1153</v>
      </c>
      <c r="Q12" s="49">
        <f t="shared" si="10"/>
        <v>2</v>
      </c>
      <c r="R12" s="49">
        <f t="shared" si="11"/>
        <v>8</v>
      </c>
      <c r="S12" s="49">
        <f t="shared" si="12"/>
        <v>1</v>
      </c>
      <c r="T12" s="49"/>
      <c r="U12" s="49"/>
      <c r="V12" s="1"/>
      <c r="W12" s="1"/>
      <c r="X12" s="1"/>
      <c r="Y12" s="1"/>
      <c r="Z12" s="1"/>
    </row>
    <row r="13" ht="43.5" customHeight="1">
      <c r="A13" s="47" t="s">
        <v>1154</v>
      </c>
      <c r="B13" s="47" t="s">
        <v>1138</v>
      </c>
      <c r="C13" s="10" t="s">
        <v>1155</v>
      </c>
      <c r="D13" s="10" t="s">
        <v>1156</v>
      </c>
      <c r="E13" s="47" t="s">
        <v>1157</v>
      </c>
      <c r="F13" s="10" t="s">
        <v>1158</v>
      </c>
      <c r="G13" s="47" t="s">
        <v>196</v>
      </c>
      <c r="H13" s="47">
        <v>2.0</v>
      </c>
      <c r="I13" s="17">
        <v>1</v>
      </c>
      <c r="J13" s="16" t="inlineStr">
        <is>
          <t xml:space="preserve">DR: CDRA identifies high-consequence lifeline roads (e.g., Macabug Road, Sumangga Road, PNOC roads, Lake Danao Circumferential Road) and Ormoc Port's exposure to storm surge; CDRA MDA 2 recommends identifying critical road segments, bridges and alternate routes. No bridge pre-inspection list, route plan or port coordination protocol sighted.</t>
        </is>
      </c>
      <c r="K13" s="16" t="inlineStr">
        <is>
          <t xml:space="preserve">Provisional desk score pending KII with City Engineer, DPWH and the port.</t>
        </is>
      </c>
      <c r="L13" s="16" t="inlineStr">
        <is>
          <t xml:space="preserve">With DPWH, the City Engineer, the traffic office and the port authority, write transport anticipatory actions: bridge pre-inspection list, alternate routes, traffic teams, port and terminal suspension, and care for stranded passengers.</t>
        </is>
      </c>
      <c r="M13" s="48" t="str">
        <f t="shared" si="7"/>
        <v/>
      </c>
      <c r="N13" s="49" t="str">
        <f t="shared" si="8"/>
        <v/>
      </c>
      <c r="O13" s="49" t="str">
        <f t="shared" si="9"/>
        <v>Not scored</v>
      </c>
      <c r="P13" s="10" t="s">
        <v>1030</v>
      </c>
      <c r="Q13" s="49">
        <f t="shared" si="10"/>
        <v>0</v>
      </c>
      <c r="R13" s="49">
        <f t="shared" si="11"/>
        <v>0</v>
      </c>
      <c r="S13" s="49">
        <f t="shared" si="12"/>
        <v>0</v>
      </c>
      <c r="T13" s="49"/>
      <c r="U13" s="49"/>
      <c r="V13" s="1"/>
      <c r="W13" s="1"/>
      <c r="X13" s="1"/>
      <c r="Y13" s="1"/>
      <c r="Z13" s="1"/>
    </row>
    <row r="14" ht="15.0" customHeight="1">
      <c r="A14" s="44" t="s">
        <v>1161</v>
      </c>
      <c r="B14" s="45"/>
      <c r="C14" s="45"/>
      <c r="D14" s="45"/>
      <c r="E14" s="45"/>
      <c r="F14" s="45"/>
      <c r="G14" s="45"/>
      <c r="H14" s="45"/>
      <c r="I14" s="45"/>
      <c r="J14" s="45"/>
      <c r="K14" s="45"/>
      <c r="L14" s="45"/>
      <c r="M14" s="45"/>
      <c r="N14" s="45"/>
      <c r="O14" s="45"/>
      <c r="P14" s="46"/>
      <c r="Q14" s="1"/>
      <c r="R14" s="1"/>
      <c r="S14" s="1"/>
      <c r="T14" s="1"/>
      <c r="U14" s="1"/>
      <c r="V14" s="1"/>
      <c r="W14" s="1"/>
      <c r="X14" s="1"/>
      <c r="Y14" s="1"/>
      <c r="Z14" s="1"/>
    </row>
    <row r="15" ht="43.5" customHeight="1">
      <c r="A15" s="47" t="s">
        <v>1162</v>
      </c>
      <c r="B15" s="47" t="s">
        <v>1163</v>
      </c>
      <c r="C15" s="10" t="s">
        <v>1164</v>
      </c>
      <c r="D15" s="10" t="s">
        <v>1165</v>
      </c>
      <c r="E15" s="47" t="s">
        <v>1166</v>
      </c>
      <c r="F15" s="10" t="s">
        <v>1167</v>
      </c>
      <c r="G15" s="47" t="s">
        <v>196</v>
      </c>
      <c r="H15" s="47">
        <v>2.0</v>
      </c>
      <c r="I15" s="17">
        <v>2</v>
      </c>
      <c r="J15" s="16" t="inlineStr">
        <is>
          <t xml:space="preserve">DR: CLUP/ZO maps Critical Habitat and Key Biodiversity Area overlay zones and protected areas; CDRA impact chains cover forest and coastal (mangrove) ecosystems; watershed characterization (Malbasag, Pagsanga-an, Haubon) and mangrove restoration are 10-Yr Plan PPAs.</t>
        </is>
      </c>
      <c r="K15" s="16" t="inlineStr">
        <is>
          <t xml:space="preserve">Protective ecosystems are identified in plans but not monitored as risk-reduction assets. Desk-review cap of 2.</t>
        </is>
      </c>
      <c r="L15" s="16" t="inlineStr">
        <is>
          <t xml:space="preserve">Complete the watershed study; monitor forest cover in the upper Anilao-Malbasag watershed and mangrove area each year and report it to the CDRRMC (CDRA MDA 3 and 5).</t>
        </is>
      </c>
      <c r="M15" s="48">
        <f t="shared" ref="M15:M17" si="13">IF(ISNUMBER(I15),(4-I15)*H15,"")</f>
        <v>6</v>
      </c>
      <c r="N15" s="49" t="str">
        <f t="shared" ref="N15:N17" si="14">IF(M15="","",IF(M15&gt;=9,"High",IF(M15&gt;=4,"Medium","Low")))</f>
        <v>Medium</v>
      </c>
      <c r="O15" s="49" t="str">
        <f t="shared" ref="O15:O17" si="15">IF(NOT(ISNUMBER(I15)),IF(I15="NA","N/A","Not scored"),IF(I15&gt;=3,"Meets","Below"))</f>
        <v>Below</v>
      </c>
      <c r="P15" s="10" t="s">
        <v>333</v>
      </c>
      <c r="Q15" s="49">
        <f t="shared" ref="Q15:Q17" si="16">IF(ISNUMBER(I15),I15*H15,0)</f>
        <v>2</v>
      </c>
      <c r="R15" s="49">
        <f t="shared" ref="R15:R17" si="17">IF(ISNUMBER(I15),4*H15,0)</f>
        <v>8</v>
      </c>
      <c r="S15" s="49">
        <f t="shared" ref="S15:S17" si="18">IF(ISNUMBER(I15),1,0)</f>
        <v>1</v>
      </c>
      <c r="T15" s="49"/>
      <c r="U15" s="49"/>
      <c r="V15" s="1"/>
      <c r="W15" s="1"/>
      <c r="X15" s="1"/>
      <c r="Y15" s="1"/>
      <c r="Z15" s="1"/>
    </row>
    <row r="16" ht="43.5" customHeight="1">
      <c r="A16" s="47" t="s">
        <v>1170</v>
      </c>
      <c r="B16" s="47" t="s">
        <v>1163</v>
      </c>
      <c r="C16" s="10" t="s">
        <v>1171</v>
      </c>
      <c r="D16" s="10" t="s">
        <v>1172</v>
      </c>
      <c r="E16" s="47" t="s">
        <v>1173</v>
      </c>
      <c r="F16" s="10" t="s">
        <v>1174</v>
      </c>
      <c r="G16" s="47" t="s">
        <v>196</v>
      </c>
      <c r="H16" s="47">
        <v>1.0</v>
      </c>
      <c r="I16" s="17">
        <v>1.0</v>
      </c>
      <c r="J16" s="16" t="s">
        <v>1175</v>
      </c>
      <c r="K16" s="16" t="s">
        <v>963</v>
      </c>
      <c r="L16" s="16" t="s">
        <v>1176</v>
      </c>
      <c r="M16" s="48">
        <f t="shared" si="13"/>
        <v>3</v>
      </c>
      <c r="N16" s="49" t="str">
        <f t="shared" si="14"/>
        <v>Low</v>
      </c>
      <c r="O16" s="49" t="str">
        <f t="shared" si="15"/>
        <v>Below</v>
      </c>
      <c r="P16" s="10" t="s">
        <v>746</v>
      </c>
      <c r="Q16" s="49">
        <f t="shared" si="16"/>
        <v>1</v>
      </c>
      <c r="R16" s="49">
        <f t="shared" si="17"/>
        <v>4</v>
      </c>
      <c r="S16" s="49">
        <f t="shared" si="18"/>
        <v>1</v>
      </c>
      <c r="T16" s="49"/>
      <c r="U16" s="49"/>
      <c r="V16" s="1"/>
      <c r="W16" s="1"/>
      <c r="X16" s="1"/>
      <c r="Y16" s="1"/>
      <c r="Z16" s="1"/>
    </row>
    <row r="17" ht="43.5" customHeight="1">
      <c r="A17" s="47" t="s">
        <v>1177</v>
      </c>
      <c r="B17" s="47" t="s">
        <v>1163</v>
      </c>
      <c r="C17" s="10" t="s">
        <v>1178</v>
      </c>
      <c r="D17" s="10" t="s">
        <v>1179</v>
      </c>
      <c r="E17" s="47" t="s">
        <v>1180</v>
      </c>
      <c r="F17" s="10" t="s">
        <v>1181</v>
      </c>
      <c r="G17" s="47" t="s">
        <v>196</v>
      </c>
      <c r="H17" s="47">
        <v>2.0</v>
      </c>
      <c r="I17" s="17">
        <v>1.0</v>
      </c>
      <c r="J17" s="16" t="inlineStr">
        <is>
          <t xml:space="preserve">DR: construction-firm MOA for debris clearing and a Drainage and Sewerage Master Plan are planned PPAs (10-Yr Plan); ZO sets river easements.</t>
        </is>
      </c>
      <c r="K17" s="16" t="s">
        <v>963</v>
      </c>
      <c r="L17" s="16" t="s">
        <v>1183</v>
      </c>
      <c r="M17" s="48">
        <f t="shared" si="13"/>
        <v>6</v>
      </c>
      <c r="N17" s="49" t="str">
        <f t="shared" si="14"/>
        <v>Medium</v>
      </c>
      <c r="O17" s="49" t="str">
        <f t="shared" si="15"/>
        <v>Below</v>
      </c>
      <c r="P17" s="10" t="s">
        <v>668</v>
      </c>
      <c r="Q17" s="49">
        <f t="shared" si="16"/>
        <v>2</v>
      </c>
      <c r="R17" s="49">
        <f t="shared" si="17"/>
        <v>8</v>
      </c>
      <c r="S17" s="49">
        <f t="shared" si="18"/>
        <v>1</v>
      </c>
      <c r="T17" s="49"/>
      <c r="U17" s="49"/>
      <c r="V17" s="1"/>
      <c r="W17" s="1"/>
      <c r="X17" s="1"/>
      <c r="Y17" s="1"/>
      <c r="Z17" s="1"/>
    </row>
    <row r="18" ht="15.0" customHeight="1">
      <c r="A18" s="44" t="s">
        <v>1184</v>
      </c>
      <c r="B18" s="45"/>
      <c r="C18" s="45"/>
      <c r="D18" s="45"/>
      <c r="E18" s="45"/>
      <c r="F18" s="45"/>
      <c r="G18" s="45"/>
      <c r="H18" s="45"/>
      <c r="I18" s="45"/>
      <c r="J18" s="45"/>
      <c r="K18" s="45"/>
      <c r="L18" s="45"/>
      <c r="M18" s="45"/>
      <c r="N18" s="45"/>
      <c r="O18" s="45"/>
      <c r="P18" s="46"/>
      <c r="Q18" s="1"/>
      <c r="R18" s="1"/>
      <c r="S18" s="1"/>
      <c r="T18" s="1"/>
      <c r="U18" s="1"/>
      <c r="V18" s="1"/>
      <c r="W18" s="1"/>
      <c r="X18" s="1"/>
      <c r="Y18" s="1"/>
      <c r="Z18" s="1"/>
    </row>
    <row r="19" ht="55.5" customHeight="1">
      <c r="A19" s="47" t="s">
        <v>1185</v>
      </c>
      <c r="B19" s="47" t="s">
        <v>1186</v>
      </c>
      <c r="C19" s="10" t="s">
        <v>1187</v>
      </c>
      <c r="D19" s="10" t="s">
        <v>1188</v>
      </c>
      <c r="E19" s="47" t="s">
        <v>1189</v>
      </c>
      <c r="F19" s="10" t="s">
        <v>1190</v>
      </c>
      <c r="G19" s="47" t="s">
        <v>196</v>
      </c>
      <c r="H19" s="47">
        <v>3.0</v>
      </c>
      <c r="I19" s="17">
        <v>1.0</v>
      </c>
      <c r="J19" s="16" t="s">
        <v>1191</v>
      </c>
      <c r="K19" s="16" t="s">
        <v>963</v>
      </c>
      <c r="L19" s="16" t="s">
        <v>1192</v>
      </c>
      <c r="M19" s="48">
        <f t="shared" ref="M19:M22" si="19">IF(ISNUMBER(I19),(4-I19)*H19,"")</f>
        <v>9</v>
      </c>
      <c r="N19" s="49" t="str">
        <f t="shared" ref="N19:N22" si="20">IF(M19="","",IF(M19&gt;=9,"High",IF(M19&gt;=4,"Medium","Low")))</f>
        <v>High</v>
      </c>
      <c r="O19" s="49" t="str">
        <f t="shared" ref="O19:O22" si="21">IF(NOT(ISNUMBER(I19)),IF(I19="NA","N/A","Not scored"),IF(I19&gt;=3,"Meets","Below"))</f>
        <v>Below</v>
      </c>
      <c r="P19" s="10" t="s">
        <v>654</v>
      </c>
      <c r="Q19" s="49">
        <f t="shared" ref="Q19:Q22" si="22">IF(ISNUMBER(I19),I19*H19,0)</f>
        <v>3</v>
      </c>
      <c r="R19" s="49">
        <f t="shared" ref="R19:R22" si="23">IF(ISNUMBER(I19),4*H19,0)</f>
        <v>12</v>
      </c>
      <c r="S19" s="49">
        <f t="shared" ref="S19:S22" si="24">IF(ISNUMBER(I19),1,0)</f>
        <v>1</v>
      </c>
      <c r="T19" s="49"/>
      <c r="U19" s="49"/>
      <c r="V19" s="1"/>
      <c r="W19" s="1"/>
      <c r="X19" s="1"/>
      <c r="Y19" s="1"/>
      <c r="Z19" s="1"/>
    </row>
    <row r="20" ht="30.75" customHeight="1">
      <c r="A20" s="47" t="s">
        <v>1193</v>
      </c>
      <c r="B20" s="47" t="s">
        <v>1186</v>
      </c>
      <c r="C20" s="10" t="s">
        <v>1194</v>
      </c>
      <c r="D20" s="10" t="s">
        <v>1195</v>
      </c>
      <c r="E20" s="47" t="s">
        <v>1196</v>
      </c>
      <c r="F20" s="10" t="s">
        <v>1197</v>
      </c>
      <c r="G20" s="47" t="s">
        <v>196</v>
      </c>
      <c r="H20" s="47">
        <v>2.0</v>
      </c>
      <c r="I20" s="17">
        <v>1</v>
      </c>
      <c r="J20" s="16" t="inlineStr">
        <is>
          <t xml:space="preserve">DR: school DRRM coordinator training is a 10-Yr Plan PPA; DepEd SDO school AA plans and learning-continuity modalities not sighted.</t>
        </is>
      </c>
      <c r="K20" s="16" t="inlineStr">
        <is>
          <t xml:space="preserve">Provisional desk score pending DepEd KII.</t>
        </is>
      </c>
      <c r="L20" s="16" t="inlineStr">
        <is>
          <t xml:space="preserve">Ask DepEd SDO Ormoc for school contingency/AA plans and learning-continuity modalities; agree triggers for class suspension and school use as ECs (link A1.5, A6.2).</t>
        </is>
      </c>
      <c r="M20" s="48" t="str">
        <f t="shared" si="19"/>
        <v/>
      </c>
      <c r="N20" s="49" t="str">
        <f t="shared" si="20"/>
        <v/>
      </c>
      <c r="O20" s="49" t="str">
        <f t="shared" si="21"/>
        <v>Not scored</v>
      </c>
      <c r="P20" s="10" t="s">
        <v>654</v>
      </c>
      <c r="Q20" s="49">
        <f t="shared" si="22"/>
        <v>0</v>
      </c>
      <c r="R20" s="49">
        <f t="shared" si="23"/>
        <v>0</v>
      </c>
      <c r="S20" s="49">
        <f t="shared" si="24"/>
        <v>0</v>
      </c>
      <c r="T20" s="49"/>
      <c r="U20" s="49"/>
      <c r="V20" s="1"/>
      <c r="W20" s="1"/>
      <c r="X20" s="1"/>
      <c r="Y20" s="1"/>
      <c r="Z20" s="1"/>
    </row>
    <row r="21" ht="43.5" customHeight="1">
      <c r="A21" s="47" t="s">
        <v>1200</v>
      </c>
      <c r="B21" s="47" t="s">
        <v>1186</v>
      </c>
      <c r="C21" s="10" t="s">
        <v>1201</v>
      </c>
      <c r="D21" s="10" t="s">
        <v>1202</v>
      </c>
      <c r="E21" s="47" t="s">
        <v>1203</v>
      </c>
      <c r="F21" s="10" t="s">
        <v>1204</v>
      </c>
      <c r="G21" s="47" t="s">
        <v>196</v>
      </c>
      <c r="H21" s="47">
        <v>2.0</v>
      </c>
      <c r="I21" s="17">
        <v>1</v>
      </c>
      <c r="J21" s="16" t="inlineStr">
        <is>
          <t xml:space="preserve">DR: 5,470 farmers (RSBSA 2021) and 5,295 fisherfolk (FishR) registered (10-Yr Plan); buffer seed stock and storage facilities are PPAs; CDRA rates production-area risk by barangay. No early action guidelines sighted.</t>
        </is>
      </c>
      <c r="K21" s="16" t="inlineStr">
        <is>
          <t xml:space="preserve">Provisional: registries exist, but no agri-fisheries early action guidelines. CAO/CVO KII pending.</t>
        </is>
      </c>
      <c r="L21" s="16" t="inlineStr">
        <is>
          <t xml:space="preserve">With CAO and CVO, draft agri-fisheries early action guidelines (early harvest advisories, seed and input prepositioning, livestock evacuation, animal health) using RSBSA/FishR lists and the CDRA high-risk production areas.</t>
        </is>
      </c>
      <c r="M21" s="48" t="str">
        <f t="shared" si="19"/>
        <v/>
      </c>
      <c r="N21" s="49" t="str">
        <f t="shared" si="20"/>
        <v/>
      </c>
      <c r="O21" s="49" t="str">
        <f t="shared" si="21"/>
        <v>Not scored</v>
      </c>
      <c r="P21" s="10" t="s">
        <v>654</v>
      </c>
      <c r="Q21" s="49">
        <f t="shared" si="22"/>
        <v>0</v>
      </c>
      <c r="R21" s="49">
        <f t="shared" si="23"/>
        <v>0</v>
      </c>
      <c r="S21" s="49">
        <f t="shared" si="24"/>
        <v>0</v>
      </c>
      <c r="T21" s="49"/>
      <c r="U21" s="49"/>
      <c r="V21" s="1"/>
      <c r="W21" s="1"/>
      <c r="X21" s="1"/>
      <c r="Y21" s="1"/>
      <c r="Z21" s="1"/>
    </row>
    <row r="22" ht="30.75" customHeight="1">
      <c r="A22" s="47" t="s">
        <v>1207</v>
      </c>
      <c r="B22" s="47" t="s">
        <v>1186</v>
      </c>
      <c r="C22" s="10" t="s">
        <v>1208</v>
      </c>
      <c r="D22" s="10" t="s">
        <v>1209</v>
      </c>
      <c r="E22" s="47" t="s">
        <v>1210</v>
      </c>
      <c r="F22" s="10" t="s">
        <v>1211</v>
      </c>
      <c r="G22" s="47" t="s">
        <v>196</v>
      </c>
      <c r="H22" s="47">
        <v>1.0</v>
      </c>
      <c r="I22" s="17">
        <v>1</v>
      </c>
      <c r="J22" s="16" t="inlineStr">
        <is>
          <t xml:space="preserve">DR: no pre-impact price monitoring arrangement with DTI found; price freeze is treated only as a post-declaration measure under the State of Calamity protocol (A1.6).</t>
        </is>
      </c>
      <c r="K22" s="16" t="inlineStr">
        <is>
          <t xml:space="preserve">Provisional desk score pending DTI KII.</t>
        </is>
      </c>
      <c r="L22" s="16" t="inlineStr">
        <is>
          <t xml:space="preserve">Agree with DTI Leyte and the city market office to monitor basic-goods prices from the PDRA stage and report them to the EOC (RA 7581).</t>
        </is>
      </c>
      <c r="M22" s="48" t="str">
        <f t="shared" si="19"/>
        <v/>
      </c>
      <c r="N22" s="49" t="str">
        <f t="shared" si="20"/>
        <v/>
      </c>
      <c r="O22" s="49" t="str">
        <f t="shared" si="21"/>
        <v>Not scored</v>
      </c>
      <c r="P22" s="10" t="s">
        <v>654</v>
      </c>
      <c r="Q22" s="49">
        <f t="shared" si="22"/>
        <v>0</v>
      </c>
      <c r="R22" s="49">
        <f t="shared" si="23"/>
        <v>0</v>
      </c>
      <c r="S22" s="49">
        <f t="shared" si="24"/>
        <v>0</v>
      </c>
      <c r="T22" s="49"/>
      <c r="U22" s="49"/>
      <c r="V22" s="1"/>
      <c r="W22" s="1"/>
      <c r="X22" s="1"/>
      <c r="Y22" s="1"/>
      <c r="Z22" s="1"/>
    </row>
    <row r="23" ht="15.0" customHeight="1">
      <c r="A23" s="44" t="s">
        <v>1214</v>
      </c>
      <c r="B23" s="45"/>
      <c r="C23" s="45"/>
      <c r="D23" s="45"/>
      <c r="E23" s="45"/>
      <c r="F23" s="45"/>
      <c r="G23" s="45"/>
      <c r="H23" s="45"/>
      <c r="I23" s="45"/>
      <c r="J23" s="45"/>
      <c r="K23" s="45"/>
      <c r="L23" s="45"/>
      <c r="M23" s="45"/>
      <c r="N23" s="45"/>
      <c r="O23" s="45"/>
      <c r="P23" s="46"/>
      <c r="Q23" s="1"/>
      <c r="R23" s="1"/>
      <c r="S23" s="1"/>
      <c r="T23" s="1"/>
      <c r="U23" s="1"/>
      <c r="V23" s="1"/>
      <c r="W23" s="1"/>
      <c r="X23" s="1"/>
      <c r="Y23" s="1"/>
      <c r="Z23" s="1"/>
    </row>
    <row r="24" ht="43.5" customHeight="1">
      <c r="A24" s="47" t="s">
        <v>1215</v>
      </c>
      <c r="B24" s="47" t="s">
        <v>1216</v>
      </c>
      <c r="C24" s="10" t="s">
        <v>1217</v>
      </c>
      <c r="D24" s="10" t="s">
        <v>1218</v>
      </c>
      <c r="E24" s="47" t="s">
        <v>1219</v>
      </c>
      <c r="F24" s="10" t="s">
        <v>1220</v>
      </c>
      <c r="G24" s="47" t="s">
        <v>196</v>
      </c>
      <c r="H24" s="47">
        <v>1.0</v>
      </c>
      <c r="I24" s="17">
        <v>1</v>
      </c>
      <c r="J24" s="16" t="inlineStr">
        <is>
          <t xml:space="preserve">DR: 10-Yr Plan PPA: policy granting incentives to MSMEs with business continuity plans; the Chamber of Commerce sits on the Local Zoning Review Committee (CLUP). No outreach records.</t>
        </is>
      </c>
      <c r="K24" s="16" t="inlineStr">
        <is>
          <t xml:space="preserve">Provisional: outreach not yet started; Chamber KII pending.</t>
        </is>
      </c>
      <c r="L24" s="16" t="inlineStr">
        <is>
          <t xml:space="preserve">Run BCP outreach with the Chamber using CDRA hazard scenarios; track the number of MSMEs with BCPs as the 10-Yr Plan indicator.</t>
        </is>
      </c>
      <c r="M24" s="48" t="str">
        <f>IF(ISNUMBER(I24),(4-I24)*H24,"")</f>
        <v/>
      </c>
      <c r="N24" s="49" t="str">
        <f>IF(M24="","",IF(M24&gt;=9,"High",IF(M24&gt;=4,"Medium","Low")))</f>
        <v/>
      </c>
      <c r="O24" s="49" t="str">
        <f>IF(NOT(ISNUMBER(I24)),IF(I24="NA","N/A","Not scored"),IF(I24&gt;=3,"Meets","Below"))</f>
        <v>Not scored</v>
      </c>
      <c r="P24" s="10" t="s">
        <v>746</v>
      </c>
      <c r="Q24" s="49">
        <f>IF(ISNUMBER(I24),I24*H24,0)</f>
        <v>0</v>
      </c>
      <c r="R24" s="49">
        <f>IF(ISNUMBER(I24),4*H24,0)</f>
        <v>0</v>
      </c>
      <c r="S24" s="49">
        <f>IF(ISNUMBER(I24),1,0)</f>
        <v>0</v>
      </c>
      <c r="T24" s="49"/>
      <c r="U24" s="49"/>
      <c r="V24" s="1"/>
      <c r="W24" s="1"/>
      <c r="X24" s="1"/>
      <c r="Y24" s="1"/>
      <c r="Z24" s="1"/>
    </row>
    <row r="25" ht="15.0" customHeight="1">
      <c r="A25" s="47"/>
      <c r="B25" s="47"/>
      <c r="C25" s="10"/>
      <c r="D25" s="10"/>
      <c r="E25" s="47"/>
      <c r="F25" s="10"/>
      <c r="G25" s="47"/>
      <c r="H25" s="47"/>
      <c r="I25" s="17"/>
      <c r="J25" s="16"/>
      <c r="K25" s="16"/>
      <c r="L25" s="16"/>
      <c r="M25" s="48"/>
      <c r="N25" s="49"/>
      <c r="O25" s="49"/>
      <c r="P25" s="10"/>
      <c r="Q25" s="49"/>
      <c r="R25" s="49"/>
      <c r="S25" s="49"/>
      <c r="T25" s="49"/>
      <c r="U25" s="49"/>
      <c r="V25" s="1"/>
      <c r="W25" s="1"/>
      <c r="X25" s="1"/>
      <c r="Y25" s="1"/>
      <c r="Z25" s="1"/>
    </row>
    <row r="26" ht="15.0" customHeight="1">
      <c r="A26" s="51"/>
      <c r="B26" s="19"/>
      <c r="C26" s="19"/>
      <c r="D26" s="19"/>
      <c r="E26" s="19"/>
      <c r="F26" s="19"/>
      <c r="G26" s="19"/>
      <c r="H26" s="19"/>
      <c r="I26" s="19"/>
      <c r="J26" s="19"/>
      <c r="K26" s="19"/>
      <c r="L26" s="19"/>
      <c r="M26" s="19"/>
      <c r="N26" s="19"/>
      <c r="O26" s="19"/>
      <c r="P26" s="19"/>
      <c r="Q26" s="1"/>
      <c r="R26" s="1"/>
      <c r="S26" s="1"/>
      <c r="T26" s="1"/>
      <c r="U26" s="1"/>
      <c r="V26" s="1"/>
      <c r="W26" s="1"/>
      <c r="X26" s="1"/>
      <c r="Y26" s="1"/>
      <c r="Z26" s="1"/>
    </row>
    <row r="27" ht="15.0" customHeight="1">
      <c r="A27" s="47"/>
      <c r="B27" s="47"/>
      <c r="C27" s="10"/>
      <c r="D27" s="10"/>
      <c r="E27" s="47"/>
      <c r="F27" s="10"/>
      <c r="G27" s="47"/>
      <c r="H27" s="47"/>
      <c r="I27" s="17"/>
      <c r="J27" s="16"/>
      <c r="K27" s="16"/>
      <c r="L27" s="16"/>
      <c r="M27" s="48"/>
      <c r="N27" s="49"/>
      <c r="O27" s="49"/>
      <c r="P27" s="10"/>
      <c r="Q27" s="49"/>
      <c r="R27" s="49"/>
      <c r="S27" s="49"/>
      <c r="T27" s="49"/>
      <c r="U27" s="49"/>
      <c r="V27" s="1"/>
      <c r="W27" s="1"/>
      <c r="X27" s="1"/>
      <c r="Y27" s="1"/>
      <c r="Z27" s="1"/>
    </row>
    <row r="28" ht="15.0" customHeight="1">
      <c r="A28" s="47"/>
      <c r="B28" s="47"/>
      <c r="C28" s="10"/>
      <c r="D28" s="10"/>
      <c r="E28" s="47"/>
      <c r="F28" s="10"/>
      <c r="G28" s="47"/>
      <c r="H28" s="47"/>
      <c r="I28" s="17"/>
      <c r="J28" s="16"/>
      <c r="K28" s="16"/>
      <c r="L28" s="16"/>
      <c r="M28" s="48"/>
      <c r="N28" s="49"/>
      <c r="O28" s="49"/>
      <c r="P28" s="10"/>
      <c r="Q28" s="49"/>
      <c r="R28" s="49"/>
      <c r="S28" s="49"/>
      <c r="T28" s="49"/>
      <c r="U28" s="49"/>
      <c r="V28" s="1"/>
      <c r="W28" s="1"/>
      <c r="X28" s="1"/>
      <c r="Y28" s="1"/>
      <c r="Z28" s="1"/>
    </row>
    <row r="29" ht="15.0" customHeight="1">
      <c r="A29" s="47"/>
      <c r="B29" s="47"/>
      <c r="C29" s="10"/>
      <c r="D29" s="10"/>
      <c r="E29" s="47"/>
      <c r="F29" s="10"/>
      <c r="G29" s="47"/>
      <c r="H29" s="47"/>
      <c r="I29" s="17"/>
      <c r="J29" s="16"/>
      <c r="K29" s="16"/>
      <c r="L29" s="16"/>
      <c r="M29" s="48"/>
      <c r="N29" s="49"/>
      <c r="O29" s="49"/>
      <c r="P29" s="10"/>
      <c r="Q29" s="49"/>
      <c r="R29" s="49"/>
      <c r="S29" s="49"/>
      <c r="T29" s="49"/>
      <c r="U29" s="49"/>
      <c r="V29" s="1"/>
      <c r="W29" s="1"/>
      <c r="X29" s="1"/>
      <c r="Y29" s="1"/>
      <c r="Z29" s="1"/>
    </row>
    <row r="30" ht="15.0" customHeight="1">
      <c r="A30" s="47"/>
      <c r="B30" s="47"/>
      <c r="C30" s="10"/>
      <c r="D30" s="10"/>
      <c r="E30" s="47"/>
      <c r="F30" s="10"/>
      <c r="G30" s="47"/>
      <c r="H30" s="47"/>
      <c r="I30" s="17"/>
      <c r="J30" s="16"/>
      <c r="K30" s="16"/>
      <c r="L30" s="16"/>
      <c r="M30" s="48"/>
      <c r="N30" s="49"/>
      <c r="O30" s="49"/>
      <c r="P30" s="10"/>
      <c r="Q30" s="49"/>
      <c r="R30" s="49"/>
      <c r="S30" s="49"/>
      <c r="T30" s="49"/>
      <c r="U30" s="49"/>
      <c r="V30" s="1"/>
      <c r="W30" s="1"/>
      <c r="X30" s="1"/>
      <c r="Y30" s="1"/>
      <c r="Z30" s="1"/>
    </row>
    <row r="31" ht="15.0" customHeight="1">
      <c r="A31" s="47"/>
      <c r="B31" s="47"/>
      <c r="C31" s="10"/>
      <c r="D31" s="10"/>
      <c r="E31" s="47"/>
      <c r="F31" s="10"/>
      <c r="G31" s="47"/>
      <c r="H31" s="47"/>
      <c r="I31" s="17"/>
      <c r="J31" s="16"/>
      <c r="K31" s="16"/>
      <c r="L31" s="16"/>
      <c r="M31" s="48"/>
      <c r="N31" s="49"/>
      <c r="O31" s="49"/>
      <c r="P31" s="10"/>
      <c r="Q31" s="49"/>
      <c r="R31" s="49"/>
      <c r="S31" s="49"/>
      <c r="T31" s="49"/>
      <c r="U31" s="49"/>
      <c r="V31" s="1"/>
      <c r="W31" s="1"/>
      <c r="X31" s="1"/>
      <c r="Y31" s="1"/>
      <c r="Z31" s="1"/>
    </row>
    <row r="32" ht="15.0" customHeight="1">
      <c r="A32" s="47"/>
      <c r="B32" s="47"/>
      <c r="C32" s="10"/>
      <c r="D32" s="10"/>
      <c r="E32" s="47"/>
      <c r="F32" s="10"/>
      <c r="G32" s="47"/>
      <c r="H32" s="47"/>
      <c r="I32" s="17"/>
      <c r="J32" s="16"/>
      <c r="K32" s="16"/>
      <c r="L32" s="16"/>
      <c r="M32" s="48"/>
      <c r="N32" s="49"/>
      <c r="O32" s="49"/>
      <c r="P32" s="10"/>
      <c r="Q32" s="49"/>
      <c r="R32" s="49"/>
      <c r="S32" s="49"/>
      <c r="T32" s="49"/>
      <c r="U32" s="49"/>
      <c r="V32" s="1"/>
      <c r="W32" s="1"/>
      <c r="X32" s="1"/>
      <c r="Y32" s="1"/>
      <c r="Z32" s="1"/>
    </row>
    <row r="33" ht="15.0" customHeight="1">
      <c r="A33" s="51"/>
      <c r="B33" s="19"/>
      <c r="C33" s="19"/>
      <c r="D33" s="19"/>
      <c r="E33" s="19"/>
      <c r="F33" s="19"/>
      <c r="G33" s="19"/>
      <c r="H33" s="19"/>
      <c r="I33" s="19"/>
      <c r="J33" s="19"/>
      <c r="K33" s="19"/>
      <c r="L33" s="19"/>
      <c r="M33" s="19"/>
      <c r="N33" s="19"/>
      <c r="O33" s="19"/>
      <c r="P33" s="19"/>
      <c r="Q33" s="1"/>
      <c r="R33" s="1"/>
      <c r="S33" s="1"/>
      <c r="T33" s="1"/>
      <c r="U33" s="1"/>
      <c r="V33" s="1"/>
      <c r="W33" s="1"/>
      <c r="X33" s="1"/>
      <c r="Y33" s="1"/>
      <c r="Z33" s="1"/>
    </row>
    <row r="34" ht="15.0" customHeight="1">
      <c r="A34" s="47"/>
      <c r="B34" s="47"/>
      <c r="C34" s="10"/>
      <c r="D34" s="10"/>
      <c r="E34" s="47"/>
      <c r="F34" s="10"/>
      <c r="G34" s="47"/>
      <c r="H34" s="47"/>
      <c r="I34" s="17"/>
      <c r="J34" s="16"/>
      <c r="K34" s="16"/>
      <c r="L34" s="16"/>
      <c r="M34" s="48"/>
      <c r="N34" s="49"/>
      <c r="O34" s="49"/>
      <c r="P34" s="10"/>
      <c r="Q34" s="49"/>
      <c r="R34" s="49"/>
      <c r="S34" s="49"/>
      <c r="T34" s="49"/>
      <c r="U34" s="49"/>
      <c r="V34" s="1"/>
      <c r="W34" s="1"/>
      <c r="X34" s="1"/>
      <c r="Y34" s="1"/>
      <c r="Z34" s="1"/>
    </row>
    <row r="35" ht="15.0" customHeight="1">
      <c r="A35" s="47"/>
      <c r="B35" s="47"/>
      <c r="C35" s="10"/>
      <c r="D35" s="10"/>
      <c r="E35" s="47"/>
      <c r="F35" s="10"/>
      <c r="G35" s="47"/>
      <c r="H35" s="47"/>
      <c r="I35" s="17"/>
      <c r="J35" s="16"/>
      <c r="K35" s="16"/>
      <c r="L35" s="16"/>
      <c r="M35" s="48"/>
      <c r="N35" s="49"/>
      <c r="O35" s="49"/>
      <c r="P35" s="10"/>
      <c r="Q35" s="49"/>
      <c r="R35" s="49"/>
      <c r="S35" s="49"/>
      <c r="T35" s="49"/>
      <c r="U35" s="49"/>
      <c r="V35" s="1"/>
      <c r="W35" s="1"/>
      <c r="X35" s="1"/>
      <c r="Y35" s="1"/>
      <c r="Z35" s="1"/>
    </row>
    <row r="36" ht="15.0" customHeight="1">
      <c r="A36" s="47"/>
      <c r="B36" s="47"/>
      <c r="C36" s="10"/>
      <c r="D36" s="10"/>
      <c r="E36" s="47"/>
      <c r="F36" s="10"/>
      <c r="G36" s="47"/>
      <c r="H36" s="47"/>
      <c r="I36" s="17"/>
      <c r="J36" s="16"/>
      <c r="K36" s="16"/>
      <c r="L36" s="16"/>
      <c r="M36" s="48"/>
      <c r="N36" s="49"/>
      <c r="O36" s="49"/>
      <c r="P36" s="10"/>
      <c r="Q36" s="49"/>
      <c r="R36" s="49"/>
      <c r="S36" s="49"/>
      <c r="T36" s="49"/>
      <c r="U36" s="49"/>
      <c r="V36" s="1"/>
      <c r="W36" s="1"/>
      <c r="X36" s="1"/>
      <c r="Y36" s="1"/>
      <c r="Z36" s="1"/>
    </row>
    <row r="37" ht="15.0" customHeight="1">
      <c r="A37" s="47"/>
      <c r="B37" s="47"/>
      <c r="C37" s="10"/>
      <c r="D37" s="10"/>
      <c r="E37" s="47"/>
      <c r="F37" s="10"/>
      <c r="G37" s="47"/>
      <c r="H37" s="47"/>
      <c r="I37" s="17"/>
      <c r="J37" s="16"/>
      <c r="K37" s="16"/>
      <c r="L37" s="16"/>
      <c r="M37" s="48"/>
      <c r="N37" s="49"/>
      <c r="O37" s="49"/>
      <c r="P37" s="10"/>
      <c r="Q37" s="49"/>
      <c r="R37" s="49"/>
      <c r="S37" s="49"/>
      <c r="T37" s="49"/>
      <c r="U37" s="49"/>
      <c r="V37" s="1"/>
      <c r="W37" s="1"/>
      <c r="X37" s="1"/>
      <c r="Y37" s="1"/>
      <c r="Z37" s="1"/>
    </row>
    <row r="38" ht="15.0" customHeight="1">
      <c r="A38" s="47"/>
      <c r="B38" s="47"/>
      <c r="C38" s="10"/>
      <c r="D38" s="10"/>
      <c r="E38" s="47"/>
      <c r="F38" s="10"/>
      <c r="G38" s="47"/>
      <c r="H38" s="47"/>
      <c r="I38" s="17"/>
      <c r="J38" s="16"/>
      <c r="K38" s="16"/>
      <c r="L38" s="16"/>
      <c r="M38" s="48"/>
      <c r="N38" s="49"/>
      <c r="O38" s="49"/>
      <c r="P38" s="10"/>
      <c r="Q38" s="49"/>
      <c r="R38" s="49"/>
      <c r="S38" s="49"/>
      <c r="T38" s="49"/>
      <c r="U38" s="49"/>
      <c r="V38" s="1"/>
      <c r="W38" s="1"/>
      <c r="X38" s="1"/>
      <c r="Y38" s="1"/>
      <c r="Z38" s="1"/>
    </row>
    <row r="39" ht="15.0" customHeight="1">
      <c r="A39" s="47"/>
      <c r="B39" s="47"/>
      <c r="C39" s="10"/>
      <c r="D39" s="10"/>
      <c r="E39" s="47"/>
      <c r="F39" s="10"/>
      <c r="G39" s="47"/>
      <c r="H39" s="47"/>
      <c r="I39" s="17"/>
      <c r="J39" s="16"/>
      <c r="K39" s="16"/>
      <c r="L39" s="16"/>
      <c r="M39" s="48"/>
      <c r="N39" s="49"/>
      <c r="O39" s="49"/>
      <c r="P39" s="10"/>
      <c r="Q39" s="49"/>
      <c r="R39" s="49"/>
      <c r="S39" s="49"/>
      <c r="T39" s="49"/>
      <c r="U39" s="49"/>
      <c r="V39" s="1"/>
      <c r="W39" s="1"/>
      <c r="X39" s="1"/>
      <c r="Y39" s="1"/>
      <c r="Z39" s="1"/>
    </row>
    <row r="40" ht="15.0" customHeight="1">
      <c r="A40" s="47"/>
      <c r="B40" s="47"/>
      <c r="C40" s="10"/>
      <c r="D40" s="10"/>
      <c r="E40" s="47"/>
      <c r="F40" s="10"/>
      <c r="G40" s="47"/>
      <c r="H40" s="47"/>
      <c r="I40" s="17"/>
      <c r="J40" s="16"/>
      <c r="K40" s="16"/>
      <c r="L40" s="16"/>
      <c r="M40" s="48"/>
      <c r="N40" s="49"/>
      <c r="O40" s="49"/>
      <c r="P40" s="10"/>
      <c r="Q40" s="49"/>
      <c r="R40" s="49"/>
      <c r="S40" s="49"/>
      <c r="T40" s="49"/>
      <c r="U40" s="49"/>
      <c r="V40" s="1"/>
      <c r="W40" s="1"/>
      <c r="X40" s="1"/>
      <c r="Y40" s="1"/>
      <c r="Z40" s="1"/>
    </row>
    <row r="41" ht="15.0" customHeight="1">
      <c r="A41" s="51"/>
      <c r="B41" s="19"/>
      <c r="C41" s="19"/>
      <c r="D41" s="19"/>
      <c r="E41" s="19"/>
      <c r="F41" s="19"/>
      <c r="G41" s="19"/>
      <c r="H41" s="19"/>
      <c r="I41" s="19"/>
      <c r="J41" s="19"/>
      <c r="K41" s="19"/>
      <c r="L41" s="19"/>
      <c r="M41" s="19"/>
      <c r="N41" s="19"/>
      <c r="O41" s="19"/>
      <c r="P41" s="19"/>
      <c r="Q41" s="1"/>
      <c r="R41" s="1"/>
      <c r="S41" s="1"/>
      <c r="T41" s="1"/>
      <c r="U41" s="1"/>
      <c r="V41" s="1"/>
      <c r="W41" s="1"/>
      <c r="X41" s="1"/>
      <c r="Y41" s="1"/>
      <c r="Z41" s="1"/>
    </row>
    <row r="42" ht="15.0" customHeight="1">
      <c r="A42" s="47"/>
      <c r="B42" s="47"/>
      <c r="C42" s="10"/>
      <c r="D42" s="10"/>
      <c r="E42" s="47"/>
      <c r="F42" s="10"/>
      <c r="G42" s="47"/>
      <c r="H42" s="47"/>
      <c r="I42" s="17"/>
      <c r="J42" s="16"/>
      <c r="K42" s="16"/>
      <c r="L42" s="16"/>
      <c r="M42" s="48"/>
      <c r="N42" s="49"/>
      <c r="O42" s="49"/>
      <c r="P42" s="10"/>
      <c r="Q42" s="49"/>
      <c r="R42" s="49"/>
      <c r="S42" s="49"/>
      <c r="T42" s="49"/>
      <c r="U42" s="49"/>
      <c r="V42" s="1"/>
      <c r="W42" s="1"/>
      <c r="X42" s="1"/>
      <c r="Y42" s="1"/>
      <c r="Z42" s="1"/>
    </row>
    <row r="43" ht="15.0" customHeight="1">
      <c r="A43" s="47"/>
      <c r="B43" s="47"/>
      <c r="C43" s="10"/>
      <c r="D43" s="10"/>
      <c r="E43" s="47"/>
      <c r="F43" s="10"/>
      <c r="G43" s="47"/>
      <c r="H43" s="47"/>
      <c r="I43" s="17"/>
      <c r="J43" s="16"/>
      <c r="K43" s="16"/>
      <c r="L43" s="16"/>
      <c r="M43" s="48"/>
      <c r="N43" s="49"/>
      <c r="O43" s="49"/>
      <c r="P43" s="10"/>
      <c r="Q43" s="49"/>
      <c r="R43" s="49"/>
      <c r="S43" s="49"/>
      <c r="T43" s="49"/>
      <c r="U43" s="49"/>
      <c r="V43" s="1"/>
      <c r="W43" s="1"/>
      <c r="X43" s="1"/>
      <c r="Y43" s="1"/>
      <c r="Z43" s="1"/>
    </row>
    <row r="44" ht="15.0" customHeight="1">
      <c r="A44" s="47"/>
      <c r="B44" s="47"/>
      <c r="C44" s="10"/>
      <c r="D44" s="10"/>
      <c r="E44" s="47"/>
      <c r="F44" s="10"/>
      <c r="G44" s="47"/>
      <c r="H44" s="47"/>
      <c r="I44" s="17"/>
      <c r="J44" s="16"/>
      <c r="K44" s="16"/>
      <c r="L44" s="16"/>
      <c r="M44" s="48"/>
      <c r="N44" s="49"/>
      <c r="O44" s="49"/>
      <c r="P44" s="10"/>
      <c r="Q44" s="49"/>
      <c r="R44" s="49"/>
      <c r="S44" s="49"/>
      <c r="T44" s="49"/>
      <c r="U44" s="49"/>
      <c r="V44" s="1"/>
      <c r="W44" s="1"/>
      <c r="X44" s="1"/>
      <c r="Y44" s="1"/>
      <c r="Z44" s="1"/>
    </row>
    <row r="45" ht="15.0" customHeight="1">
      <c r="A45" s="47"/>
      <c r="B45" s="47"/>
      <c r="C45" s="10"/>
      <c r="D45" s="10"/>
      <c r="E45" s="47"/>
      <c r="F45" s="10"/>
      <c r="G45" s="47"/>
      <c r="H45" s="47"/>
      <c r="I45" s="17"/>
      <c r="J45" s="16"/>
      <c r="K45" s="16"/>
      <c r="L45" s="16"/>
      <c r="M45" s="48"/>
      <c r="N45" s="49"/>
      <c r="O45" s="49"/>
      <c r="P45" s="10"/>
      <c r="Q45" s="49"/>
      <c r="R45" s="49"/>
      <c r="S45" s="49"/>
      <c r="T45" s="49"/>
      <c r="U45" s="49"/>
      <c r="V45" s="1"/>
      <c r="W45" s="1"/>
      <c r="X45" s="1"/>
      <c r="Y45" s="1"/>
      <c r="Z45" s="1"/>
    </row>
    <row r="46" ht="15.0" customHeight="1">
      <c r="A46" s="47"/>
      <c r="B46" s="47"/>
      <c r="C46" s="10"/>
      <c r="D46" s="10"/>
      <c r="E46" s="47"/>
      <c r="F46" s="10"/>
      <c r="G46" s="47"/>
      <c r="H46" s="47"/>
      <c r="I46" s="17"/>
      <c r="J46" s="16"/>
      <c r="K46" s="16"/>
      <c r="L46" s="16"/>
      <c r="M46" s="48"/>
      <c r="N46" s="49"/>
      <c r="O46" s="49"/>
      <c r="P46" s="10"/>
      <c r="Q46" s="49"/>
      <c r="R46" s="49"/>
      <c r="S46" s="49"/>
      <c r="T46" s="49"/>
      <c r="U46" s="49"/>
      <c r="V46" s="1"/>
      <c r="W46" s="1"/>
      <c r="X46" s="1"/>
      <c r="Y46" s="1"/>
      <c r="Z46" s="1"/>
    </row>
    <row r="47" ht="15.0" customHeight="1">
      <c r="A47" s="47"/>
      <c r="B47" s="47"/>
      <c r="C47" s="10"/>
      <c r="D47" s="10"/>
      <c r="E47" s="47"/>
      <c r="F47" s="10"/>
      <c r="G47" s="47"/>
      <c r="H47" s="47"/>
      <c r="I47" s="17"/>
      <c r="J47" s="16"/>
      <c r="K47" s="16"/>
      <c r="L47" s="16"/>
      <c r="M47" s="48"/>
      <c r="N47" s="49"/>
      <c r="O47" s="49"/>
      <c r="P47" s="10"/>
      <c r="Q47" s="49"/>
      <c r="R47" s="49"/>
      <c r="S47" s="49"/>
      <c r="T47" s="49"/>
      <c r="U47" s="49"/>
      <c r="V47" s="1"/>
      <c r="W47" s="1"/>
      <c r="X47" s="1"/>
      <c r="Y47" s="1"/>
      <c r="Z47" s="1"/>
    </row>
    <row r="48" ht="15.0" customHeight="1">
      <c r="A48" s="51"/>
      <c r="B48" s="19"/>
      <c r="C48" s="19"/>
      <c r="D48" s="19"/>
      <c r="E48" s="19"/>
      <c r="F48" s="19"/>
      <c r="G48" s="19"/>
      <c r="H48" s="19"/>
      <c r="I48" s="19"/>
      <c r="J48" s="19"/>
      <c r="K48" s="19"/>
      <c r="L48" s="19"/>
      <c r="M48" s="19"/>
      <c r="N48" s="19"/>
      <c r="O48" s="19"/>
      <c r="P48" s="19"/>
      <c r="Q48" s="1"/>
      <c r="R48" s="1"/>
      <c r="S48" s="1"/>
      <c r="T48" s="1"/>
      <c r="U48" s="1"/>
      <c r="V48" s="1"/>
      <c r="W48" s="1"/>
      <c r="X48" s="1"/>
      <c r="Y48" s="1"/>
      <c r="Z48" s="1"/>
    </row>
    <row r="49" ht="15.0" customHeight="1">
      <c r="A49" s="47"/>
      <c r="B49" s="47"/>
      <c r="C49" s="10"/>
      <c r="D49" s="10"/>
      <c r="E49" s="47"/>
      <c r="F49" s="10"/>
      <c r="G49" s="47"/>
      <c r="H49" s="47"/>
      <c r="I49" s="17"/>
      <c r="J49" s="16"/>
      <c r="K49" s="16"/>
      <c r="L49" s="16"/>
      <c r="M49" s="48"/>
      <c r="N49" s="49"/>
      <c r="O49" s="49"/>
      <c r="P49" s="10"/>
      <c r="Q49" s="49"/>
      <c r="R49" s="49"/>
      <c r="S49" s="49"/>
      <c r="T49" s="49"/>
      <c r="U49" s="49"/>
      <c r="V49" s="1"/>
      <c r="W49" s="1"/>
      <c r="X49" s="1"/>
      <c r="Y49" s="1"/>
      <c r="Z49" s="1"/>
    </row>
    <row r="50" ht="15.0" customHeight="1">
      <c r="A50" s="47"/>
      <c r="B50" s="47"/>
      <c r="C50" s="10"/>
      <c r="D50" s="10"/>
      <c r="E50" s="47"/>
      <c r="F50" s="10"/>
      <c r="G50" s="47"/>
      <c r="H50" s="47"/>
      <c r="I50" s="17"/>
      <c r="J50" s="16"/>
      <c r="K50" s="16"/>
      <c r="L50" s="16"/>
      <c r="M50" s="48"/>
      <c r="N50" s="49"/>
      <c r="O50" s="49"/>
      <c r="P50" s="10"/>
      <c r="Q50" s="49"/>
      <c r="R50" s="49"/>
      <c r="S50" s="49"/>
      <c r="T50" s="49"/>
      <c r="U50" s="49"/>
      <c r="V50" s="1"/>
      <c r="W50" s="1"/>
      <c r="X50" s="1"/>
      <c r="Y50" s="1"/>
      <c r="Z50" s="1"/>
    </row>
    <row r="51" ht="15.0" customHeight="1">
      <c r="A51" s="47"/>
      <c r="B51" s="47"/>
      <c r="C51" s="10"/>
      <c r="D51" s="10"/>
      <c r="E51" s="47"/>
      <c r="F51" s="10"/>
      <c r="G51" s="47"/>
      <c r="H51" s="47"/>
      <c r="I51" s="17"/>
      <c r="J51" s="16"/>
      <c r="K51" s="16"/>
      <c r="L51" s="16"/>
      <c r="M51" s="48"/>
      <c r="N51" s="49"/>
      <c r="O51" s="49"/>
      <c r="P51" s="10"/>
      <c r="Q51" s="49"/>
      <c r="R51" s="49"/>
      <c r="S51" s="49"/>
      <c r="T51" s="49"/>
      <c r="U51" s="49"/>
      <c r="V51" s="1"/>
      <c r="W51" s="1"/>
      <c r="X51" s="1"/>
      <c r="Y51" s="1"/>
      <c r="Z51" s="1"/>
    </row>
    <row r="52" ht="15.0" customHeight="1">
      <c r="A52" s="47"/>
      <c r="B52" s="47"/>
      <c r="C52" s="10"/>
      <c r="D52" s="10"/>
      <c r="E52" s="47"/>
      <c r="F52" s="10"/>
      <c r="G52" s="47"/>
      <c r="H52" s="47"/>
      <c r="I52" s="17"/>
      <c r="J52" s="16"/>
      <c r="K52" s="16"/>
      <c r="L52" s="16"/>
      <c r="M52" s="48"/>
      <c r="N52" s="49"/>
      <c r="O52" s="49"/>
      <c r="P52" s="10"/>
      <c r="Q52" s="49"/>
      <c r="R52" s="49"/>
      <c r="S52" s="49"/>
      <c r="T52" s="49"/>
      <c r="U52" s="49"/>
      <c r="V52" s="1"/>
      <c r="W52" s="1"/>
      <c r="X52" s="1"/>
      <c r="Y52" s="1"/>
      <c r="Z52" s="1"/>
    </row>
    <row r="53" ht="15.0" customHeight="1">
      <c r="A53" s="47"/>
      <c r="B53" s="47"/>
      <c r="C53" s="10"/>
      <c r="D53" s="10"/>
      <c r="E53" s="47"/>
      <c r="F53" s="10"/>
      <c r="G53" s="47"/>
      <c r="H53" s="47"/>
      <c r="I53" s="17"/>
      <c r="J53" s="16"/>
      <c r="K53" s="16"/>
      <c r="L53" s="16"/>
      <c r="M53" s="48"/>
      <c r="N53" s="49"/>
      <c r="O53" s="49"/>
      <c r="P53" s="10"/>
      <c r="Q53" s="49"/>
      <c r="R53" s="49"/>
      <c r="S53" s="49"/>
      <c r="T53" s="49"/>
      <c r="U53" s="49"/>
      <c r="V53" s="1"/>
      <c r="W53" s="1"/>
      <c r="X53" s="1"/>
      <c r="Y53" s="1"/>
      <c r="Z53" s="1"/>
    </row>
    <row r="54" ht="15.0" customHeight="1">
      <c r="A54" s="47"/>
      <c r="B54" s="47"/>
      <c r="C54" s="10"/>
      <c r="D54" s="10"/>
      <c r="E54" s="47"/>
      <c r="F54" s="10"/>
      <c r="G54" s="47"/>
      <c r="H54" s="47"/>
      <c r="I54" s="17"/>
      <c r="J54" s="16"/>
      <c r="K54" s="16"/>
      <c r="L54" s="16"/>
      <c r="M54" s="48"/>
      <c r="N54" s="49"/>
      <c r="O54" s="49"/>
      <c r="P54" s="10"/>
      <c r="Q54" s="49"/>
      <c r="R54" s="49"/>
      <c r="S54" s="49"/>
      <c r="T54" s="49"/>
      <c r="U54" s="49"/>
      <c r="V54" s="1"/>
      <c r="W54" s="1"/>
      <c r="X54" s="1"/>
      <c r="Y54" s="1"/>
      <c r="Z54" s="1"/>
    </row>
    <row r="55" ht="15.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5">
    <mergeCell ref="A5:P5"/>
    <mergeCell ref="A10:P10"/>
    <mergeCell ref="A14:P14"/>
    <mergeCell ref="A18:P18"/>
    <mergeCell ref="A23:P23"/>
  </mergeCells>
  <conditionalFormatting sqref="N5:N24">
    <cfRule type="cellIs" dxfId="5" priority="1" operator="equal">
      <formula>"High"</formula>
    </cfRule>
  </conditionalFormatting>
  <conditionalFormatting sqref="N5:N24">
    <cfRule type="cellIs" dxfId="2" priority="2" operator="equal">
      <formula>"Medium"</formula>
    </cfRule>
  </conditionalFormatting>
  <conditionalFormatting sqref="N5:N24">
    <cfRule type="cellIs" dxfId="3" priority="3" operator="equal">
      <formula>"Low"</formula>
    </cfRule>
  </conditionalFormatting>
  <dataValidations>
    <dataValidation type="list" allowBlank="1" sqref="I6:I9 I11:I13 I15:I17 I19:I22 I24">
      <formula1>"0,1,2,3,4,NA"</formula1>
    </dataValidation>
  </dataValidations>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7.0"/>
    <col customWidth="1" min="2" max="2" width="48.71"/>
    <col customWidth="1" min="3" max="3" width="10.71"/>
    <col customWidth="1" min="4" max="4" width="11.14"/>
    <col customWidth="1" min="5" max="5" width="13.0"/>
    <col customWidth="1" min="6" max="6" width="14.86"/>
    <col customWidth="1" min="7" max="7" width="40.57"/>
    <col customWidth="1" min="8" max="8" width="20.0"/>
    <col customWidth="1" min="9" max="9" width="12.0"/>
    <col customWidth="1" min="10" max="11" width="20.0"/>
    <col customWidth="1" min="12" max="12" width="11.0"/>
  </cols>
  <sheetData>
    <row r="1" ht="15.75" customHeight="1">
      <c r="A1" s="52" t="s">
        <v>1223</v>
      </c>
      <c r="B1" s="19"/>
      <c r="C1" s="19"/>
      <c r="D1" s="19"/>
      <c r="E1" s="19"/>
      <c r="F1" s="19"/>
      <c r="G1" s="53"/>
      <c r="H1" s="19"/>
      <c r="I1" s="19"/>
      <c r="J1" s="19"/>
      <c r="K1" s="19"/>
      <c r="L1" s="19"/>
      <c r="M1" s="19"/>
      <c r="N1" s="19"/>
      <c r="O1" s="19"/>
      <c r="P1" s="19"/>
      <c r="Q1" s="19"/>
      <c r="R1" s="19"/>
      <c r="S1" s="19"/>
      <c r="T1" s="19"/>
      <c r="U1" s="19"/>
      <c r="V1" s="19"/>
      <c r="W1" s="19"/>
      <c r="X1" s="19"/>
      <c r="Y1" s="19"/>
      <c r="Z1" s="19"/>
    </row>
    <row r="2" ht="15.0" customHeight="1">
      <c r="A2" s="39" t="s">
        <v>1224</v>
      </c>
      <c r="B2" s="19"/>
      <c r="C2" s="19"/>
      <c r="D2" s="19"/>
      <c r="E2" s="19"/>
      <c r="F2" s="19"/>
      <c r="G2" s="53"/>
      <c r="H2" s="19"/>
      <c r="I2" s="19"/>
      <c r="J2" s="19"/>
      <c r="K2" s="19"/>
      <c r="L2" s="19"/>
      <c r="M2" s="19"/>
      <c r="N2" s="19"/>
      <c r="O2" s="19"/>
      <c r="P2" s="19"/>
      <c r="Q2" s="19"/>
      <c r="R2" s="19"/>
      <c r="S2" s="19"/>
      <c r="T2" s="19"/>
      <c r="U2" s="19"/>
      <c r="V2" s="19"/>
      <c r="W2" s="19"/>
      <c r="X2" s="19"/>
      <c r="Y2" s="19"/>
      <c r="Z2" s="19"/>
    </row>
    <row r="3" ht="30.0" customHeight="1">
      <c r="A3" s="54" t="s">
        <v>160</v>
      </c>
      <c r="B3" s="54" t="s">
        <v>56</v>
      </c>
      <c r="C3" s="54" t="s">
        <v>1225</v>
      </c>
      <c r="D3" s="54" t="s">
        <v>11</v>
      </c>
      <c r="E3" s="54" t="s">
        <v>166</v>
      </c>
      <c r="F3" s="54" t="s">
        <v>1226</v>
      </c>
      <c r="G3" s="54" t="s">
        <v>1227</v>
      </c>
      <c r="H3" s="54" t="s">
        <v>1228</v>
      </c>
      <c r="I3" s="54" t="s">
        <v>1229</v>
      </c>
      <c r="J3" s="54" t="s">
        <v>1230</v>
      </c>
      <c r="K3" s="54" t="s">
        <v>1231</v>
      </c>
      <c r="L3" s="54" t="s">
        <v>1102</v>
      </c>
      <c r="M3" s="19"/>
      <c r="N3" s="19"/>
      <c r="O3" s="19"/>
      <c r="P3" s="19"/>
      <c r="Q3" s="19"/>
      <c r="R3" s="19"/>
      <c r="S3" s="19"/>
      <c r="T3" s="19"/>
      <c r="U3" s="19"/>
      <c r="V3" s="19"/>
      <c r="W3" s="19"/>
      <c r="X3" s="19"/>
      <c r="Y3" s="19"/>
      <c r="Z3" s="19"/>
    </row>
    <row r="4" ht="21.75" customHeight="1">
      <c r="A4" s="55" t="str">
        <f>A_CDRRMO!A6</f>
        <v>A1.1</v>
      </c>
      <c r="B4" s="56" t="str">
        <f>A_CDRRMO!C6</f>
        <v>City ordinance/EO creating the CDRRMO as a regular office (not ad hoc), with defined functions mirroring RA 10121 Sec. 12(c)</v>
      </c>
      <c r="C4" s="55" t="str">
        <f>A_CDRRMO!E6</f>
        <v>M</v>
      </c>
      <c r="D4" s="55">
        <f>IF(A_CDRRMO!I6="","",A_CDRRMO!I6)</f>
        <v>2</v>
      </c>
      <c r="E4" s="55" t="str">
        <f>A_CDRRMO!N6</f>
        <v>High</v>
      </c>
      <c r="F4" s="56" t="str">
        <f>A_CDRRMO!O6</f>
        <v>Non-compliant</v>
      </c>
      <c r="G4" s="56" t="str">
        <f>IF(A_CDRRMO!L6="","",A_CDRRMO!L6)</f>
        <v>Draft an ordinance creating the CDRRMO as a regular department with Admin &amp; Training, Research &amp; Planning and Operations &amp; Warning divisions and their functions (RA 10121 Sec. 12(c); JMC 2014-1). Attach the organogram and staffing pattern from MOO Ch.2.</v>
      </c>
      <c r="H4" s="57" t="s">
        <v>1232</v>
      </c>
      <c r="I4" s="58" t="s">
        <v>1233</v>
      </c>
      <c r="J4" s="57" t="s">
        <v>1234</v>
      </c>
      <c r="K4" s="56" t="str">
        <f>A_CDRRMO!P6</f>
        <v>MOO Ch.1 Legal &amp; Institutional Framework</v>
      </c>
      <c r="L4" s="58" t="s">
        <v>1235</v>
      </c>
      <c r="M4" s="19"/>
      <c r="N4" s="19"/>
      <c r="O4" s="19"/>
      <c r="P4" s="19"/>
      <c r="Q4" s="19"/>
      <c r="R4" s="19"/>
      <c r="S4" s="19"/>
      <c r="T4" s="19"/>
      <c r="U4" s="19"/>
      <c r="V4" s="19"/>
      <c r="W4" s="19"/>
      <c r="X4" s="19"/>
      <c r="Y4" s="19"/>
      <c r="Z4" s="19"/>
    </row>
    <row r="5" ht="21.75" customHeight="1">
      <c r="A5" s="55" t="str">
        <f>A_CDRRMO!A7</f>
        <v>A1.2</v>
      </c>
      <c r="B5" s="56" t="str">
        <f>A_CDRRMO!C7</f>
        <v>CDRRMC constituted with complete membership per RA 10121 Sec. 11 (incl. CSO and private sector reps)</v>
      </c>
      <c r="C5" s="55" t="str">
        <f>A_CDRRMO!E7</f>
        <v>M</v>
      </c>
      <c r="D5" s="55">
        <f>IF(A_CDRRMO!I7="","",A_CDRRMO!I7)</f>
        <v>2</v>
      </c>
      <c r="E5" s="55" t="str">
        <f>A_CDRRMO!N7</f>
        <v>Medium</v>
      </c>
      <c r="F5" s="56" t="str">
        <f>A_CDRRMO!O7</f>
        <v>Non-compliant</v>
      </c>
      <c r="G5" s="56" t="str">
        <f>IF(A_CDRRMO!L7="","",A_CDRRMO!L7)</f>
        <v>Issue an updated EO on CDRRMC composition listing every RA 10121 Sec. 11 seat by office, with at least 4 accredited CSOs and a private-sector seat (e.g., EDC). Record the roster as an MOO Ch.1 annex and review it yearly.</v>
      </c>
      <c r="H5" s="57" t="s">
        <v>1236</v>
      </c>
      <c r="I5" s="58" t="s">
        <v>1237</v>
      </c>
      <c r="J5" s="57" t="s">
        <v>1238</v>
      </c>
      <c r="K5" s="56" t="str">
        <f>A_CDRRMO!P7</f>
        <v>MOO Ch.1</v>
      </c>
      <c r="L5" s="58" t="s">
        <v>1235</v>
      </c>
      <c r="M5" s="19"/>
      <c r="N5" s="19"/>
      <c r="O5" s="19"/>
      <c r="P5" s="19"/>
      <c r="Q5" s="19"/>
      <c r="R5" s="19"/>
      <c r="S5" s="19"/>
      <c r="T5" s="19"/>
      <c r="U5" s="19"/>
      <c r="V5" s="19"/>
      <c r="W5" s="19"/>
      <c r="X5" s="19"/>
      <c r="Y5" s="19"/>
      <c r="Z5" s="19"/>
    </row>
    <row r="6" ht="21.75" customHeight="1">
      <c r="A6" s="55" t="str">
        <f>A_CDRRMO!A8</f>
        <v>A1.3</v>
      </c>
      <c r="B6" s="56" t="str">
        <f>A_CDRRMO!C8</f>
        <v>CDRRMC meets at least quarterly (and as needed); minutes and resolutions on file</v>
      </c>
      <c r="C6" s="55" t="str">
        <f>A_CDRRMO!E8</f>
        <v>M</v>
      </c>
      <c r="D6" s="55">
        <f>IF(A_CDRRMO!I8="","",A_CDRRMO!I8)</f>
        <v>4</v>
      </c>
      <c r="E6" s="55" t="str">
        <f>A_CDRRMO!N8</f>
        <v>Low</v>
      </c>
      <c r="F6" s="56" t="str">
        <f>A_CDRRMO!O8</f>
        <v>Compliant</v>
      </c>
      <c r="G6" s="56" t="str">
        <f>IF(A_CDRRMO!L8="","",A_CDRRMO!L8)</f>
        <v>Keep the quarterly schedule; add a standing agenda item on RA 12287 readiness and the action plan from this assessment. Use the minutes template in MOO Ch.1.</v>
      </c>
      <c r="H6" s="57" t="s">
        <v>1239</v>
      </c>
      <c r="I6" s="58" t="s">
        <v>1240</v>
      </c>
      <c r="J6" s="57" t="s">
        <v>1241</v>
      </c>
      <c r="K6" s="56" t="str">
        <f>A_CDRRMO!P8</f>
        <v>MOO Ch.1</v>
      </c>
      <c r="L6" s="58" t="s">
        <v>1242</v>
      </c>
      <c r="M6" s="19"/>
      <c r="N6" s="19"/>
      <c r="O6" s="19"/>
      <c r="P6" s="19"/>
      <c r="Q6" s="19"/>
      <c r="R6" s="19"/>
      <c r="S6" s="19"/>
      <c r="T6" s="19"/>
      <c r="U6" s="19"/>
      <c r="V6" s="19"/>
      <c r="W6" s="19"/>
      <c r="X6" s="19"/>
      <c r="Y6" s="19"/>
      <c r="Z6" s="19"/>
    </row>
    <row r="7" ht="21.75" customHeight="1">
      <c r="A7" s="55" t="str">
        <f>A_CDRRMO!A9</f>
        <v>A1.4</v>
      </c>
      <c r="B7" s="56" t="str">
        <f>A_CDRRMO!C9</f>
        <v>CDRRMO serves as CDRRMC secretariat with documented secretariat procedures</v>
      </c>
      <c r="C7" s="55" t="str">
        <f>A_CDRRMO!E9</f>
        <v>M</v>
      </c>
      <c r="D7" s="55">
        <f>IF(A_CDRRMO!I9="","",A_CDRRMO!I9)</f>
        <v>4</v>
      </c>
      <c r="E7" s="55" t="str">
        <f>A_CDRRMO!N9</f>
        <v>Low</v>
      </c>
      <c r="F7" s="56" t="str">
        <f>A_CDRRMO!O9</f>
        <v>Compliant</v>
      </c>
      <c r="G7" s="56" t="str">
        <f>IF(A_CDRRMO!L9="","",A_CDRRMO!L9)</f>
        <v>Write the secretariat procedure (notice, agenda, quorum, minutes, resolutions, tracking) into MOO Ch.2.</v>
      </c>
      <c r="H7" s="57" t="s">
        <v>1243</v>
      </c>
      <c r="I7" s="58" t="s">
        <v>1244</v>
      </c>
      <c r="J7" s="57" t="s">
        <v>1238</v>
      </c>
      <c r="K7" s="56" t="str">
        <f>A_CDRRMO!P9</f>
        <v>MOO Ch.2 Office Organization</v>
      </c>
      <c r="L7" s="58" t="s">
        <v>1242</v>
      </c>
      <c r="M7" s="19"/>
      <c r="N7" s="19"/>
      <c r="O7" s="19"/>
      <c r="P7" s="19"/>
      <c r="Q7" s="19"/>
      <c r="R7" s="19"/>
      <c r="S7" s="19"/>
      <c r="T7" s="19"/>
      <c r="U7" s="19"/>
      <c r="V7" s="19"/>
      <c r="W7" s="19"/>
      <c r="X7" s="19"/>
      <c r="Y7" s="19"/>
      <c r="Z7" s="19"/>
    </row>
    <row r="8" ht="32.25" customHeight="1">
      <c r="A8" s="55" t="str">
        <f>A_CDRRMO!A10</f>
        <v>A1.5</v>
      </c>
      <c r="B8" s="56" t="str">
        <f>A_CDRRMO!C10</f>
        <v>Local DRRM-related ordinances in force (e.g., pre-emptive/forced evacuation, no-build zones, hazard-based zoning)</v>
      </c>
      <c r="C8" s="55" t="str">
        <f>A_CDRRMO!E10</f>
        <v>GP</v>
      </c>
      <c r="D8" s="55">
        <f>IF(A_CDRRMO!I10="","",A_CDRRMO!I10)</f>
        <v>3</v>
      </c>
      <c r="E8" s="55" t="str">
        <f>A_CDRRMO!N10</f>
        <v>Low</v>
      </c>
      <c r="F8" s="56" t="str">
        <f>A_CDRRMO!O10</f>
        <v>Meets GP</v>
      </c>
      <c r="G8" s="56" t="str">
        <f>IF(A_CDRRMO!L10="","",A_CDRRMO!L10)</f>
        <v>Amend the evacuation ordinance to add procedural statements: triggers tied to the warning-action matrix (A6.2), authority to order, assistance to PWD/elderly, livestock and pets (RA 12287 IRR Rule IV), and enforcement. Add granular (barangay/school-level) class and work suspension.</v>
      </c>
      <c r="H8" s="57" t="s">
        <v>1245</v>
      </c>
      <c r="I8" s="58" t="s">
        <v>1246</v>
      </c>
      <c r="J8" s="57" t="s">
        <v>1238</v>
      </c>
      <c r="K8" s="56" t="str">
        <f>A_CDRRMO!P10</f>
        <v>MOO Ch.1</v>
      </c>
      <c r="L8" s="58" t="s">
        <v>1235</v>
      </c>
      <c r="M8" s="19"/>
      <c r="N8" s="19"/>
      <c r="O8" s="19"/>
      <c r="P8" s="19"/>
      <c r="Q8" s="19"/>
      <c r="R8" s="19"/>
      <c r="S8" s="19"/>
      <c r="T8" s="19"/>
      <c r="U8" s="19"/>
      <c r="V8" s="19"/>
      <c r="W8" s="19"/>
      <c r="X8" s="19"/>
      <c r="Y8" s="19"/>
      <c r="Z8" s="19"/>
    </row>
    <row r="9" ht="32.25" customHeight="1">
      <c r="A9" s="55" t="str">
        <f>A_CDRRMO!A11</f>
        <v>A1.6</v>
      </c>
      <c r="B9" s="56" t="str">
        <f>A_CDRRMO!C11</f>
        <v>Protocol for declaring a State of Calamity, incl. CDRRMC recommendation steps and post-declaration measures (State of Imminent Disaster now assessed separately under A1.8)</v>
      </c>
      <c r="C9" s="55" t="str">
        <f>A_CDRRMO!E11</f>
        <v>M</v>
      </c>
      <c r="D9" s="55">
        <f>IF(A_CDRRMO!I11="","",A_CDRRMO!I11)</f>
        <v>3</v>
      </c>
      <c r="E9" s="55" t="str">
        <f>A_CDRRMO!N11</f>
        <v>Medium</v>
      </c>
      <c r="F9" s="56" t="str">
        <f>A_CDRRMO!O11</f>
        <v>Compliant</v>
      </c>
      <c r="G9" s="56" t="str">
        <f>IF(A_CDRRMO!L11="","",A_CDRRMO!L11)</f>
        <v>Write a State of Calamity protocol in MOO Ch.1: criteria (NDRRMC Memo on SoC criteria), RDANA/PDNA basis, CDRRMC recommendation, SP resolution template, post-declaration measures (price freeze, QRF use, reporting). Add a note on how to read national/regional declarations that affect Ormoc.</v>
      </c>
      <c r="H9" s="57" t="s">
        <v>1247</v>
      </c>
      <c r="I9" s="58" t="s">
        <v>1244</v>
      </c>
      <c r="J9" s="57" t="s">
        <v>1238</v>
      </c>
      <c r="K9" s="56" t="str">
        <f>A_CDRRMO!P11</f>
        <v>MOO Ch.1</v>
      </c>
      <c r="L9" s="58" t="s">
        <v>1242</v>
      </c>
      <c r="M9" s="19"/>
      <c r="N9" s="19"/>
      <c r="O9" s="19"/>
      <c r="P9" s="19"/>
      <c r="Q9" s="19"/>
      <c r="R9" s="19"/>
      <c r="S9" s="19"/>
      <c r="T9" s="19"/>
      <c r="U9" s="19"/>
      <c r="V9" s="19"/>
      <c r="W9" s="19"/>
      <c r="X9" s="19"/>
      <c r="Y9" s="19"/>
      <c r="Z9" s="19"/>
    </row>
    <row r="10" ht="21.75" customHeight="1">
      <c r="A10" s="55" t="str">
        <f>A_CDRRMO!A12</f>
        <v>A1.7</v>
      </c>
      <c r="B10" s="56" t="str">
        <f>A_CDRRMO!C12</f>
        <v>DRRM is represented in City Development Council and Local Finance Committee deliberations</v>
      </c>
      <c r="C10" s="55" t="str">
        <f>A_CDRRMO!E12</f>
        <v>GP</v>
      </c>
      <c r="D10" s="55">
        <f>IF(A_CDRRMO!I12="","",A_CDRRMO!I12)</f>
        <v>4</v>
      </c>
      <c r="E10" s="55" t="str">
        <f>A_CDRRMO!N12</f>
        <v>Low</v>
      </c>
      <c r="F10" s="56" t="str">
        <f>A_CDRRMO!O12</f>
        <v>Meets GP</v>
      </c>
      <c r="G10" s="56" t="str">
        <f>IF(A_CDRRMO!L12="","",A_CDRRMO!L12)</f>
        <v>Keep representation; use the LFC seat to secure the AA line (A4.6) and the EOC budget (B7.5) in the FY2028 budget call.</v>
      </c>
      <c r="H10" s="57" t="s">
        <v>137</v>
      </c>
      <c r="I10" s="58" t="s">
        <v>1248</v>
      </c>
      <c r="J10" s="57" t="s">
        <v>1238</v>
      </c>
      <c r="K10" s="56" t="str">
        <f>A_CDRRMO!P12</f>
        <v>MOO Ch.1</v>
      </c>
      <c r="L10" s="58" t="s">
        <v>1242</v>
      </c>
      <c r="M10" s="19"/>
      <c r="N10" s="19"/>
      <c r="O10" s="19"/>
      <c r="P10" s="19"/>
      <c r="Q10" s="19"/>
      <c r="R10" s="19"/>
      <c r="S10" s="19"/>
      <c r="T10" s="19"/>
      <c r="U10" s="19"/>
      <c r="V10" s="19"/>
      <c r="W10" s="19"/>
      <c r="X10" s="19"/>
      <c r="Y10" s="19"/>
      <c r="Z10" s="19"/>
    </row>
    <row r="11" ht="63.75" customHeight="1">
      <c r="A11" s="55" t="str">
        <f>A_CDRRMO!A13</f>
        <v>A1.8</v>
      </c>
      <c r="B11" s="56" t="str">
        <f>A_CDRRMO!C13</f>
        <v>State of Imminent Disaster procedure: CDRRMC coordinates with RDRRMC VIII when the pre-disaster risk assessment shows reasonable certainty of severe impact; request format to RDRRMC (24-hour reply); Mayor's EO template; adoption rule when the Region (or Province, applicability to an ICC to be confirmed) is declared; lifting grounds and authority</v>
      </c>
      <c r="C11" s="55" t="str">
        <f>A_CDRRMO!E13</f>
        <v>M</v>
      </c>
      <c r="D11" s="55">
        <f>IF(A_CDRRMO!I13="","",A_CDRRMO!I13)</f>
        <v>1</v>
      </c>
      <c r="E11" s="55" t="str">
        <f>A_CDRRMO!N13</f>
        <v>High</v>
      </c>
      <c r="F11" s="56" t="str">
        <f>A_CDRRMO!O13</f>
        <v>Non-compliant</v>
      </c>
      <c r="G11" s="56" t="str">
        <f>IF(A_CDRRMO!L13="","",A_CDRRMO!L13)</f>
        <v>Draft the State of Imminent Disaster procedure (IRR Rule II Sec. 6; Rule III Secs. 2-4): PDRA trigger, CDRRMC resolution, request to RDRRMC VIII, Mayor's EO template, adoption rule, lifting and the 45-day report (A10.8). Confirm with OCD VIII whether a Provincial declaration applies to an ICC. Walk it through in a tabletop to reach score 3.</v>
      </c>
      <c r="H11" s="57" t="s">
        <v>1249</v>
      </c>
      <c r="I11" s="58" t="s">
        <v>1244</v>
      </c>
      <c r="J11" s="57" t="s">
        <v>1238</v>
      </c>
      <c r="K11" s="56" t="str">
        <f>A_CDRRMO!P13</f>
        <v>MOO Ch.1 / EOC Ch.2</v>
      </c>
      <c r="L11" s="58" t="s">
        <v>1242</v>
      </c>
      <c r="M11" s="19"/>
      <c r="N11" s="19"/>
      <c r="O11" s="19"/>
      <c r="P11" s="19"/>
      <c r="Q11" s="19"/>
      <c r="R11" s="19"/>
      <c r="S11" s="19"/>
      <c r="T11" s="19"/>
      <c r="U11" s="19"/>
      <c r="V11" s="19"/>
      <c r="W11" s="19"/>
      <c r="X11" s="19"/>
      <c r="Y11" s="19"/>
      <c r="Z11" s="19"/>
    </row>
    <row r="12" ht="32.25" customHeight="1">
      <c r="A12" s="55" t="str">
        <f>A_CDRRMO!A15</f>
        <v>A2.1</v>
      </c>
      <c r="B12" s="56" t="str">
        <f>A_CDRRMO!C15</f>
        <v>Organizational structure follows JMC 2014-1: Head + Administration &amp; Training, Research &amp; Planning, and Operations &amp; Warning divisions</v>
      </c>
      <c r="C12" s="55" t="str">
        <f>A_CDRRMO!E15</f>
        <v>M</v>
      </c>
      <c r="D12" s="55">
        <f>IF(A_CDRRMO!I15="","",A_CDRRMO!I15)</f>
        <v>2</v>
      </c>
      <c r="E12" s="55" t="str">
        <f>A_CDRRMO!N15</f>
        <v>High</v>
      </c>
      <c r="F12" s="56" t="str">
        <f>A_CDRRMO!O15</f>
        <v>Non-compliant</v>
      </c>
      <c r="G12" s="56" t="str">
        <f>IF(A_CDRRMO!L15="","",A_CDRRMO!L15)</f>
        <v>Adopt the JMC 2014-1 organogram (Head + 3 divisions) with separate normal-operations and response (EOC) roles, through the ordinance in A1.1 and MOO Ch.2.</v>
      </c>
      <c r="H12" s="57" t="s">
        <v>1250</v>
      </c>
      <c r="I12" s="58" t="s">
        <v>1244</v>
      </c>
      <c r="J12" s="57" t="s">
        <v>1238</v>
      </c>
      <c r="K12" s="56" t="str">
        <f>A_CDRRMO!P15</f>
        <v>MOO Ch.2 Office Organization</v>
      </c>
      <c r="L12" s="58" t="s">
        <v>1242</v>
      </c>
      <c r="M12" s="19"/>
      <c r="N12" s="19"/>
      <c r="O12" s="19"/>
      <c r="P12" s="19"/>
      <c r="Q12" s="19"/>
      <c r="R12" s="19"/>
      <c r="S12" s="19"/>
      <c r="T12" s="19"/>
      <c r="U12" s="19"/>
      <c r="V12" s="19"/>
      <c r="W12" s="19"/>
      <c r="X12" s="19"/>
      <c r="Y12" s="19"/>
      <c r="Z12" s="19"/>
    </row>
    <row r="13" ht="21.75" customHeight="1">
      <c r="A13" s="55" t="str">
        <f>A_CDRRMO!A16</f>
        <v>A2.2</v>
      </c>
      <c r="B13" s="56" t="str">
        <f>A_CDRRMO!C16</f>
        <v>CDRRMO Head is a permanent plantilla position filled by a qualified appointee</v>
      </c>
      <c r="C13" s="55" t="str">
        <f>A_CDRRMO!E16</f>
        <v>M</v>
      </c>
      <c r="D13" s="55">
        <f>IF(A_CDRRMO!I16="","",A_CDRRMO!I16)</f>
        <v>4</v>
      </c>
      <c r="E13" s="55" t="str">
        <f>A_CDRRMO!N16</f>
        <v>Low</v>
      </c>
      <c r="F13" s="56" t="str">
        <f>A_CDRRMO!O16</f>
        <v>Compliant</v>
      </c>
      <c r="G13" s="56" t="str">
        <f>IF(A_CDRRMO!L16="","",A_CDRRMO!L16)</f>
        <v>Maintain; document succession (OIC order of precedence) in MOO Ch.2.</v>
      </c>
      <c r="H13" s="57" t="inlineStr">
        <is>
          <t xml:space="preserve">HRMO; CDRRMO Head</t>
        </is>
      </c>
      <c r="I13" s="58" t="inlineStr">
        <is>
          <t xml:space="preserve">Jan 2027 (succession in MOO Ch.2)</t>
        </is>
      </c>
      <c r="J13" s="57" t="inlineStr">
        <is>
          <t xml:space="preserve">No cost</t>
        </is>
      </c>
      <c r="K13" s="56" t="str">
        <f>A_CDRRMO!P16</f>
        <v>MOO Ch.2</v>
      </c>
      <c r="L13" s="58" t="s">
        <v>1242</v>
      </c>
      <c r="M13" s="19"/>
      <c r="N13" s="19"/>
      <c r="O13" s="19"/>
      <c r="P13" s="19"/>
      <c r="Q13" s="19"/>
      <c r="R13" s="19"/>
      <c r="S13" s="19"/>
      <c r="T13" s="19"/>
      <c r="U13" s="19"/>
      <c r="V13" s="19"/>
      <c r="W13" s="19"/>
      <c r="X13" s="19"/>
      <c r="Y13" s="19"/>
      <c r="Z13" s="19"/>
    </row>
    <row r="14" ht="21.75" customHeight="1">
      <c r="A14" s="55" t="str">
        <f>A_CDRRMO!A17</f>
        <v>A2.3</v>
      </c>
      <c r="B14" s="56" t="str">
        <f>A_CDRRMO!C17</f>
        <v>Minimum plantilla positions per JMC 2014-1 created and filled (ratio of filled/required)</v>
      </c>
      <c r="C14" s="55" t="str">
        <f>A_CDRRMO!E17</f>
        <v>M</v>
      </c>
      <c r="D14" s="55">
        <f>IF(A_CDRRMO!I17="","",A_CDRRMO!I17)</f>
        <v>2</v>
      </c>
      <c r="E14" s="55" t="str">
        <f>A_CDRRMO!N17</f>
        <v>High</v>
      </c>
      <c r="F14" s="56" t="str">
        <f>A_CDRRMO!O17</f>
        <v>Non-compliant</v>
      </c>
      <c r="G14" s="56" t="str">
        <f>IF(A_CDRRMO!L17="","",A_CDRRMO!L17)</f>
        <v>Get the Plantilla of Personnel and vacancy list; compute filled/required. Request creation and funding of the 10 planned items in the FY2028 budget, prioritising Operations &amp; Warning (24/7 OpCen) and Research &amp; Planning (GIS).</v>
      </c>
      <c r="H14" s="57" t="s">
        <v>1253</v>
      </c>
      <c r="I14" s="58" t="s">
        <v>1254</v>
      </c>
      <c r="J14" s="57" t="s">
        <v>1255</v>
      </c>
      <c r="K14" s="56" t="str">
        <f>A_CDRRMO!P17</f>
        <v>MOO Ch.2</v>
      </c>
      <c r="L14" s="58" t="s">
        <v>1235</v>
      </c>
      <c r="M14" s="19"/>
      <c r="N14" s="19"/>
      <c r="O14" s="19"/>
      <c r="P14" s="19"/>
      <c r="Q14" s="19"/>
      <c r="R14" s="19"/>
      <c r="S14" s="19"/>
      <c r="T14" s="19"/>
      <c r="U14" s="19"/>
      <c r="V14" s="19"/>
      <c r="W14" s="19"/>
      <c r="X14" s="19"/>
      <c r="Y14" s="19"/>
      <c r="Z14" s="19"/>
    </row>
    <row r="15" ht="21.75" customHeight="1">
      <c r="A15" s="55" t="str">
        <f>A_CDRRMO!A18</f>
        <v>A2.4</v>
      </c>
      <c r="B15" s="56" t="str">
        <f>A_CDRRMO!C18</f>
        <v>Job descriptions/position descriptions defined for every position, aligned to RA 10121 functions</v>
      </c>
      <c r="C15" s="55" t="str">
        <f>A_CDRRMO!E18</f>
        <v>M</v>
      </c>
      <c r="D15" s="55">
        <f>IF(A_CDRRMO!I18="","",A_CDRRMO!I18)</f>
        <v>2</v>
      </c>
      <c r="E15" s="55" t="str">
        <f>A_CDRRMO!N18</f>
        <v>Medium</v>
      </c>
      <c r="F15" s="56" t="str">
        <f>A_CDRRMO!O18</f>
        <v>Non-compliant</v>
      </c>
      <c r="G15" s="56" t="str">
        <f>IF(A_CDRRMO!L18="","",A_CDRRMO!L18)</f>
        <v>Write position descriptions for every CDRRMO and EOC role (MOO annex), aligned to RA 10121 functions; link them to IPCR/OPCR targets.</v>
      </c>
      <c r="H15" s="57" t="s">
        <v>1256</v>
      </c>
      <c r="I15" s="58" t="s">
        <v>1244</v>
      </c>
      <c r="J15" s="57" t="s">
        <v>1238</v>
      </c>
      <c r="K15" s="56" t="str">
        <f>A_CDRRMO!P18</f>
        <v>MOO Ch.2 / Annex JDs</v>
      </c>
      <c r="L15" s="58" t="s">
        <v>1242</v>
      </c>
      <c r="M15" s="19"/>
      <c r="N15" s="19"/>
      <c r="O15" s="19"/>
      <c r="P15" s="19"/>
      <c r="Q15" s="19"/>
      <c r="R15" s="19"/>
      <c r="S15" s="19"/>
      <c r="T15" s="19"/>
      <c r="U15" s="19"/>
      <c r="V15" s="19"/>
      <c r="W15" s="19"/>
      <c r="X15" s="19"/>
      <c r="Y15" s="19"/>
      <c r="Z15" s="19"/>
    </row>
    <row r="16" ht="21.75" customHeight="1">
      <c r="A16" s="55" t="str">
        <f>A_CDRRMO!A19</f>
        <v>A2.5</v>
      </c>
      <c r="B16" s="56" t="str">
        <f>A_CDRRMO!C19</f>
        <v>24/7 operations capability with documented shift roster (Operations Center/Duty officers)</v>
      </c>
      <c r="C16" s="55" t="str">
        <f>A_CDRRMO!E19</f>
        <v>M</v>
      </c>
      <c r="D16" s="55">
        <f>IF(A_CDRRMO!I19="","",A_CDRRMO!I19)</f>
        <v>1</v>
      </c>
      <c r="E16" s="55" t="str">
        <f>A_CDRRMO!N19</f>
        <v>High</v>
      </c>
      <c r="F16" s="56" t="str">
        <f>A_CDRRMO!O19</f>
        <v>Non-compliant</v>
      </c>
      <c r="G16" s="56" t="str">
        <f>IF(A_CDRRMO!L19="","",A_CDRRMO!L19)</f>
        <v>Write the OpCen normal-operations SOP (shifts, handover, monitoring, logbook, reporting times 6AM/6PM per RDRRMC8 Res. 12-006) as EOC Manual Ch.4/Ch.5; have it approved and keep 3 months of rosters as proof of use.</v>
      </c>
      <c r="H16" s="57" t="s">
        <v>1257</v>
      </c>
      <c r="I16" s="58" t="s">
        <v>1244</v>
      </c>
      <c r="J16" s="57" t="s">
        <v>1258</v>
      </c>
      <c r="K16" s="56" t="str">
        <f>A_CDRRMO!P19</f>
        <v>MOO Ch.4 Operations / EOC Ch.4</v>
      </c>
      <c r="L16" s="58" t="s">
        <v>1242</v>
      </c>
      <c r="M16" s="19"/>
      <c r="N16" s="19"/>
      <c r="O16" s="19"/>
      <c r="P16" s="19"/>
      <c r="Q16" s="19"/>
      <c r="R16" s="19"/>
      <c r="S16" s="19"/>
      <c r="T16" s="19"/>
      <c r="U16" s="19"/>
      <c r="V16" s="19"/>
      <c r="W16" s="19"/>
      <c r="X16" s="19"/>
      <c r="Y16" s="19"/>
      <c r="Z16" s="19"/>
    </row>
    <row r="17" ht="32.25" customHeight="1">
      <c r="A17" s="55" t="str">
        <f>A_CDRRMO!A20</f>
        <v>A2.6</v>
      </c>
      <c r="B17" s="56" t="str">
        <f>A_CDRRMO!C20</f>
        <v>Training needs analysis done and competency-based training plan for staff (ICS, BLS/SFA, WASAR, CSSR, MOSAR, EOC, PDNA, GIS)</v>
      </c>
      <c r="C17" s="55" t="str">
        <f>A_CDRRMO!E20</f>
        <v>GP</v>
      </c>
      <c r="D17" s="55">
        <f>IF(A_CDRRMO!I20="","",A_CDRRMO!I20)</f>
        <v>1</v>
      </c>
      <c r="E17" s="55" t="str">
        <f>A_CDRRMO!N20</f>
        <v>Medium</v>
      </c>
      <c r="F17" s="56" t="str">
        <f>A_CDRRMO!O20</f>
        <v>Below GP</v>
      </c>
      <c r="G17" s="56" t="str">
        <f>IF(A_CDRRMO!L20="","",A_CDRRMO!L20)</f>
        <v>Run a TNA for all CDRRMO/EOC staff against the competency list (ICS, BLS/SFA, WASAR, CSSR, EOC, PDNA, GIS); produce a 3-year training plan with OCD VIII courses in MOO Ch.6.</v>
      </c>
      <c r="H17" s="57" t="s">
        <v>1243</v>
      </c>
      <c r="I17" s="58" t="s">
        <v>1259</v>
      </c>
      <c r="J17" s="57" t="s">
        <v>1260</v>
      </c>
      <c r="K17" s="56" t="str">
        <f>A_CDRRMO!P20</f>
        <v>MOO Ch.6 Capacity Development</v>
      </c>
      <c r="L17" s="58" t="s">
        <v>1235</v>
      </c>
      <c r="M17" s="19"/>
      <c r="N17" s="19"/>
      <c r="O17" s="19"/>
      <c r="P17" s="19"/>
      <c r="Q17" s="19"/>
      <c r="R17" s="19"/>
      <c r="S17" s="19"/>
      <c r="T17" s="19"/>
      <c r="U17" s="19"/>
      <c r="V17" s="19"/>
      <c r="W17" s="19"/>
      <c r="X17" s="19"/>
      <c r="Y17" s="19"/>
      <c r="Z17" s="19"/>
    </row>
    <row r="18" ht="21.75" customHeight="1">
      <c r="A18" s="55" t="str">
        <f>A_CDRRMO!A21</f>
        <v>A2.7</v>
      </c>
      <c r="B18" s="56" t="str">
        <f>A_CDRRMO!C21</f>
        <v>Personnel welfare and safety: insurance, hazard pay, PPE, psychosocial support for responders</v>
      </c>
      <c r="C18" s="55" t="str">
        <f>A_CDRRMO!E21</f>
        <v>M</v>
      </c>
      <c r="D18" s="55">
        <f>IF(A_CDRRMO!I21="","",A_CDRRMO!I21)</f>
        <v>1</v>
      </c>
      <c r="E18" s="55" t="str">
        <f>A_CDRRMO!N21</f>
        <v>High</v>
      </c>
      <c r="F18" s="56" t="str">
        <f>A_CDRRMO!O21</f>
        <v>Non-compliant</v>
      </c>
      <c r="G18" s="56" t="str">
        <f>IF(A_CDRRMO!L21="","",A_CDRRMO!L21)</f>
        <v>Adopt a responder welfare policy: group accident insurance (staff and accredited volunteers), PPE issue list, rest cycles, MHPSS referral with CHO (RA 11036). Memo 131 also requires EOC personnel welfare.</v>
      </c>
      <c r="H18" s="57" t="s">
        <v>1261</v>
      </c>
      <c r="I18" s="58" t="s">
        <v>1262</v>
      </c>
      <c r="J18" s="57" t="s">
        <v>1263</v>
      </c>
      <c r="K18" s="56" t="str">
        <f>A_CDRRMO!P21</f>
        <v>MOO Ch.2 / Ch.4</v>
      </c>
      <c r="L18" s="58" t="s">
        <v>1235</v>
      </c>
      <c r="M18" s="19"/>
      <c r="N18" s="19"/>
      <c r="O18" s="19"/>
      <c r="P18" s="19"/>
      <c r="Q18" s="19"/>
      <c r="R18" s="19"/>
      <c r="S18" s="19"/>
      <c r="T18" s="19"/>
      <c r="U18" s="19"/>
      <c r="V18" s="19"/>
      <c r="W18" s="19"/>
      <c r="X18" s="19"/>
      <c r="Y18" s="19"/>
      <c r="Z18" s="19"/>
    </row>
    <row r="19" ht="32.25" customHeight="1">
      <c r="A19" s="55" t="str">
        <f>A_CDRRMO!A22</f>
        <v>A2.8</v>
      </c>
      <c r="B19" s="56" t="str">
        <f>A_CDRRMO!C22</f>
        <v>Volunteer/auxiliary responder management system (accreditation, registry, deployment, insurance), incl. mobilization of ACDVs for anticipatory action</v>
      </c>
      <c r="C19" s="55" t="str">
        <f>A_CDRRMO!E22</f>
        <v>GP</v>
      </c>
      <c r="D19" s="55">
        <f>IF(A_CDRRMO!I22="","",A_CDRRMO!I22)</f>
        <v>3</v>
      </c>
      <c r="E19" s="55" t="str">
        <f>A_CDRRMO!N22</f>
        <v>Low</v>
      </c>
      <c r="F19" s="56" t="str">
        <f>A_CDRRMO!O22</f>
        <v>Meets GP</v>
      </c>
      <c r="G19" s="56" t="str">
        <f>IF(A_CDRRMO!L22="","",A_CDRRMO!L22)</f>
        <v>Formalise the ACDV registry with accreditation, insurance and deployment rules, and add AA tasks for ACDVs.</v>
      </c>
      <c r="H19" s="57" t="s">
        <v>1243</v>
      </c>
      <c r="I19" s="58" t="s">
        <v>1246</v>
      </c>
      <c r="J19" s="57" t="s">
        <v>1263</v>
      </c>
      <c r="K19" s="56" t="str">
        <f>A_CDRRMO!P22</f>
        <v>MOO Ch.6</v>
      </c>
      <c r="L19" s="58" t="s">
        <v>1242</v>
      </c>
      <c r="M19" s="19"/>
      <c r="N19" s="19"/>
      <c r="O19" s="19"/>
      <c r="P19" s="19"/>
      <c r="Q19" s="19"/>
      <c r="R19" s="19"/>
      <c r="S19" s="19"/>
      <c r="T19" s="19"/>
      <c r="U19" s="19"/>
      <c r="V19" s="19"/>
      <c r="W19" s="19"/>
      <c r="X19" s="19"/>
      <c r="Y19" s="19"/>
      <c r="Z19" s="19"/>
    </row>
    <row r="20" ht="32.25" customHeight="1">
      <c r="A20" s="55" t="str">
        <f>A_CDRRMO!A23</f>
        <v>A2.9</v>
      </c>
      <c r="B20" s="56" t="str">
        <f>A_CDRRMO!C23</f>
        <v>Anticipatory action focal person designated in the CDRRMO, with AA training for staff, BDRRMCs, ACDVs and partner CSOs (incl. community-based early warning and early action)</v>
      </c>
      <c r="C20" s="55" t="str">
        <f>A_CDRRMO!E23</f>
        <v>M</v>
      </c>
      <c r="D20" s="55">
        <f>IF(A_CDRRMO!I23="","",A_CDRRMO!I23)</f>
        <v>0</v>
      </c>
      <c r="E20" s="55" t="str">
        <f>A_CDRRMO!N23</f>
        <v>High</v>
      </c>
      <c r="F20" s="56" t="str">
        <f>A_CDRRMO!O23</f>
        <v>Non-compliant</v>
      </c>
      <c r="G20" s="56" t="str">
        <f>IF(A_CDRRMO!L23="","",A_CDRRMO!L23)</f>
        <v>Designate an AA focal person by office order and enrol them, BDRRMC officers, ACDVs and partner CSOs in AA training when OCD VIII cascades the IRR.</v>
      </c>
      <c r="H20" s="57" t="s">
        <v>137</v>
      </c>
      <c r="I20" s="58" t="s">
        <v>1237</v>
      </c>
      <c r="J20" s="57" t="s">
        <v>1264</v>
      </c>
      <c r="K20" s="56" t="str">
        <f>A_CDRRMO!P23</f>
        <v>MOO Ch.2 / Ch.6</v>
      </c>
      <c r="L20" s="58" t="s">
        <v>1235</v>
      </c>
      <c r="M20" s="19"/>
      <c r="N20" s="19"/>
      <c r="O20" s="19"/>
      <c r="P20" s="19"/>
      <c r="Q20" s="19"/>
      <c r="R20" s="19"/>
      <c r="S20" s="19"/>
      <c r="T20" s="19"/>
      <c r="U20" s="19"/>
      <c r="V20" s="19"/>
      <c r="W20" s="19"/>
      <c r="X20" s="19"/>
      <c r="Y20" s="19"/>
      <c r="Z20" s="19"/>
    </row>
    <row r="21" ht="32.25" customHeight="1">
      <c r="A21" s="55" t="str">
        <f>A_CDRRMO!A24</f>
        <v>A2.10</v>
      </c>
      <c r="B21" s="56" t="str">
        <f>A_CDRRMO!C24</f>
        <v>Inventory of DRRM-relevant skills across the CDRRMO, partner offices and barangays (SAR, engineering, logistics, GIS, PDNA, MHPSS) updated within the last 12 months</v>
      </c>
      <c r="C21" s="55" t="str">
        <f>A_CDRRMO!E24</f>
        <v>GP</v>
      </c>
      <c r="D21" s="55">
        <f>IF(A_CDRRMO!I24="","",A_CDRRMO!I24)</f>
        <v>1</v>
      </c>
      <c r="E21" s="55" t="str">
        <f>A_CDRRMO!N24</f>
        <v>Low</v>
      </c>
      <c r="F21" s="56" t="str">
        <f>A_CDRRMO!O24</f>
        <v>Below GP</v>
      </c>
      <c r="G21" s="56" t="str">
        <f>IF(A_CDRRMO!L24="","",A_CDRRMO!L24)</f>
        <v>Build a skills inventory (SAR, engineering, logistics, GIS, PDNA, MHPSS) covering CDRRMO, CDRRMC offices and BDRRMCs; update it every 12 months (UNDRR DRSC 6.1.1).</v>
      </c>
      <c r="H21" s="57" t="s">
        <v>1243</v>
      </c>
      <c r="I21" s="58" t="s">
        <v>1259</v>
      </c>
      <c r="J21" s="57" t="s">
        <v>1238</v>
      </c>
      <c r="K21" s="56" t="str">
        <f>A_CDRRMO!P24</f>
        <v>MOO Ch.6</v>
      </c>
      <c r="L21" s="58" t="s">
        <v>1235</v>
      </c>
      <c r="M21" s="19"/>
      <c r="N21" s="19"/>
      <c r="O21" s="19"/>
      <c r="P21" s="19"/>
      <c r="Q21" s="19"/>
      <c r="R21" s="19"/>
      <c r="S21" s="19"/>
      <c r="T21" s="19"/>
      <c r="U21" s="19"/>
      <c r="V21" s="19"/>
      <c r="W21" s="19"/>
      <c r="X21" s="19"/>
      <c r="Y21" s="19"/>
      <c r="Z21" s="19"/>
    </row>
    <row r="22" ht="21.75" customHeight="1">
      <c r="A22" s="55" t="str">
        <f>A_CDRRMO!A26</f>
        <v>A3.1</v>
      </c>
      <c r="B22" s="56" t="str">
        <f>A_CDRRMO!C26</f>
        <v>Local DRRM Plan (LDRRMP) current, approved by Sanggunian, aligned with NDRRMP 2020-2030 and Sendai Framework</v>
      </c>
      <c r="C22" s="55" t="str">
        <f>A_CDRRMO!E26</f>
        <v>M</v>
      </c>
      <c r="D22" s="55">
        <f>IF(A_CDRRMO!I26="","",A_CDRRMO!I26)</f>
        <v>4</v>
      </c>
      <c r="E22" s="55" t="str">
        <f>A_CDRRMO!N26</f>
        <v>Low</v>
      </c>
      <c r="F22" s="56" t="str">
        <f>A_CDRRMO!O26</f>
        <v>Compliant</v>
      </c>
      <c r="G22" s="56" t="str">
        <f>IF(A_CDRRMO!L26="","",A_CDRRMO!L26)</f>
        <v>Maintain; in the next update correct the barangay count to 85 and add RA 12287 anticipatory action PPAs.</v>
      </c>
      <c r="H22" s="57" t="s">
        <v>1265</v>
      </c>
      <c r="I22" s="58" t="s">
        <v>1266</v>
      </c>
      <c r="J22" s="57" t="inlineStr">
        <is>
          <t xml:space="preserve">LDRRMF 70% (planning)</t>
        </is>
      </c>
      <c r="K22" s="56" t="str">
        <f>A_CDRRMO!P26</f>
        <v>MOO Ch.3 Planning</v>
      </c>
      <c r="L22" s="58" t="s">
        <v>1242</v>
      </c>
      <c r="M22" s="19"/>
      <c r="N22" s="19"/>
      <c r="O22" s="19"/>
      <c r="P22" s="19"/>
      <c r="Q22" s="19"/>
      <c r="R22" s="19"/>
      <c r="S22" s="19"/>
      <c r="T22" s="19"/>
      <c r="U22" s="19"/>
      <c r="V22" s="19"/>
      <c r="W22" s="19"/>
      <c r="X22" s="19"/>
      <c r="Y22" s="19"/>
      <c r="Z22" s="19"/>
    </row>
    <row r="23" ht="21.75" customHeight="1">
      <c r="A23" s="55" t="str">
        <f>A_CDRRMO!A27</f>
        <v>A3.2</v>
      </c>
      <c r="B23" s="56" t="str">
        <f>A_CDRRMO!C27</f>
        <v>DRR-CCA mainstreamed in CDP, CLUP, ELA and LCCAP (hazard data used in land use and investment decisions)</v>
      </c>
      <c r="C23" s="55" t="str">
        <f>A_CDRRMO!E27</f>
        <v>M</v>
      </c>
      <c r="D23" s="55">
        <f>IF(A_CDRRMO!I27="","",A_CDRRMO!I27)</f>
        <v>3</v>
      </c>
      <c r="E23" s="55" t="str">
        <f>A_CDRRMO!N27</f>
        <v>Low</v>
      </c>
      <c r="F23" s="56" t="str">
        <f>A_CDRRMO!O27</f>
        <v>Compliant</v>
      </c>
      <c r="G23" s="56" t="str">
        <f>IF(A_CDRRMO!L27="","",A_CDRRMO!L27)</f>
        <v>Review mainstreaming in CDP, CLUP, ELA and LCCAP during the CLUP update; check that CDRA results drive land-use and AIP decisions (see C1.1-C1.4).</v>
      </c>
      <c r="H23" s="57" t="s">
        <v>1267</v>
      </c>
      <c r="I23" s="58" t="s">
        <v>1268</v>
      </c>
      <c r="J23" s="57" t="s">
        <v>1269</v>
      </c>
      <c r="K23" s="56" t="str">
        <f>A_CDRRMO!P27</f>
        <v>MOO Ch.3</v>
      </c>
      <c r="L23" s="58" t="s">
        <v>1242</v>
      </c>
      <c r="M23" s="19"/>
      <c r="N23" s="19"/>
      <c r="O23" s="19"/>
      <c r="P23" s="19"/>
      <c r="Q23" s="19"/>
      <c r="R23" s="19"/>
      <c r="S23" s="19"/>
      <c r="T23" s="19"/>
      <c r="U23" s="19"/>
      <c r="V23" s="19"/>
      <c r="W23" s="19"/>
      <c r="X23" s="19"/>
      <c r="Y23" s="19"/>
      <c r="Z23" s="19"/>
    </row>
    <row r="24" ht="32.25" customHeight="1">
      <c r="A24" s="55" t="str">
        <f>A_CDRRMO!A28</f>
        <v>A3.3</v>
      </c>
      <c r="B24" s="56" t="str">
        <f>A_CDRRMO!C28</f>
        <v>Hazard-specific Contingency Plans for priority hazards (flood/flash flood, landslide, earthquake/tsunami, tropical cyclone, industrial/geothermal), updated and tested</v>
      </c>
      <c r="C24" s="55" t="str">
        <f>A_CDRRMO!E28</f>
        <v>M</v>
      </c>
      <c r="D24" s="55">
        <f>IF(A_CDRRMO!I28="","",A_CDRRMO!I28)</f>
        <v>3</v>
      </c>
      <c r="E24" s="55" t="str">
        <f>A_CDRRMO!N28</f>
        <v>Medium</v>
      </c>
      <c r="F24" s="56" t="str">
        <f>A_CDRRMO!O28</f>
        <v>Compliant</v>
      </c>
      <c r="G24" s="56" t="str">
        <f>IF(A_CDRRMO!L28="","",A_CDRRMO!L28)</f>
        <v>Prepare CPs for the remaining priority hazards and test each by tabletop; add AA annexes (A8.8) and pre-disaster recovery annex (A9.5).</v>
      </c>
      <c r="H24" s="57" t="s">
        <v>1270</v>
      </c>
      <c r="I24" s="58" t="s">
        <v>1271</v>
      </c>
      <c r="J24" s="57" t="s">
        <v>1263</v>
      </c>
      <c r="K24" s="56" t="str">
        <f>A_CDRRMO!P28</f>
        <v>MOO Ch.3 / EOC Ch.3</v>
      </c>
      <c r="L24" s="58" t="s">
        <v>1242</v>
      </c>
      <c r="M24" s="19"/>
      <c r="N24" s="19"/>
      <c r="O24" s="19"/>
      <c r="P24" s="19"/>
      <c r="Q24" s="19"/>
      <c r="R24" s="19"/>
      <c r="S24" s="19"/>
      <c r="T24" s="19"/>
      <c r="U24" s="19"/>
      <c r="V24" s="19"/>
      <c r="W24" s="19"/>
      <c r="X24" s="19"/>
      <c r="Y24" s="19"/>
      <c r="Z24" s="19"/>
    </row>
    <row r="25" ht="21.75" customHeight="1">
      <c r="A25" s="55" t="str">
        <f>A_CDRRMO!A29</f>
        <v>A3.4</v>
      </c>
      <c r="B25" s="56" t="str">
        <f>A_CDRRMO!C29</f>
        <v>Public Service Continuity Plan (PSCP) prepared covering CDRRMO and essential city services</v>
      </c>
      <c r="C25" s="55" t="str">
        <f>A_CDRRMO!E29</f>
        <v>M</v>
      </c>
      <c r="D25" s="55">
        <f>IF(A_CDRRMO!I29="","",A_CDRRMO!I29)</f>
        <v>2</v>
      </c>
      <c r="E25" s="55" t="str">
        <f>A_CDRRMO!N29</f>
        <v>Medium</v>
      </c>
      <c r="F25" s="56" t="str">
        <f>A_CDRRMO!O29</f>
        <v>Non-compliant</v>
      </c>
      <c r="G25" s="56" t="str">
        <f>IF(A_CDRRMO!L29="","",A_CDRRMO!L29)</f>
        <v>Complete the PSCP using the PSCP Guidebook: essential functions, BIA, alternate site (links to B2.7), orders of succession, vital records. Exercise it once.</v>
      </c>
      <c r="H25" s="57" t="s">
        <v>1272</v>
      </c>
      <c r="I25" s="58" t="s">
        <v>1246</v>
      </c>
      <c r="J25" s="57" t="s">
        <v>1263</v>
      </c>
      <c r="K25" s="56" t="str">
        <f>A_CDRRMO!P29</f>
        <v>MOO Ch.3 / EOC Ch.7</v>
      </c>
      <c r="L25" s="58" t="s">
        <v>1242</v>
      </c>
      <c r="M25" s="19"/>
      <c r="N25" s="19"/>
      <c r="O25" s="19"/>
      <c r="P25" s="19"/>
      <c r="Q25" s="19"/>
      <c r="R25" s="19"/>
      <c r="S25" s="19"/>
      <c r="T25" s="19"/>
      <c r="U25" s="19"/>
      <c r="V25" s="19"/>
      <c r="W25" s="19"/>
      <c r="X25" s="19"/>
      <c r="Y25" s="19"/>
      <c r="Z25" s="19"/>
    </row>
    <row r="26" ht="21.75" customHeight="1">
      <c r="A26" s="55" t="str">
        <f>A_CDRRMO!A30</f>
        <v>A3.5</v>
      </c>
      <c r="B26" s="56" t="str">
        <f>A_CDRRMO!C30</f>
        <v>Annual LDRRMF Investment Plan (LDRRMFIP) prepared, approved and consistent with LDRRMP</v>
      </c>
      <c r="C26" s="55" t="str">
        <f>A_CDRRMO!E30</f>
        <v>M</v>
      </c>
      <c r="D26" s="55">
        <f>IF(A_CDRRMO!I30="","",A_CDRRMO!I30)</f>
        <v>4</v>
      </c>
      <c r="E26" s="55" t="str">
        <f>A_CDRRMO!N30</f>
        <v>Low</v>
      </c>
      <c r="F26" s="56" t="str">
        <f>A_CDRRMO!O30</f>
        <v>Compliant</v>
      </c>
      <c r="G26" s="56" t="str">
        <f>IF(A_CDRRMO!L30="","",A_CDRRMO!L30)</f>
        <v>Maintain; add the AA line (A4.6) and EOC operations line (B7.5) explicitly.</v>
      </c>
      <c r="H26" s="57" t="s">
        <v>1273</v>
      </c>
      <c r="I26" s="58" t="s">
        <v>1274</v>
      </c>
      <c r="J26" s="57" t="inlineStr">
        <is>
          <t xml:space="preserve">LDRRMF 70%</t>
        </is>
      </c>
      <c r="K26" s="56" t="str">
        <f>A_CDRRMO!P30</f>
        <v>MOO Ch.5 Financing</v>
      </c>
      <c r="L26" s="58" t="s">
        <v>1242</v>
      </c>
      <c r="M26" s="19"/>
      <c r="N26" s="19"/>
      <c r="O26" s="19"/>
      <c r="P26" s="19"/>
      <c r="Q26" s="19"/>
      <c r="R26" s="19"/>
      <c r="S26" s="19"/>
      <c r="T26" s="19"/>
      <c r="U26" s="19"/>
      <c r="V26" s="19"/>
      <c r="W26" s="19"/>
      <c r="X26" s="19"/>
      <c r="Y26" s="19"/>
      <c r="Z26" s="19"/>
    </row>
    <row r="27" ht="21.75" customHeight="1">
      <c r="A27" s="55" t="str">
        <f>A_CDRRMO!A31</f>
        <v>A3.6</v>
      </c>
      <c r="B27" s="56" t="str">
        <f>A_CDRRMO!C31</f>
        <v>Evacuation plan with mapped routes, safe zones, centers and pre-emptive evacuation triggers per barangay</v>
      </c>
      <c r="C27" s="55" t="str">
        <f>A_CDRRMO!E31</f>
        <v>M</v>
      </c>
      <c r="D27" s="55">
        <f>IF(A_CDRRMO!I31="","",A_CDRRMO!I31)</f>
        <v>2</v>
      </c>
      <c r="E27" s="55" t="str">
        <f>A_CDRRMO!N31</f>
        <v>High</v>
      </c>
      <c r="F27" s="56" t="str">
        <f>A_CDRRMO!O31</f>
        <v>Non-compliant</v>
      </c>
      <c r="G27" s="56" t="str">
        <f>IF(A_CDRRMO!L31="","",A_CDRRMO!L31)</f>
        <v>Produce barangay evacuation maps (routes, safe zones, ECs) for all 85 barangays, starting with the 46 critical flood barangays, and link triggers to the warning-action matrix (A6.2).</v>
      </c>
      <c r="H27" s="57" t="s">
        <v>1275</v>
      </c>
      <c r="I27" s="58" t="s">
        <v>1276</v>
      </c>
      <c r="J27" s="57" t="s">
        <v>1263</v>
      </c>
      <c r="K27" s="56" t="str">
        <f>A_CDRRMO!P31</f>
        <v>MOO Ch.4 / EOC Ch.3</v>
      </c>
      <c r="L27" s="58" t="s">
        <v>1235</v>
      </c>
      <c r="M27" s="19"/>
      <c r="N27" s="19"/>
      <c r="O27" s="19"/>
      <c r="P27" s="19"/>
      <c r="Q27" s="19"/>
      <c r="R27" s="19"/>
      <c r="S27" s="19"/>
      <c r="T27" s="19"/>
      <c r="U27" s="19"/>
      <c r="V27" s="19"/>
      <c r="W27" s="19"/>
      <c r="X27" s="19"/>
      <c r="Y27" s="19"/>
      <c r="Z27" s="19"/>
    </row>
    <row r="28" ht="21.75" customHeight="1">
      <c r="A28" s="55" t="str">
        <f>A_CDRRMO!A32</f>
        <v>A3.7</v>
      </c>
      <c r="B28" s="56" t="str">
        <f>A_CDRRMO!C32</f>
        <v>Barangay DRRM plans (85 barangays) reviewed/consolidated by CDRRMO</v>
      </c>
      <c r="C28" s="55" t="str">
        <f>A_CDRRMO!E32</f>
        <v>GP</v>
      </c>
      <c r="D28" s="55">
        <f>IF(A_CDRRMO!I32="","",A_CDRRMO!I32)</f>
        <v>4</v>
      </c>
      <c r="E28" s="55" t="str">
        <f>A_CDRRMO!N32</f>
        <v>Low</v>
      </c>
      <c r="F28" s="56" t="str">
        <f>A_CDRRMO!O32</f>
        <v>Meets GP</v>
      </c>
      <c r="G28" s="56" t="str">
        <f>IF(A_CDRRMO!L32="","",A_CDRRMO!L32)</f>
        <v>Maintain; add AA and evacuation-map status columns to the matrix.</v>
      </c>
      <c r="H28" s="57" t="s">
        <v>1265</v>
      </c>
      <c r="I28" s="58" t="s">
        <v>1277</v>
      </c>
      <c r="J28" s="57" t="inlineStr">
        <is>
          <t xml:space="preserve">No cost</t>
        </is>
      </c>
      <c r="K28" s="56" t="str">
        <f>A_CDRRMO!P32</f>
        <v>MOO Ch.3</v>
      </c>
      <c r="L28" s="58" t="s">
        <v>1242</v>
      </c>
      <c r="M28" s="19"/>
      <c r="N28" s="19"/>
      <c r="O28" s="19"/>
      <c r="P28" s="19"/>
      <c r="Q28" s="19"/>
      <c r="R28" s="19"/>
      <c r="S28" s="19"/>
      <c r="T28" s="19"/>
      <c r="U28" s="19"/>
      <c r="V28" s="19"/>
      <c r="W28" s="19"/>
      <c r="X28" s="19"/>
      <c r="Y28" s="19"/>
      <c r="Z28" s="19"/>
    </row>
    <row r="29" ht="21.75" customHeight="1">
      <c r="A29" s="55" t="str">
        <f>A_CDRRMO!A34</f>
        <v>A4.1</v>
      </c>
      <c r="B29" s="56" t="str">
        <f>A_CDRRMO!C34</f>
        <v>LDRRMF set at not less than 5% of estimated revenue from regular sources</v>
      </c>
      <c r="C29" s="55" t="str">
        <f>A_CDRRMO!E34</f>
        <v>M</v>
      </c>
      <c r="D29" s="55">
        <f>IF(A_CDRRMO!I34="","",A_CDRRMO!I34)</f>
        <v>4</v>
      </c>
      <c r="E29" s="55" t="str">
        <f>A_CDRRMO!N34</f>
        <v>Low</v>
      </c>
      <c r="F29" s="56" t="str">
        <f>A_CDRRMO!O34</f>
        <v>Compliant</v>
      </c>
      <c r="G29" s="56" t="str">
        <f>IF(A_CDRRMO!L34="","",A_CDRRMO!L34)</f>
        <v>Maintain; keep the computation sheet with the budget.</v>
      </c>
      <c r="H29" s="57" t="s">
        <v>1278</v>
      </c>
      <c r="I29" s="58" t="s">
        <v>1277</v>
      </c>
      <c r="J29" s="57" t="inlineStr">
        <is>
          <t xml:space="preserve">No cost</t>
        </is>
      </c>
      <c r="K29" s="56" t="str">
        <f>A_CDRRMO!P34</f>
        <v>MOO Ch.5 Financing</v>
      </c>
      <c r="L29" s="58" t="s">
        <v>1242</v>
      </c>
      <c r="M29" s="19"/>
      <c r="N29" s="19"/>
      <c r="O29" s="19"/>
      <c r="P29" s="19"/>
      <c r="Q29" s="19"/>
      <c r="R29" s="19"/>
      <c r="S29" s="19"/>
      <c r="T29" s="19"/>
      <c r="U29" s="19"/>
      <c r="V29" s="19"/>
      <c r="W29" s="19"/>
      <c r="X29" s="19"/>
      <c r="Y29" s="19"/>
      <c r="Z29" s="19"/>
    </row>
    <row r="30" ht="21.75" customHeight="1">
      <c r="A30" s="55" t="str">
        <f>A_CDRRMO!A35</f>
        <v>A4.2</v>
      </c>
      <c r="B30" s="56" t="str">
        <f>A_CDRRMO!C35</f>
        <v>70% Mitigation/Preparedness and 30% Quick Response Fund (QRF) allocation observed</v>
      </c>
      <c r="C30" s="55" t="str">
        <f>A_CDRRMO!E35</f>
        <v>M</v>
      </c>
      <c r="D30" s="55">
        <f>IF(A_CDRRMO!I35="","",A_CDRRMO!I35)</f>
        <v>4</v>
      </c>
      <c r="E30" s="55" t="str">
        <f>A_CDRRMO!N35</f>
        <v>Low</v>
      </c>
      <c r="F30" s="56" t="str">
        <f>A_CDRRMO!O35</f>
        <v>Compliant</v>
      </c>
      <c r="G30" s="56" t="str">
        <f>IF(A_CDRRMO!L35="","",A_CDRRMO!L35)</f>
        <v>Maintain the 70/30 split; show the AA sub-allocation inside the 70% (A4.6).</v>
      </c>
      <c r="H30" s="57" t="s">
        <v>1279</v>
      </c>
      <c r="I30" s="58" t="s">
        <v>1277</v>
      </c>
      <c r="J30" s="57" t="inlineStr">
        <is>
          <t xml:space="preserve">No cost</t>
        </is>
      </c>
      <c r="K30" s="56" t="str">
        <f>A_CDRRMO!P35</f>
        <v>MOO Ch.5</v>
      </c>
      <c r="L30" s="58" t="s">
        <v>1242</v>
      </c>
      <c r="M30" s="19"/>
      <c r="N30" s="19"/>
      <c r="O30" s="19"/>
      <c r="P30" s="19"/>
      <c r="Q30" s="19"/>
      <c r="R30" s="19"/>
      <c r="S30" s="19"/>
      <c r="T30" s="19"/>
      <c r="U30" s="19"/>
      <c r="V30" s="19"/>
      <c r="W30" s="19"/>
      <c r="X30" s="19"/>
      <c r="Y30" s="19"/>
      <c r="Z30" s="19"/>
    </row>
    <row r="31" ht="21.75" customHeight="1">
      <c r="A31" s="55" t="str">
        <f>A_CDRRMO!A36</f>
        <v>A4.3</v>
      </c>
      <c r="B31" s="56" t="str">
        <f>A_CDRRMO!C36</f>
        <v>Unexpended LDRRMF transferred to Special Trust Fund and used within 5 years</v>
      </c>
      <c r="C31" s="55" t="str">
        <f>A_CDRRMO!E36</f>
        <v>M</v>
      </c>
      <c r="D31" s="55">
        <f>IF(A_CDRRMO!I36="","",A_CDRRMO!I36)</f>
        <v>4</v>
      </c>
      <c r="E31" s="55" t="str">
        <f>A_CDRRMO!N36</f>
        <v>Low</v>
      </c>
      <c r="F31" s="56" t="str">
        <f>A_CDRRMO!O36</f>
        <v>Compliant</v>
      </c>
      <c r="G31" s="56" t="str">
        <f>IF(A_CDRRMO!L36="","",A_CDRRMO!L36)</f>
        <v>Maintain; list STF balances as an AA fund source (A4.6).</v>
      </c>
      <c r="H31" s="57" t="s">
        <v>1280</v>
      </c>
      <c r="I31" s="58" t="s">
        <v>1277</v>
      </c>
      <c r="J31" s="57" t="inlineStr">
        <is>
          <t xml:space="preserve">No cost</t>
        </is>
      </c>
      <c r="K31" s="56" t="str">
        <f>A_CDRRMO!P36</f>
        <v>MOO Ch.5</v>
      </c>
      <c r="L31" s="58" t="s">
        <v>1242</v>
      </c>
      <c r="M31" s="19"/>
      <c r="N31" s="19"/>
      <c r="O31" s="19"/>
      <c r="P31" s="19"/>
      <c r="Q31" s="19"/>
      <c r="R31" s="19"/>
      <c r="S31" s="19"/>
      <c r="T31" s="19"/>
      <c r="U31" s="19"/>
      <c r="V31" s="19"/>
      <c r="W31" s="19"/>
      <c r="X31" s="19"/>
      <c r="Y31" s="19"/>
      <c r="Z31" s="19"/>
    </row>
    <row r="32" ht="21.75" customHeight="1">
      <c r="A32" s="55" t="str">
        <f>A_CDRRMO!A37</f>
        <v>A4.4</v>
      </c>
      <c r="B32" s="56" t="str">
        <f>A_CDRRMO!C37</f>
        <v>LDRRMF utilization rate monitored and reported (target &gt;= 80% of current-year 70% fund)</v>
      </c>
      <c r="C32" s="55" t="str">
        <f>A_CDRRMO!E37</f>
        <v>GP</v>
      </c>
      <c r="D32" s="55">
        <f>IF(A_CDRRMO!I37="","",A_CDRRMO!I37)</f>
        <v>3</v>
      </c>
      <c r="E32" s="55" t="str">
        <f>A_CDRRMO!N37</f>
        <v>Low</v>
      </c>
      <c r="F32" s="56" t="str">
        <f>A_CDRRMO!O37</f>
        <v>Meets GP</v>
      </c>
      <c r="G32" s="56" t="str">
        <f>IF(A_CDRRMO!L37="","",A_CDRRMO!L37)</f>
        <v>Track LDRRMF utilisation quarterly in the CDRRMC meeting; flag PPAs at risk by Q3.</v>
      </c>
      <c r="H32" s="57" t="s">
        <v>1273</v>
      </c>
      <c r="I32" s="58" t="s">
        <v>1240</v>
      </c>
      <c r="J32" s="57" t="inlineStr">
        <is>
          <t xml:space="preserve">No cost</t>
        </is>
      </c>
      <c r="K32" s="56" t="str">
        <f>A_CDRRMO!P37</f>
        <v>MOO Ch.5</v>
      </c>
      <c r="L32" s="58" t="s">
        <v>1242</v>
      </c>
      <c r="M32" s="19"/>
      <c r="N32" s="19"/>
      <c r="O32" s="19"/>
      <c r="P32" s="19"/>
      <c r="Q32" s="19"/>
      <c r="R32" s="19"/>
      <c r="S32" s="19"/>
      <c r="T32" s="19"/>
      <c r="U32" s="19"/>
      <c r="V32" s="19"/>
      <c r="W32" s="19"/>
      <c r="X32" s="19"/>
      <c r="Y32" s="19"/>
      <c r="Z32" s="19"/>
    </row>
    <row r="33" ht="32.25" customHeight="1">
      <c r="A33" s="55" t="str">
        <f>A_CDRRMO!A38</f>
        <v>A4.5</v>
      </c>
      <c r="B33" s="56" t="str">
        <f>A_CDRRMO!C38</f>
        <v>Emergency procurement procedures (negotiated procurement - emergency cases) documented and pre-arranged (framework agreements, pre-qualified suppliers)</v>
      </c>
      <c r="C33" s="55" t="str">
        <f>A_CDRRMO!E38</f>
        <v>M</v>
      </c>
      <c r="D33" s="55">
        <f>IF(A_CDRRMO!I38="","",A_CDRRMO!I38)</f>
        <v>3</v>
      </c>
      <c r="E33" s="55" t="str">
        <f>A_CDRRMO!N38</f>
        <v>Low</v>
      </c>
      <c r="F33" s="56" t="str">
        <f>A_CDRRMO!O38</f>
        <v>Compliant</v>
      </c>
      <c r="G33" s="56" t="str">
        <f>IF(A_CDRRMO!L38="","",A_CDRRMO!L38)</f>
        <v>Keep a pre-qualified supplier list updated each year; set framework agreements for relief goods, fuel and heavy equipment under RA 12009 IRR, usable for AA (B6.6).</v>
      </c>
      <c r="H33" s="57" t="s">
        <v>1281</v>
      </c>
      <c r="I33" s="58" t="s">
        <v>1259</v>
      </c>
      <c r="J33" s="57" t="inlineStr">
        <is>
          <t xml:space="preserve">No cost (procurement planning)</t>
        </is>
      </c>
      <c r="K33" s="56" t="str">
        <f>A_CDRRMO!P38</f>
        <v>MOO Ch.5 / EOC Ch.6</v>
      </c>
      <c r="L33" s="58" t="s">
        <v>1242</v>
      </c>
      <c r="M33" s="19"/>
      <c r="N33" s="19"/>
      <c r="O33" s="19"/>
      <c r="P33" s="19"/>
      <c r="Q33" s="19"/>
      <c r="R33" s="19"/>
      <c r="S33" s="19"/>
      <c r="T33" s="19"/>
      <c r="U33" s="19"/>
      <c r="V33" s="19"/>
      <c r="W33" s="19"/>
      <c r="X33" s="19"/>
      <c r="Y33" s="19"/>
      <c r="Z33" s="19"/>
    </row>
    <row r="34" ht="63.75" customHeight="1">
      <c r="A34" s="55" t="str">
        <f>A_CDRRMO!A39</f>
        <v>A4.6</v>
      </c>
      <c r="B34" s="56" t="str">
        <f>A_CDRRMO!C39</f>
        <v>Anticipatory action funding pathway: LDRRMFIP sets an AA line within the cap of 10% of the 70% LDRRMF; other sources mapped (Special Trust Fund balances, donations, ODA); Budget, Accounting and BAC procedures allow immediate disbursement and observe the 30%/70% tranche rule around the 3-day lead time</v>
      </c>
      <c r="C34" s="55" t="str">
        <f>A_CDRRMO!E39</f>
        <v>M</v>
      </c>
      <c r="D34" s="55">
        <f>IF(A_CDRRMO!I39="","",A_CDRRMO!I39)</f>
        <v>0</v>
      </c>
      <c r="E34" s="55" t="str">
        <f>A_CDRRMO!N39</f>
        <v>High</v>
      </c>
      <c r="F34" s="56" t="str">
        <f>A_CDRRMO!O39</f>
        <v>Non-compliant</v>
      </c>
      <c r="G34" s="56" t="str">
        <f>IF(A_CDRRMO!L39="","",A_CDRRMO!L39)</f>
        <v>Put an AA line (up to 10% of the 70% LDRRMF) in the FY2028 LDRRMFIP; map other sources (STF, donations, ODA); write Budget/Accounting/BAC steps for immediate disbursement with the 30%/70% tranche rule. Revisit when DBM-COA guidelines issue.</v>
      </c>
      <c r="H34" s="57" t="s">
        <v>1282</v>
      </c>
      <c r="I34" s="58" t="s">
        <v>1274</v>
      </c>
      <c r="J34" s="57" t="s">
        <v>1283</v>
      </c>
      <c r="K34" s="56" t="str">
        <f>A_CDRRMO!P39</f>
        <v>MOO Ch.5</v>
      </c>
      <c r="L34" s="58" t="s">
        <v>1235</v>
      </c>
      <c r="M34" s="19"/>
      <c r="N34" s="19"/>
      <c r="O34" s="19"/>
      <c r="P34" s="19"/>
      <c r="Q34" s="19"/>
      <c r="R34" s="19"/>
      <c r="S34" s="19"/>
      <c r="T34" s="19"/>
      <c r="U34" s="19"/>
      <c r="V34" s="19"/>
      <c r="W34" s="19"/>
      <c r="X34" s="19"/>
      <c r="Y34" s="19"/>
      <c r="Z34" s="19"/>
    </row>
    <row r="35" ht="21.75" customHeight="1">
      <c r="A35" s="55" t="str">
        <f>A_CDRRMO!A40</f>
        <v>A4.7</v>
      </c>
      <c r="B35" s="56" t="str">
        <f>A_CDRRMO!C40</f>
        <v>Risk transfer/financing instruments explored (indemnity insurance of public assets, PSF access, partnerships)</v>
      </c>
      <c r="C35" s="55" t="str">
        <f>A_CDRRMO!E40</f>
        <v>GP</v>
      </c>
      <c r="D35" s="55">
        <f>IF(A_CDRRMO!I40="","",A_CDRRMO!I40)</f>
        <v>3</v>
      </c>
      <c r="E35" s="55" t="str">
        <f>A_CDRRMO!N40</f>
        <v>Low</v>
      </c>
      <c r="F35" s="56" t="str">
        <f>A_CDRRMO!O40</f>
        <v>Meets GP</v>
      </c>
      <c r="G35" s="56" t="str">
        <f>IF(A_CDRRMO!L40="","",A_CDRRMO!L40)</f>
        <v>Maintain; check EOC and ECs are on the GSIS indemnity schedule.</v>
      </c>
      <c r="H35" s="57" t="s">
        <v>1284</v>
      </c>
      <c r="I35" s="58" t="s">
        <v>1277</v>
      </c>
      <c r="J35" s="57" t="inlineStr">
        <is>
          <t xml:space="preserve">General Fund (GSIS premiums)</t>
        </is>
      </c>
      <c r="K35" s="56" t="str">
        <f>A_CDRRMO!P40</f>
        <v>MOO Ch.5</v>
      </c>
      <c r="L35" s="58" t="s">
        <v>1242</v>
      </c>
      <c r="M35" s="19"/>
      <c r="N35" s="19"/>
      <c r="O35" s="19"/>
      <c r="P35" s="19"/>
      <c r="Q35" s="19"/>
      <c r="R35" s="19"/>
      <c r="S35" s="19"/>
      <c r="T35" s="19"/>
      <c r="U35" s="19"/>
      <c r="V35" s="19"/>
      <c r="W35" s="19"/>
      <c r="X35" s="19"/>
      <c r="Y35" s="19"/>
      <c r="Z35" s="19"/>
    </row>
    <row r="36" ht="21.75" customHeight="1">
      <c r="A36" s="55" t="str">
        <f>A_CDRRMO!A41</f>
        <v>A4.8</v>
      </c>
      <c r="B36" s="56" t="str">
        <f>A_CDRRMO!C41</f>
        <v>Clean COA findings on LDRRMF in last audit year (or findings addressed)</v>
      </c>
      <c r="C36" s="55" t="str">
        <f>A_CDRRMO!E41</f>
        <v>M</v>
      </c>
      <c r="D36" s="55">
        <f>IF(A_CDRRMO!I41="","",A_CDRRMO!I41)</f>
        <v>3</v>
      </c>
      <c r="E36" s="55" t="str">
        <f>A_CDRRMO!N41</f>
        <v>Low</v>
      </c>
      <c r="F36" s="56" t="str">
        <f>A_CDRRMO!O41</f>
        <v>Compliant</v>
      </c>
      <c r="G36" s="56" t="str">
        <f>IF(A_CDRRMO!L41="","",A_CDRRMO!L41)</f>
        <v>Set an internal audit check of LDRRMF before year-end.</v>
      </c>
      <c r="H36" s="57" t="s">
        <v>1285</v>
      </c>
      <c r="I36" s="58" t="s">
        <v>1286</v>
      </c>
      <c r="J36" s="57" t="inlineStr">
        <is>
          <t xml:space="preserve">No cost</t>
        </is>
      </c>
      <c r="K36" s="56" t="str">
        <f>A_CDRRMO!P41</f>
        <v>MOO Ch.5</v>
      </c>
      <c r="L36" s="58" t="s">
        <v>1242</v>
      </c>
      <c r="M36" s="19"/>
      <c r="N36" s="19"/>
      <c r="O36" s="19"/>
      <c r="P36" s="19"/>
      <c r="Q36" s="19"/>
      <c r="R36" s="19"/>
      <c r="S36" s="19"/>
      <c r="T36" s="19"/>
      <c r="U36" s="19"/>
      <c r="V36" s="19"/>
      <c r="W36" s="19"/>
      <c r="X36" s="19"/>
      <c r="Y36" s="19"/>
      <c r="Z36" s="19"/>
    </row>
    <row r="37" ht="42.75" customHeight="1">
      <c r="A37" s="55" t="str">
        <f>A_CDRRMO!A42</f>
        <v>A4.9</v>
      </c>
      <c r="B37" s="56" t="str">
        <f>A_CDRRMO!C42</f>
        <v>QRF and LDRRMF adequacy tested against the most severe credible scenario (e.g., a Thelma-type flash flood or Yolanda-strength typhoon), with the shortfall and other fund sources identified</v>
      </c>
      <c r="C37" s="55" t="str">
        <f>A_CDRRMO!E42</f>
        <v>GP</v>
      </c>
      <c r="D37" s="55" t="str">
        <f>IF(A_CDRRMO!I42="","",A_CDRRMO!I42)</f>
        <v/>
      </c>
      <c r="E37" s="55" t="str">
        <f>A_CDRRMO!N42</f>
        <v/>
      </c>
      <c r="F37" s="56" t="str">
        <f>A_CDRRMO!O42</f>
        <v>Not scored</v>
      </c>
      <c r="G37" s="56" t="str">
        <f>IF(A_CDRRMO!L42="","",A_CDRRMO!L42)</f>
        <v>Cost the most severe credible scenario from the flood CP; compare with QRF and STF balances; list fallback sources.</v>
      </c>
      <c r="H37" s="57" t="inlineStr">
        <is>
          <t xml:space="preserve">City Budget Office; CDRRMO Research &amp; Planning</t>
        </is>
      </c>
      <c r="I37" s="58" t="s">
        <v>1246</v>
      </c>
      <c r="J37" s="57" t="s">
        <v>1238</v>
      </c>
      <c r="K37" s="56" t="str">
        <f>A_CDRRMO!P42</f>
        <v>MOO Ch.5</v>
      </c>
      <c r="L37" s="58" t="s">
        <v>1235</v>
      </c>
      <c r="M37" s="19"/>
      <c r="N37" s="19"/>
      <c r="O37" s="19"/>
      <c r="P37" s="19"/>
      <c r="Q37" s="19"/>
      <c r="R37" s="19"/>
      <c r="S37" s="19"/>
      <c r="T37" s="19"/>
      <c r="U37" s="19"/>
      <c r="V37" s="19"/>
      <c r="W37" s="19"/>
      <c r="X37" s="19"/>
      <c r="Y37" s="19"/>
      <c r="Z37" s="19"/>
    </row>
    <row r="38" ht="21.75" customHeight="1">
      <c r="A38" s="55" t="str">
        <f>A_CDRRMO!A44</f>
        <v>A5.1</v>
      </c>
      <c r="B38" s="56" t="str">
        <f>A_CDRRMO!C44</f>
        <v>Updated hazard maps for all priority hazards (MGB, PHIVOLCS, PAGASA, GeoRiskPH/HazardHunterPH) at barangay scale</v>
      </c>
      <c r="C38" s="55" t="str">
        <f>A_CDRRMO!E44</f>
        <v>M</v>
      </c>
      <c r="D38" s="55">
        <f>IF(A_CDRRMO!I44="","",A_CDRRMO!I44)</f>
        <v>3</v>
      </c>
      <c r="E38" s="55" t="str">
        <f>A_CDRRMO!N44</f>
        <v>Medium</v>
      </c>
      <c r="F38" s="56" t="str">
        <f>A_CDRRMO!O44</f>
        <v>Compliant</v>
      </c>
      <c r="G38" s="56" t="str">
        <f>IF(A_CDRRMO!L44="","",A_CDRRMO!L44)</f>
        <v>Maintain; publish barangay hazard maps through the shared source (A5.7).</v>
      </c>
      <c r="H38" s="57" t="s">
        <v>1265</v>
      </c>
      <c r="I38" s="58" t="s">
        <v>1277</v>
      </c>
      <c r="J38" s="57" t="inlineStr">
        <is>
          <t xml:space="preserve">LDRRMF 70% (GIS)</t>
        </is>
      </c>
      <c r="K38" s="56" t="str">
        <f>A_CDRRMO!P44</f>
        <v>MOO Ch.3 / EOC Ch.5</v>
      </c>
      <c r="L38" s="58" t="s">
        <v>1242</v>
      </c>
      <c r="M38" s="19"/>
      <c r="N38" s="19"/>
      <c r="O38" s="19"/>
      <c r="P38" s="19"/>
      <c r="Q38" s="19"/>
      <c r="R38" s="19"/>
      <c r="S38" s="19"/>
      <c r="T38" s="19"/>
      <c r="U38" s="19"/>
      <c r="V38" s="19"/>
      <c r="W38" s="19"/>
      <c r="X38" s="19"/>
      <c r="Y38" s="19"/>
      <c r="Z38" s="19"/>
    </row>
    <row r="39" ht="32.25" customHeight="1">
      <c r="A39" s="55" t="str">
        <f>A_CDRRMO!A45</f>
        <v>A5.2</v>
      </c>
      <c r="B39" s="56" t="str">
        <f>A_CDRRMO!C45</f>
        <v>Climate &amp; Disaster Risk Assessment (CDRA)/ CRA completed with exposure (population, buildings, critical facilities) and vulnerability data</v>
      </c>
      <c r="C39" s="55" t="str">
        <f>A_CDRRMO!E45</f>
        <v>M</v>
      </c>
      <c r="D39" s="55">
        <f>IF(A_CDRRMO!I45="","",A_CDRRMO!I45)</f>
        <v>3</v>
      </c>
      <c r="E39" s="55" t="str">
        <f>A_CDRRMO!N45</f>
        <v>Medium</v>
      </c>
      <c r="F39" s="56" t="str">
        <f>A_CDRRMO!O45</f>
        <v>Compliant</v>
      </c>
      <c r="G39" s="56" t="str">
        <f>IF(A_CDRRMO!L45="","",A_CDRRMO!L45)</f>
        <v>Update the CDRA with the CLUP update, including exposure of the 85 barangays and critical facilities (A5.8, C1.3).</v>
      </c>
      <c r="H39" s="57" t="s">
        <v>1267</v>
      </c>
      <c r="I39" s="58" t="inlineStr">
        <is>
          <t xml:space="preserve">With CLUP update (2027)</t>
        </is>
      </c>
      <c r="J39" s="57" t="inlineStr">
        <is>
          <t xml:space="preserve">General Fund (CPDO); LDRRMF 70% (hazard studies)</t>
        </is>
      </c>
      <c r="K39" s="56" t="str">
        <f>A_CDRRMO!P45</f>
        <v>MOO Ch.3</v>
      </c>
      <c r="L39" s="58" t="s">
        <v>1242</v>
      </c>
      <c r="M39" s="19"/>
      <c r="N39" s="19"/>
      <c r="O39" s="19"/>
      <c r="P39" s="19"/>
      <c r="Q39" s="19"/>
      <c r="R39" s="19"/>
      <c r="S39" s="19"/>
      <c r="T39" s="19"/>
      <c r="U39" s="19"/>
      <c r="V39" s="19"/>
      <c r="W39" s="19"/>
      <c r="X39" s="19"/>
      <c r="Y39" s="19"/>
      <c r="Z39" s="19"/>
    </row>
    <row r="40" ht="21.75" customHeight="1">
      <c r="A40" s="55" t="str">
        <f>A_CDRRMO!A46</f>
        <v>A5.3</v>
      </c>
      <c r="B40" s="56" t="str">
        <f>A_CDRRMO!C46</f>
        <v>Disaggregated population database (sex, age, disability, IP, pregnant/lactating) for at-risk households</v>
      </c>
      <c r="C40" s="55" t="str">
        <f>A_CDRRMO!E46</f>
        <v>M</v>
      </c>
      <c r="D40" s="55">
        <f>IF(A_CDRRMO!I46="","",A_CDRRMO!I46)</f>
        <v>4</v>
      </c>
      <c r="E40" s="55" t="str">
        <f>A_CDRRMO!N46</f>
        <v>Low</v>
      </c>
      <c r="F40" s="56" t="str">
        <f>A_CDRRMO!O46</f>
        <v>Compliant</v>
      </c>
      <c r="G40" s="56" t="str">
        <f>IF(A_CDRRMO!L46="","",A_CDRRMO!L46)</f>
        <v>Validate CBMS currency; use it as the AA targeting list (A8.9).</v>
      </c>
      <c r="H40" s="57" t="s">
        <v>1288</v>
      </c>
      <c r="I40" s="58" t="inlineStr">
        <is>
          <t xml:space="preserve">Q1 2027 (CBMS validation)</t>
        </is>
      </c>
      <c r="J40" s="57" t="inlineStr">
        <is>
          <t xml:space="preserve">General Fund (CBMS)</t>
        </is>
      </c>
      <c r="K40" s="56" t="str">
        <f>A_CDRRMO!P46</f>
        <v>MOO Ch.3 / EOC Ch.5</v>
      </c>
      <c r="L40" s="58" t="s">
        <v>1242</v>
      </c>
      <c r="M40" s="19"/>
      <c r="N40" s="19"/>
      <c r="O40" s="19"/>
      <c r="P40" s="19"/>
      <c r="Q40" s="19"/>
      <c r="R40" s="19"/>
      <c r="S40" s="19"/>
      <c r="T40" s="19"/>
      <c r="U40" s="19"/>
      <c r="V40" s="19"/>
      <c r="W40" s="19"/>
      <c r="X40" s="19"/>
      <c r="Y40" s="19"/>
      <c r="Z40" s="19"/>
    </row>
    <row r="41" ht="32.25" customHeight="1">
      <c r="A41" s="55" t="str">
        <f>A_CDRRMO!A47</f>
        <v>A5.4</v>
      </c>
      <c r="B41" s="56" t="str">
        <f>A_CDRRMO!C47</f>
        <v>DRRM information system/ database with disaster event history, damage and losses (incl. 1991 flood, 2013 Yolanda, 2017 earthquake records)</v>
      </c>
      <c r="C41" s="55" t="str">
        <f>A_CDRRMO!E47</f>
        <v>GP</v>
      </c>
      <c r="D41" s="55">
        <f>IF(A_CDRRMO!I47="","",A_CDRRMO!I47)</f>
        <v>0</v>
      </c>
      <c r="E41" s="55" t="str">
        <f>A_CDRRMO!N47</f>
        <v>Medium</v>
      </c>
      <c r="F41" s="56" t="str">
        <f>A_CDRRMO!O47</f>
        <v>Below GP</v>
      </c>
      <c r="G41" s="56" t="str">
        <f>IF(A_CDRRMO!L47="","",A_CDRRMO!L47)</f>
        <v>Set up a disaster event and loss database (Sendai/DesInventar fields) and back-load past RDANA/PDNA data.</v>
      </c>
      <c r="H41" s="57" t="s">
        <v>1265</v>
      </c>
      <c r="I41" s="58" t="s">
        <v>1246</v>
      </c>
      <c r="J41" s="57" t="s">
        <v>1290</v>
      </c>
      <c r="K41" s="56" t="str">
        <f>A_CDRRMO!P47</f>
        <v>MOO Ch.7 Knowledge Mgmt</v>
      </c>
      <c r="L41" s="58" t="s">
        <v>1235</v>
      </c>
      <c r="M41" s="19"/>
      <c r="N41" s="19"/>
      <c r="O41" s="19"/>
      <c r="P41" s="19"/>
      <c r="Q41" s="19"/>
      <c r="R41" s="19"/>
      <c r="S41" s="19"/>
      <c r="T41" s="19"/>
      <c r="U41" s="19"/>
      <c r="V41" s="19"/>
      <c r="W41" s="19"/>
      <c r="X41" s="19"/>
      <c r="Y41" s="19"/>
      <c r="Z41" s="19"/>
    </row>
    <row r="42" ht="21.75" customHeight="1">
      <c r="A42" s="55" t="str">
        <f>A_CDRRMO!A48</f>
        <v>A5.5</v>
      </c>
      <c r="B42" s="56" t="str">
        <f>A_CDRRMO!C48</f>
        <v>Data privacy compliance for beneficiary and affected-population data (DPO, consent, data sharing agreements)</v>
      </c>
      <c r="C42" s="55" t="str">
        <f>A_CDRRMO!E48</f>
        <v>M</v>
      </c>
      <c r="D42" s="55">
        <f>IF(A_CDRRMO!I48="","",A_CDRRMO!I48)</f>
        <v>2</v>
      </c>
      <c r="E42" s="55" t="str">
        <f>A_CDRRMO!N48</f>
        <v>Medium</v>
      </c>
      <c r="F42" s="56" t="str">
        <f>A_CDRRMO!O48</f>
        <v>Non-compliant</v>
      </c>
      <c r="G42" s="56" t="str">
        <f>IF(A_CDRRMO!L48="","",A_CDRRMO!L48)</f>
        <v>Confirm the City DPO; sign data-sharing agreements with CSWDO/CPDO for beneficiary data; add privacy notices to registration forms.</v>
      </c>
      <c r="H42" s="57" t="s">
        <v>1291</v>
      </c>
      <c r="I42" s="58" t="s">
        <v>1259</v>
      </c>
      <c r="J42" s="57" t="s">
        <v>1238</v>
      </c>
      <c r="K42" s="56" t="str">
        <f>A_CDRRMO!P48</f>
        <v>MOO Ch.7</v>
      </c>
      <c r="L42" s="58" t="s">
        <v>1235</v>
      </c>
      <c r="M42" s="19"/>
      <c r="N42" s="19"/>
      <c r="O42" s="19"/>
      <c r="P42" s="19"/>
      <c r="Q42" s="19"/>
      <c r="R42" s="19"/>
      <c r="S42" s="19"/>
      <c r="T42" s="19"/>
      <c r="U42" s="19"/>
      <c r="V42" s="19"/>
      <c r="W42" s="19"/>
      <c r="X42" s="19"/>
      <c r="Y42" s="19"/>
      <c r="Z42" s="19"/>
    </row>
    <row r="43" ht="21.75" customHeight="1">
      <c r="A43" s="55" t="str">
        <f>A_CDRRMO!A49</f>
        <v>A5.6</v>
      </c>
      <c r="B43" s="56" t="str">
        <f>A_CDRRMO!C49</f>
        <v>GIS capability (software, trained staff, updated base maps) within Research &amp; Planning</v>
      </c>
      <c r="C43" s="55" t="str">
        <f>A_CDRRMO!E49</f>
        <v>GP</v>
      </c>
      <c r="D43" s="55">
        <f>IF(A_CDRRMO!I49="","",A_CDRRMO!I49)</f>
        <v>2</v>
      </c>
      <c r="E43" s="55" t="str">
        <f>A_CDRRMO!N49</f>
        <v>Low</v>
      </c>
      <c r="F43" s="56" t="str">
        <f>A_CDRRMO!O49</f>
        <v>Below GP</v>
      </c>
      <c r="G43" s="56" t="str">
        <f>IF(A_CDRRMO!L49="","",A_CDRRMO!L49)</f>
        <v>Confirm GIS staff and software; train at least 2 R&amp;P staff.</v>
      </c>
      <c r="H43" s="57" t="s">
        <v>1292</v>
      </c>
      <c r="I43" s="58" t="s">
        <v>1246</v>
      </c>
      <c r="J43" s="57" t="s">
        <v>1293</v>
      </c>
      <c r="K43" s="56" t="str">
        <f>A_CDRRMO!P49</f>
        <v>MOO Ch.7</v>
      </c>
      <c r="L43" s="58" t="s">
        <v>1235</v>
      </c>
      <c r="M43" s="19"/>
      <c r="N43" s="19"/>
      <c r="O43" s="19"/>
      <c r="P43" s="19"/>
      <c r="Q43" s="19"/>
      <c r="R43" s="19"/>
      <c r="S43" s="19"/>
      <c r="T43" s="19"/>
      <c r="U43" s="19"/>
      <c r="V43" s="19"/>
      <c r="W43" s="19"/>
      <c r="X43" s="19"/>
      <c r="Y43" s="19"/>
      <c r="Z43" s="19"/>
    </row>
    <row r="44" ht="32.25" customHeight="1">
      <c r="A44" s="55" t="str">
        <f>A_CDRRMO!A50</f>
        <v>A5.7</v>
      </c>
      <c r="B44" s="56" t="str">
        <f>A_CDRRMO!C50</f>
        <v>One maintained, shared source of risk and readiness information (hazard maps, plans, contacts, readiness summary) open to CDRRMC member offices, with a public summary posted</v>
      </c>
      <c r="C44" s="55" t="str">
        <f>A_CDRRMO!E50</f>
        <v>GP</v>
      </c>
      <c r="D44" s="55">
        <f>IF(A_CDRRMO!I50="","",A_CDRRMO!I50)</f>
        <v>1</v>
      </c>
      <c r="E44" s="55" t="str">
        <f>A_CDRRMO!N50</f>
        <v>Medium</v>
      </c>
      <c r="F44" s="56" t="str">
        <f>A_CDRRMO!O50</f>
        <v>Below GP</v>
      </c>
      <c r="G44" s="56" t="str">
        <f>IF(A_CDRRMO!L50="","",A_CDRRMO!L50)</f>
        <v>Set up one shared repository (hazard maps, plans, contacts, readiness summary) for CDRRMC offices and post a public summary, respecting RA 10173.</v>
      </c>
      <c r="H44" s="57" t="s">
        <v>1265</v>
      </c>
      <c r="I44" s="58" t="s">
        <v>1246</v>
      </c>
      <c r="J44" s="57" t="s">
        <v>1294</v>
      </c>
      <c r="K44" s="56" t="str">
        <f>A_CDRRMO!P50</f>
        <v>MOO Ch.7</v>
      </c>
      <c r="L44" s="58" t="s">
        <v>1235</v>
      </c>
      <c r="M44" s="19"/>
      <c r="N44" s="19"/>
      <c r="O44" s="19"/>
      <c r="P44" s="19"/>
      <c r="Q44" s="19"/>
      <c r="R44" s="19"/>
      <c r="S44" s="19"/>
      <c r="T44" s="19"/>
      <c r="U44" s="19"/>
      <c r="V44" s="19"/>
      <c r="W44" s="19"/>
      <c r="X44" s="19"/>
      <c r="Y44" s="19"/>
      <c r="Z44" s="19"/>
    </row>
    <row r="45" ht="42.75" customHeight="1">
      <c r="A45" s="55" t="str">
        <f>A_CDRRMO!A51</f>
        <v>A5.8</v>
      </c>
      <c r="B45" s="56" t="str">
        <f>A_CDRRMO!C51</f>
        <v>Critical facilities list (EOC, hospitals, evacuation centers, water, power, telecom, bridges, port) with dependencies mapped as potential failure chains and used to set protection and restoration priorities</v>
      </c>
      <c r="C45" s="55" t="str">
        <f>A_CDRRMO!E51</f>
        <v>GP</v>
      </c>
      <c r="D45" s="55">
        <f>IF(A_CDRRMO!I51="","",A_CDRRMO!I51)</f>
        <v>1</v>
      </c>
      <c r="E45" s="55" t="str">
        <f>A_CDRRMO!N51</f>
        <v>Medium</v>
      </c>
      <c r="F45" s="56" t="str">
        <f>A_CDRRMO!O51</f>
        <v>Below GP</v>
      </c>
      <c r="G45" s="56" t="str">
        <f>IF(A_CDRRMO!L51="","",A_CDRRMO!L51)</f>
        <v>Build the critical facilities list (EOC, hospitals, ECs, water, power, telecom, bridges, port) with dependencies; CREST systems-mapping exercises can be used to draw failure chains.</v>
      </c>
      <c r="H45" s="57" t="s">
        <v>1295</v>
      </c>
      <c r="I45" s="58" t="inlineStr">
        <is>
          <t xml:space="preserve">Q2 2027 (start from CDRA tables)</t>
        </is>
      </c>
      <c r="J45" s="57" t="s">
        <v>1238</v>
      </c>
      <c r="K45" s="56" t="str">
        <f>A_CDRRMO!P51</f>
        <v>MOO Ch.3 / EOC Ch.3</v>
      </c>
      <c r="L45" s="58" t="s">
        <v>1235</v>
      </c>
      <c r="M45" s="19"/>
      <c r="N45" s="19"/>
      <c r="O45" s="19"/>
      <c r="P45" s="19"/>
      <c r="Q45" s="19"/>
      <c r="R45" s="19"/>
      <c r="S45" s="19"/>
      <c r="T45" s="19"/>
      <c r="U45" s="19"/>
      <c r="V45" s="19"/>
      <c r="W45" s="19"/>
      <c r="X45" s="19"/>
      <c r="Y45" s="19"/>
      <c r="Z45" s="19"/>
    </row>
    <row r="46" ht="32.25" customHeight="1">
      <c r="A46" s="55" t="str">
        <f>A_CDRRMO!A52</f>
        <v>A5.9</v>
      </c>
      <c r="B46" s="56" t="str">
        <f>A_CDRRMO!C52</f>
        <v>Agreed update cycle: hazard data every 3 years or less; exposure, vulnerability and critical-facility data every 18 months or less</v>
      </c>
      <c r="C46" s="55" t="str">
        <f>A_CDRRMO!E52</f>
        <v>GP</v>
      </c>
      <c r="D46" s="55">
        <f>IF(A_CDRRMO!I52="","",A_CDRRMO!I52)</f>
        <v>1</v>
      </c>
      <c r="E46" s="55" t="str">
        <f>A_CDRRMO!N52</f>
        <v>Low</v>
      </c>
      <c r="F46" s="56" t="str">
        <f>A_CDRRMO!O52</f>
        <v>Below GP</v>
      </c>
      <c r="G46" s="56" t="str">
        <f>IF(A_CDRRMO!L52="","",A_CDRRMO!L52)</f>
        <v>Adopt an update cycle in MOO Ch.7: hazard data &lt;=3 years; exposure, vulnerability and critical facilities &lt;=18 months.</v>
      </c>
      <c r="H46" s="57" t="s">
        <v>1265</v>
      </c>
      <c r="I46" s="58" t="s">
        <v>1244</v>
      </c>
      <c r="J46" s="57" t="s">
        <v>1238</v>
      </c>
      <c r="K46" s="56" t="str">
        <f>A_CDRRMO!P52</f>
        <v>MOO Ch.7</v>
      </c>
      <c r="L46" s="58" t="s">
        <v>1242</v>
      </c>
      <c r="M46" s="19"/>
      <c r="N46" s="19"/>
      <c r="O46" s="19"/>
      <c r="P46" s="19"/>
      <c r="Q46" s="19"/>
      <c r="R46" s="19"/>
      <c r="S46" s="19"/>
      <c r="T46" s="19"/>
      <c r="U46" s="19"/>
      <c r="V46" s="19"/>
      <c r="W46" s="19"/>
      <c r="X46" s="19"/>
      <c r="Y46" s="19"/>
      <c r="Z46" s="19"/>
    </row>
    <row r="47" ht="32.25" customHeight="1">
      <c r="A47" s="55" t="str">
        <f>A_CDRRMO!A54</f>
        <v>A6.1</v>
      </c>
      <c r="B47" s="56" t="str">
        <f>A_CDRRMO!C54</f>
        <v>Hazard-specific EWS operational for flood (incl. Anilao/Malbasag river systems), rain-induced landslide, tsunami (Ormoc Bay) and tropical cyclone</v>
      </c>
      <c r="C47" s="55" t="str">
        <f>A_CDRRMO!E54</f>
        <v>M</v>
      </c>
      <c r="D47" s="55">
        <f>IF(A_CDRRMO!I54="","",A_CDRRMO!I54)</f>
        <v>3</v>
      </c>
      <c r="E47" s="55" t="str">
        <f>A_CDRRMO!N54</f>
        <v>Medium</v>
      </c>
      <c r="F47" s="56" t="str">
        <f>A_CDRRMO!O54</f>
        <v>Compliant</v>
      </c>
      <c r="G47" s="56" t="str">
        <f>IF(A_CDRRMO!L54="","",A_CDRRMO!L54)</f>
        <v>Restore and insure the flood/rain gauges; set a monthly functionality check; write an EWS SOP (planned PPA).</v>
      </c>
      <c r="H47" s="57" t="s">
        <v>1257</v>
      </c>
      <c r="I47" s="58" t="s">
        <v>1271</v>
      </c>
      <c r="J47" s="57" t="s">
        <v>1296</v>
      </c>
      <c r="K47" s="56" t="str">
        <f>A_CDRRMO!P54</f>
        <v>MOO Ch.4 / EOC Ch.3</v>
      </c>
      <c r="L47" s="58" t="s">
        <v>1242</v>
      </c>
      <c r="M47" s="19"/>
      <c r="N47" s="19"/>
      <c r="O47" s="19"/>
      <c r="P47" s="19"/>
      <c r="Q47" s="19"/>
      <c r="R47" s="19"/>
      <c r="S47" s="19"/>
      <c r="T47" s="19"/>
      <c r="U47" s="19"/>
      <c r="V47" s="19"/>
      <c r="W47" s="19"/>
      <c r="X47" s="19"/>
      <c r="Y47" s="19"/>
      <c r="Z47" s="19"/>
    </row>
    <row r="48" ht="42.75" customHeight="1">
      <c r="A48" s="55" t="str">
        <f>A_CDRRMO!A55</f>
        <v>A6.2</v>
      </c>
      <c r="B48" s="56" t="str">
        <f>A_CDRRMO!C55</f>
        <v>Warning thresholds linked to specific actions (alert levels -&gt; pre-emptive evacuation, class/work suspension, State of Imminent Disaster request) in written protocols, built to take up NDRRMC impact-based triggers once issued</v>
      </c>
      <c r="C48" s="55" t="str">
        <f>A_CDRRMO!E55</f>
        <v>M</v>
      </c>
      <c r="D48" s="55">
        <f>IF(A_CDRRMO!I55="","",A_CDRRMO!I55)</f>
        <v>2</v>
      </c>
      <c r="E48" s="55" t="str">
        <f>A_CDRRMO!N55</f>
        <v>High</v>
      </c>
      <c r="F48" s="56" t="str">
        <f>A_CDRRMO!O55</f>
        <v>Non-compliant</v>
      </c>
      <c r="G48" s="56" t="str">
        <f>IF(A_CDRRMO!L55="","",A_CDRRMO!L55)</f>
        <v>Write the warning-action matrix (PAGASA/PHIVOLCS levels -&gt; pre-emptive evacuation, class/work suspension, EOC level, SID request), built to take NDRRMC impact-based triggers when issued.</v>
      </c>
      <c r="H48" s="57" t="s">
        <v>1257</v>
      </c>
      <c r="I48" s="58" t="s">
        <v>1244</v>
      </c>
      <c r="J48" s="57" t="s">
        <v>1238</v>
      </c>
      <c r="K48" s="56" t="str">
        <f>A_CDRRMO!P55</f>
        <v>EOC Ch.2 Concept of Operations</v>
      </c>
      <c r="L48" s="58" t="s">
        <v>1242</v>
      </c>
      <c r="M48" s="19"/>
      <c r="N48" s="19"/>
      <c r="O48" s="19"/>
      <c r="P48" s="19"/>
      <c r="Q48" s="19"/>
      <c r="R48" s="19"/>
      <c r="S48" s="19"/>
      <c r="T48" s="19"/>
      <c r="U48" s="19"/>
      <c r="V48" s="19"/>
      <c r="W48" s="19"/>
      <c r="X48" s="19"/>
      <c r="Y48" s="19"/>
      <c r="Z48" s="19"/>
    </row>
    <row r="49" ht="21.75" customHeight="1">
      <c r="A49" s="55" t="str">
        <f>A_CDRRMO!A56</f>
        <v>A6.3</v>
      </c>
      <c r="B49" s="56" t="str">
        <f>A_CDRRMO!C56</f>
        <v>Last-mile dissemination channels tested to barangay/purok level (sirens, radio, SMS/ECBS, social media, barangay criers)</v>
      </c>
      <c r="C49" s="55" t="str">
        <f>A_CDRRMO!E56</f>
        <v>M</v>
      </c>
      <c r="D49" s="55">
        <f>IF(A_CDRRMO!I56="","",A_CDRRMO!I56)</f>
        <v>2</v>
      </c>
      <c r="E49" s="55" t="str">
        <f>A_CDRRMO!N56</f>
        <v>High</v>
      </c>
      <c r="F49" s="56" t="str">
        <f>A_CDRRMO!O56</f>
        <v>Non-compliant</v>
      </c>
      <c r="G49" s="56" t="str">
        <f>IF(A_CDRRMO!L56="","",A_CDRRMO!L56)</f>
        <v>Revise the dissemination SOP with non-telecom fallbacks (VHF, sirens, criers) and test to purok level twice a year with logs.</v>
      </c>
      <c r="H49" s="57" t="s">
        <v>1297</v>
      </c>
      <c r="I49" s="58" t="s">
        <v>1244</v>
      </c>
      <c r="J49" s="57" t="s">
        <v>1263</v>
      </c>
      <c r="K49" s="56" t="str">
        <f>A_CDRRMO!P56</f>
        <v>MOO Ch.4</v>
      </c>
      <c r="L49" s="58" t="s">
        <v>1242</v>
      </c>
      <c r="M49" s="19"/>
      <c r="N49" s="19"/>
      <c r="O49" s="19"/>
      <c r="P49" s="19"/>
      <c r="Q49" s="19"/>
      <c r="R49" s="19"/>
      <c r="S49" s="19"/>
      <c r="T49" s="19"/>
      <c r="U49" s="19"/>
      <c r="V49" s="19"/>
      <c r="W49" s="19"/>
      <c r="X49" s="19"/>
      <c r="Y49" s="19"/>
      <c r="Z49" s="19"/>
    </row>
    <row r="50" ht="21.75" customHeight="1">
      <c r="A50" s="55" t="str">
        <f>A_CDRRMO!A57</f>
        <v>A6.4</v>
      </c>
      <c r="B50" s="56" t="str">
        <f>A_CDRRMO!C57</f>
        <v>Warnings issued in local language (Cebuano/ Ormocanon) and accessible formats (sign language, visual alerts for PWD)</v>
      </c>
      <c r="C50" s="55" t="str">
        <f>A_CDRRMO!E57</f>
        <v>GP</v>
      </c>
      <c r="D50" s="55">
        <f>IF(A_CDRRMO!I57="","",A_CDRRMO!I57)</f>
        <v>4</v>
      </c>
      <c r="E50" s="55" t="str">
        <f>A_CDRRMO!N57</f>
        <v>Low</v>
      </c>
      <c r="F50" s="56" t="str">
        <f>A_CDRRMO!O57</f>
        <v>Meets GP</v>
      </c>
      <c r="G50" s="56" t="str">
        <f>IF(A_CDRRMO!L57="","",A_CDRRMO!L57)</f>
        <v>Maintain; add PWD-inclusive EWS (planned PPA).</v>
      </c>
      <c r="H50" s="57" t="s">
        <v>1298</v>
      </c>
      <c r="I50" s="58" t="inlineStr">
        <is>
          <t xml:space="preserve">Q3 2027</t>
        </is>
      </c>
      <c r="J50" s="57" t="inlineStr">
        <is>
          <t xml:space="preserve">LDRRMF 70% (PWD-inclusive EWS)</t>
        </is>
      </c>
      <c r="K50" s="56" t="str">
        <f>A_CDRRMO!P57</f>
        <v>MOO Ch.4</v>
      </c>
      <c r="L50" s="58" t="s">
        <v>1242</v>
      </c>
      <c r="M50" s="19"/>
      <c r="N50" s="19"/>
      <c r="O50" s="19"/>
      <c r="P50" s="19"/>
      <c r="Q50" s="19"/>
      <c r="R50" s="19"/>
      <c r="S50" s="19"/>
      <c r="T50" s="19"/>
      <c r="U50" s="19"/>
      <c r="V50" s="19"/>
      <c r="W50" s="19"/>
      <c r="X50" s="19"/>
      <c r="Y50" s="19"/>
      <c r="Z50" s="19"/>
    </row>
    <row r="51" ht="21.75" customHeight="1">
      <c r="A51" s="55" t="str">
        <f>A_CDRRMO!A58</f>
        <v>A6.5</v>
      </c>
      <c r="B51" s="56" t="str">
        <f>A_CDRRMO!C58</f>
        <v>Designated public information officer and risk communication plan (incl. rumor/misinformation management)</v>
      </c>
      <c r="C51" s="55" t="str">
        <f>A_CDRRMO!E58</f>
        <v>GP</v>
      </c>
      <c r="D51" s="55">
        <f>IF(A_CDRRMO!I58="","",A_CDRRMO!I58)</f>
        <v>2</v>
      </c>
      <c r="E51" s="55" t="str">
        <f>A_CDRRMO!N58</f>
        <v>Low</v>
      </c>
      <c r="F51" s="56" t="str">
        <f>A_CDRRMO!O58</f>
        <v>Below GP</v>
      </c>
      <c r="G51" s="56" t="str">
        <f>IF(A_CDRRMO!L58="","",A_CDRRMO!L58)</f>
        <v>Designate the PIO and write the risk communication plan, including rumour management.</v>
      </c>
      <c r="H51" s="57" t="s">
        <v>1299</v>
      </c>
      <c r="I51" s="58" t="s">
        <v>1259</v>
      </c>
      <c r="J51" s="57" t="s">
        <v>1238</v>
      </c>
      <c r="K51" s="56" t="str">
        <f>A_CDRRMO!P58</f>
        <v>EOC Ch.5</v>
      </c>
      <c r="L51" s="58" t="s">
        <v>1235</v>
      </c>
      <c r="M51" s="19"/>
      <c r="N51" s="19"/>
      <c r="O51" s="19"/>
      <c r="P51" s="19"/>
      <c r="Q51" s="19"/>
      <c r="R51" s="19"/>
      <c r="S51" s="19"/>
      <c r="T51" s="19"/>
      <c r="U51" s="19"/>
      <c r="V51" s="19"/>
      <c r="W51" s="19"/>
      <c r="X51" s="19"/>
      <c r="Y51" s="19"/>
      <c r="Z51" s="19"/>
    </row>
    <row r="52" ht="21.75" customHeight="1">
      <c r="A52" s="55" t="str">
        <f>A_CDRRMO!A59</f>
        <v>A6.6</v>
      </c>
      <c r="B52" s="56" t="str">
        <f>A_CDRRMO!C59</f>
        <v>IEC program on hazards and preparedness with annual reach targets</v>
      </c>
      <c r="C52" s="55" t="str">
        <f>A_CDRRMO!E59</f>
        <v>GP</v>
      </c>
      <c r="D52" s="55">
        <f>IF(A_CDRRMO!I59="","",A_CDRRMO!I59)</f>
        <v>3</v>
      </c>
      <c r="E52" s="55" t="str">
        <f>A_CDRRMO!N59</f>
        <v>Low</v>
      </c>
      <c r="F52" s="56" t="str">
        <f>A_CDRRMO!O59</f>
        <v>Meets GP</v>
      </c>
      <c r="G52" s="56" t="str">
        <f>IF(A_CDRRMO!L59="","",A_CDRRMO!L59)</f>
        <v>Set annual reach targets per barangay and report them.</v>
      </c>
      <c r="H52" s="57" t="s">
        <v>1243</v>
      </c>
      <c r="I52" s="58" t="s">
        <v>1277</v>
      </c>
      <c r="J52" s="57" t="s">
        <v>1300</v>
      </c>
      <c r="K52" s="56" t="str">
        <f>A_CDRRMO!P59</f>
        <v>MOO Ch.6</v>
      </c>
      <c r="L52" s="58" t="s">
        <v>1242</v>
      </c>
      <c r="M52" s="19"/>
      <c r="N52" s="19"/>
      <c r="O52" s="19"/>
      <c r="P52" s="19"/>
      <c r="Q52" s="19"/>
      <c r="R52" s="19"/>
      <c r="S52" s="19"/>
      <c r="T52" s="19"/>
      <c r="U52" s="19"/>
      <c r="V52" s="19"/>
      <c r="W52" s="19"/>
      <c r="X52" s="19"/>
      <c r="Y52" s="19"/>
      <c r="Z52" s="19"/>
    </row>
    <row r="53" ht="42.75" customHeight="1">
      <c r="A53" s="55" t="str">
        <f>A_CDRRMO!A60</f>
        <v>A6.7</v>
      </c>
      <c r="B53" s="56" t="str">
        <f>A_CDRRMO!C60</f>
        <v>Templates and channels for public notice of a State of Imminent Disaster and of the anticipatory actions required, incl. sector-specific impact-based advisories and reach to geographically isolated barangays</v>
      </c>
      <c r="C53" s="55" t="str">
        <f>A_CDRRMO!E60</f>
        <v>M</v>
      </c>
      <c r="D53" s="55">
        <f>IF(A_CDRRMO!I60="","",A_CDRRMO!I60)</f>
        <v>0</v>
      </c>
      <c r="E53" s="55" t="str">
        <f>A_CDRRMO!N60</f>
        <v>High</v>
      </c>
      <c r="F53" s="56" t="str">
        <f>A_CDRRMO!O60</f>
        <v>Non-compliant</v>
      </c>
      <c r="G53" s="56" t="str">
        <f>IF(A_CDRRMO!L60="","",A_CDRRMO!L60)</f>
        <v>Prepare SID public notice templates and sector-specific advisories with channels to isolated barangays.</v>
      </c>
      <c r="H53" s="57" t="s">
        <v>1299</v>
      </c>
      <c r="I53" s="58" t="s">
        <v>1244</v>
      </c>
      <c r="J53" s="57" t="s">
        <v>1238</v>
      </c>
      <c r="K53" s="56" t="str">
        <f>A_CDRRMO!P60</f>
        <v>MOO Ch.4 / EOC Ch.5</v>
      </c>
      <c r="L53" s="58" t="s">
        <v>1242</v>
      </c>
      <c r="M53" s="19"/>
      <c r="N53" s="19"/>
      <c r="O53" s="19"/>
      <c r="P53" s="19"/>
      <c r="Q53" s="19"/>
      <c r="R53" s="19"/>
      <c r="S53" s="19"/>
      <c r="T53" s="19"/>
      <c r="U53" s="19"/>
      <c r="V53" s="19"/>
      <c r="W53" s="19"/>
      <c r="X53" s="19"/>
      <c r="Y53" s="19"/>
      <c r="Z53" s="19"/>
    </row>
    <row r="54" ht="21.75" customHeight="1">
      <c r="A54" s="55" t="str">
        <f>A_CDRRMO!A62</f>
        <v>A7.1</v>
      </c>
      <c r="B54" s="56" t="str">
        <f>A_CDRRMO!C62</f>
        <v>Annual training program for city personnel, BDRRMCs, schools and communities implemented</v>
      </c>
      <c r="C54" s="55" t="str">
        <f>A_CDRRMO!E62</f>
        <v>M</v>
      </c>
      <c r="D54" s="55">
        <f>IF(A_CDRRMO!I62="","",A_CDRRMO!I62)</f>
        <v>3</v>
      </c>
      <c r="E54" s="55" t="str">
        <f>A_CDRRMO!N62</f>
        <v>Low</v>
      </c>
      <c r="F54" s="56" t="str">
        <f>A_CDRRMO!O62</f>
        <v>Compliant</v>
      </c>
      <c r="G54" s="56" t="str">
        <f>IF(A_CDRRMO!L62="","",A_CDRRMO!L62)</f>
        <v>Maintain; merge with the TNA plan (A2.6).</v>
      </c>
      <c r="H54" s="57" t="s">
        <v>1243</v>
      </c>
      <c r="I54" s="58" t="s">
        <v>1277</v>
      </c>
      <c r="J54" s="57" t="s">
        <v>1263</v>
      </c>
      <c r="K54" s="56" t="str">
        <f>A_CDRRMO!P62</f>
        <v>MOO Ch.6 Capacity Development</v>
      </c>
      <c r="L54" s="58" t="s">
        <v>1242</v>
      </c>
      <c r="M54" s="19"/>
      <c r="N54" s="19"/>
      <c r="O54" s="19"/>
      <c r="P54" s="19"/>
      <c r="Q54" s="19"/>
      <c r="R54" s="19"/>
      <c r="S54" s="19"/>
      <c r="T54" s="19"/>
      <c r="U54" s="19"/>
      <c r="V54" s="19"/>
      <c r="W54" s="19"/>
      <c r="X54" s="19"/>
      <c r="Y54" s="19"/>
      <c r="Z54" s="19"/>
    </row>
    <row r="55" ht="21.75" customHeight="1">
      <c r="A55" s="55" t="str">
        <f>A_CDRRMO!A63</f>
        <v>A7.2</v>
      </c>
      <c r="B55" s="56" t="str">
        <f>A_CDRRMO!C63</f>
        <v>Participation in quarterly Nationwide Simultaneous Earthquake Drill (NSED) and hazard-specific drills with evaluation</v>
      </c>
      <c r="C55" s="55" t="str">
        <f>A_CDRRMO!E63</f>
        <v>M</v>
      </c>
      <c r="D55" s="55">
        <f>IF(A_CDRRMO!I63="","",A_CDRRMO!I63)</f>
        <v>4</v>
      </c>
      <c r="E55" s="55" t="str">
        <f>A_CDRRMO!N63</f>
        <v>Low</v>
      </c>
      <c r="F55" s="56" t="str">
        <f>A_CDRRMO!O63</f>
        <v>Compliant</v>
      </c>
      <c r="G55" s="56" t="str">
        <f>IF(A_CDRRMO!L63="","",A_CDRRMO!L63)</f>
        <v>Maintain.</v>
      </c>
      <c r="H55" s="57" t="s">
        <v>1298</v>
      </c>
      <c r="I55" s="58" t="s">
        <v>1240</v>
      </c>
      <c r="J55" s="57" t="inlineStr">
        <is>
          <t xml:space="preserve">No cost</t>
        </is>
      </c>
      <c r="K55" s="56" t="str">
        <f>A_CDRRMO!P63</f>
        <v>MOO Ch.6</v>
      </c>
      <c r="L55" s="58" t="s">
        <v>1242</v>
      </c>
      <c r="M55" s="19"/>
      <c r="N55" s="19"/>
      <c r="O55" s="19"/>
      <c r="P55" s="19"/>
      <c r="Q55" s="19"/>
      <c r="R55" s="19"/>
      <c r="S55" s="19"/>
      <c r="T55" s="19"/>
      <c r="U55" s="19"/>
      <c r="V55" s="19"/>
      <c r="W55" s="19"/>
      <c r="X55" s="19"/>
      <c r="Y55" s="19"/>
      <c r="Z55" s="19"/>
    </row>
    <row r="56" ht="21.75" customHeight="1">
      <c r="A56" s="55" t="str">
        <f>A_CDRRMO!A64</f>
        <v>A7.3</v>
      </c>
      <c r="B56" s="56" t="str">
        <f>A_CDRRMO!C64</f>
        <v>BDRRMC functionality across 85 barangays assessed (e.g., Listo si KAP) with support plan for low-functioning barangays</v>
      </c>
      <c r="C56" s="55" t="str">
        <f>A_CDRRMO!E64</f>
        <v>GP</v>
      </c>
      <c r="D56" s="55">
        <f>IF(A_CDRRMO!I64="","",A_CDRRMO!I64)</f>
        <v>3</v>
      </c>
      <c r="E56" s="55" t="str">
        <f>A_CDRRMO!N64</f>
        <v>Low</v>
      </c>
      <c r="F56" s="56" t="str">
        <f>A_CDRRMO!O64</f>
        <v>Meets GP</v>
      </c>
      <c r="G56" s="56" t="str">
        <f>IF(A_CDRRMO!L64="","",A_CDRRMO!L64)</f>
        <v>Maintain; target low-functioning barangays first.</v>
      </c>
      <c r="H56" s="57" t="s">
        <v>1301</v>
      </c>
      <c r="I56" s="58" t="s">
        <v>1277</v>
      </c>
      <c r="J56" s="57" t="inlineStr">
        <is>
          <t xml:space="preserve">No cost</t>
        </is>
      </c>
      <c r="K56" s="56" t="str">
        <f>A_CDRRMO!P64</f>
        <v>MOO Ch.6</v>
      </c>
      <c r="L56" s="58" t="s">
        <v>1242</v>
      </c>
      <c r="M56" s="19"/>
      <c r="N56" s="19"/>
      <c r="O56" s="19"/>
      <c r="P56" s="19"/>
      <c r="Q56" s="19"/>
      <c r="R56" s="19"/>
      <c r="S56" s="19"/>
      <c r="T56" s="19"/>
      <c r="U56" s="19"/>
      <c r="V56" s="19"/>
      <c r="W56" s="19"/>
      <c r="X56" s="19"/>
      <c r="Y56" s="19"/>
      <c r="Z56" s="19"/>
    </row>
    <row r="57" ht="32.25" customHeight="1">
      <c r="A57" s="55" t="str">
        <f>A_CDRRMO!A65</f>
        <v>A7.4</v>
      </c>
      <c r="B57" s="56" t="str">
        <f>A_CDRRMO!C65</f>
        <v>Permanent evacuation center(s) planned/established and existing ECs meet minimum standards (WASH, privacy, PWD access, child-friendly space)</v>
      </c>
      <c r="C57" s="55" t="str">
        <f>A_CDRRMO!E65</f>
        <v>M</v>
      </c>
      <c r="D57" s="55">
        <f>IF(A_CDRRMO!I65="","",A_CDRRMO!I65)</f>
        <v>2</v>
      </c>
      <c r="E57" s="55" t="str">
        <f>A_CDRRMO!N65</f>
        <v>High</v>
      </c>
      <c r="F57" s="56" t="str">
        <f>A_CDRRMO!O65</f>
        <v>Non-compliant</v>
      </c>
      <c r="G57" s="56" t="str">
        <f>IF(A_CDRRMO!L65="","",A_CDRRMO!L65)</f>
        <v>Audit ECs against RA 12076/DSWD standards; prioritise retrofits for the 46 critical flood barangays.</v>
      </c>
      <c r="H57" s="57" t="s">
        <v>1302</v>
      </c>
      <c r="I57" s="58" t="s">
        <v>1271</v>
      </c>
      <c r="J57" s="57" t="s">
        <v>1303</v>
      </c>
      <c r="K57" s="56" t="str">
        <f>A_CDRRMO!P65</f>
        <v>MOO Ch.4 / EOC Ch.6</v>
      </c>
      <c r="L57" s="58" t="s">
        <v>1242</v>
      </c>
      <c r="M57" s="19"/>
      <c r="N57" s="19"/>
      <c r="O57" s="19"/>
      <c r="P57" s="19"/>
      <c r="Q57" s="19"/>
      <c r="R57" s="19"/>
      <c r="S57" s="19"/>
      <c r="T57" s="19"/>
      <c r="U57" s="19"/>
      <c r="V57" s="19"/>
      <c r="W57" s="19"/>
      <c r="X57" s="19"/>
      <c r="Y57" s="19"/>
      <c r="Z57" s="19"/>
    </row>
    <row r="58" ht="21.75" customHeight="1">
      <c r="A58" s="55" t="str">
        <f>A_CDRRMO!A66</f>
        <v>A7.5</v>
      </c>
      <c r="B58" s="56" t="str">
        <f>A_CDRRMO!C66</f>
        <v>Prepositioned relief stocks/food packs and non-food items with inventory and replenishment triggers</v>
      </c>
      <c r="C58" s="55" t="str">
        <f>A_CDRRMO!E66</f>
        <v>M</v>
      </c>
      <c r="D58" s="55">
        <f>IF(A_CDRRMO!I66="","",A_CDRRMO!I66)</f>
        <v>4</v>
      </c>
      <c r="E58" s="55" t="str">
        <f>A_CDRRMO!N66</f>
        <v>Low</v>
      </c>
      <c r="F58" s="56" t="str">
        <f>A_CDRRMO!O66</f>
        <v>Compliant</v>
      </c>
      <c r="G58" s="56" t="str">
        <f>IF(A_CDRRMO!L66="","",A_CDRRMO!L66)</f>
        <v>Maintain; add AA prepositioning triggers.</v>
      </c>
      <c r="H58" s="57" t="s">
        <v>1304</v>
      </c>
      <c r="I58" s="58" t="inlineStr">
        <is>
          <t xml:space="preserve">Before typhoon season (May 2027)</t>
        </is>
      </c>
      <c r="J58" s="57" t="inlineStr">
        <is>
          <t xml:space="preserve">LDRRMF 70% (prepositioning)</t>
        </is>
      </c>
      <c r="K58" s="56" t="str">
        <f>A_CDRRMO!P66</f>
        <v>EOC Ch.6 Logistics</v>
      </c>
      <c r="L58" s="58" t="s">
        <v>1242</v>
      </c>
      <c r="M58" s="19"/>
      <c r="N58" s="19"/>
      <c r="O58" s="19"/>
      <c r="P58" s="19"/>
      <c r="Q58" s="19"/>
      <c r="R58" s="19"/>
      <c r="S58" s="19"/>
      <c r="T58" s="19"/>
      <c r="U58" s="19"/>
      <c r="V58" s="19"/>
      <c r="W58" s="19"/>
      <c r="X58" s="19"/>
      <c r="Y58" s="19"/>
      <c r="Z58" s="19"/>
    </row>
    <row r="59" ht="32.25" customHeight="1">
      <c r="A59" s="55" t="str">
        <f>A_CDRRMO!A67</f>
        <v>A7.6</v>
      </c>
      <c r="B59" s="56" t="str">
        <f>A_CDRRMO!C67</f>
        <v>Inclusive DRRM: GAD, PWD, senior citizen, children, IP considerations embedded in plans and services, with vulnerable-sector representatives confirming they were engaged</v>
      </c>
      <c r="C59" s="55" t="str">
        <f>A_CDRRMO!E67</f>
        <v>M</v>
      </c>
      <c r="D59" s="55">
        <f>IF(A_CDRRMO!I67="","",A_CDRRMO!I67)</f>
        <v>3</v>
      </c>
      <c r="E59" s="55" t="str">
        <f>A_CDRRMO!N67</f>
        <v>Low</v>
      </c>
      <c r="F59" s="56" t="str">
        <f>A_CDRRMO!O67</f>
        <v>Compliant</v>
      </c>
      <c r="G59" s="56" t="str">
        <f>IF(A_CDRRMO!L67="","",A_CDRRMO!L67)</f>
        <v>Hold a short FGD with PWD, senior, women and youth representatives to confirm engagement.</v>
      </c>
      <c r="H59" s="57" t="s">
        <v>1305</v>
      </c>
      <c r="I59" s="58" t="s">
        <v>1259</v>
      </c>
      <c r="J59" s="57" t="s">
        <v>1306</v>
      </c>
      <c r="K59" s="56" t="str">
        <f>A_CDRRMO!P67</f>
        <v>MOO Ch.3 / Ch.4</v>
      </c>
      <c r="L59" s="58" t="s">
        <v>1235</v>
      </c>
      <c r="M59" s="19"/>
      <c r="N59" s="19"/>
      <c r="O59" s="19"/>
      <c r="P59" s="19"/>
      <c r="Q59" s="19"/>
      <c r="R59" s="19"/>
      <c r="S59" s="19"/>
      <c r="T59" s="19"/>
      <c r="U59" s="19"/>
      <c r="V59" s="19"/>
      <c r="W59" s="19"/>
      <c r="X59" s="19"/>
      <c r="Y59" s="19"/>
      <c r="Z59" s="19"/>
    </row>
    <row r="60" ht="21.75" customHeight="1">
      <c r="A60" s="55" t="str">
        <f>A_CDRRMO!A68</f>
        <v>A7.7</v>
      </c>
      <c r="B60" s="56" t="str">
        <f>A_CDRRMO!C68</f>
        <v>Schools, hospitals and critical facilities included in preparedness planning and drills</v>
      </c>
      <c r="C60" s="55" t="str">
        <f>A_CDRRMO!E68</f>
        <v>GP</v>
      </c>
      <c r="D60" s="55">
        <f>IF(A_CDRRMO!I68="","",A_CDRRMO!I68)</f>
        <v>3</v>
      </c>
      <c r="E60" s="55" t="str">
        <f>A_CDRRMO!N68</f>
        <v>Low</v>
      </c>
      <c r="F60" s="56" t="str">
        <f>A_CDRRMO!O68</f>
        <v>Meets GP</v>
      </c>
      <c r="G60" s="56" t="str">
        <f>IF(A_CDRRMO!L68="","",A_CDRRMO!L68)</f>
        <v>Maintain; include schools and hospitals in the next CP tabletop.</v>
      </c>
      <c r="H60" s="57" t="s">
        <v>1307</v>
      </c>
      <c r="I60" s="58" t="inlineStr">
        <is>
          <t xml:space="preserve">Q2 2027 (CP tabletop)</t>
        </is>
      </c>
      <c r="J60" s="57" t="inlineStr">
        <is>
          <t xml:space="preserve">No cost</t>
        </is>
      </c>
      <c r="K60" s="56" t="str">
        <f>A_CDRRMO!P68</f>
        <v>MOO Ch.6</v>
      </c>
      <c r="L60" s="58" t="s">
        <v>1242</v>
      </c>
      <c r="M60" s="19"/>
      <c r="N60" s="19"/>
      <c r="O60" s="19"/>
      <c r="P60" s="19"/>
      <c r="Q60" s="19"/>
      <c r="R60" s="19"/>
      <c r="S60" s="19"/>
      <c r="T60" s="19"/>
      <c r="U60" s="19"/>
      <c r="V60" s="19"/>
      <c r="W60" s="19"/>
      <c r="X60" s="19"/>
      <c r="Y60" s="19"/>
      <c r="Z60" s="19"/>
    </row>
    <row r="61" ht="21.75" customHeight="1">
      <c r="A61" s="55" t="str">
        <f>A_CDRRMO!A69</f>
        <v>A7.8</v>
      </c>
      <c r="B61" s="56" t="str">
        <f>A_CDRRMO!C69</f>
        <v>Refresher cycle (at least annual) set for trained responders, EOC staff and BDRRMC members, with attendance tracked</v>
      </c>
      <c r="C61" s="55" t="str">
        <f>A_CDRRMO!E69</f>
        <v>GP</v>
      </c>
      <c r="D61" s="55">
        <f>IF(A_CDRRMO!I69="","",A_CDRRMO!I69)</f>
        <v>1</v>
      </c>
      <c r="E61" s="55" t="str">
        <f>A_CDRRMO!N69</f>
        <v>Low</v>
      </c>
      <c r="F61" s="56" t="str">
        <f>A_CDRRMO!O69</f>
        <v>Below GP</v>
      </c>
      <c r="G61" s="56" t="str">
        <f>IF(A_CDRRMO!L69="","",A_CDRRMO!L69)</f>
        <v>Set an annual refresher cycle for responders, EOC staff and BDRRMC members and track attendance.</v>
      </c>
      <c r="H61" s="57" t="s">
        <v>1243</v>
      </c>
      <c r="I61" s="58" t="s">
        <v>1271</v>
      </c>
      <c r="J61" s="57" t="s">
        <v>1263</v>
      </c>
      <c r="K61" s="56" t="str">
        <f>A_CDRRMO!P69</f>
        <v>MOO Ch.6</v>
      </c>
      <c r="L61" s="58" t="s">
        <v>1235</v>
      </c>
      <c r="M61" s="19"/>
      <c r="N61" s="19"/>
      <c r="O61" s="19"/>
      <c r="P61" s="19"/>
      <c r="Q61" s="19"/>
      <c r="R61" s="19"/>
      <c r="S61" s="19"/>
      <c r="T61" s="19"/>
      <c r="U61" s="19"/>
      <c r="V61" s="19"/>
      <c r="W61" s="19"/>
      <c r="X61" s="19"/>
      <c r="Y61" s="19"/>
      <c r="Z61" s="19"/>
    </row>
    <row r="62" ht="21.75" customHeight="1">
      <c r="A62" s="55" t="str">
        <f>A_CDRRMO!A70</f>
        <v>A7.9</v>
      </c>
      <c r="B62" s="56" t="str">
        <f>A_CDRRMO!C70</f>
        <v>BDRRMCs can account for residents of affected puroks within 12 hours of impact (welfare check), shown in a drill or a real event</v>
      </c>
      <c r="C62" s="55" t="str">
        <f>A_CDRRMO!E70</f>
        <v>GP</v>
      </c>
      <c r="D62" s="55" t="str">
        <f>IF(A_CDRRMO!I70="","",A_CDRRMO!I70)</f>
        <v/>
      </c>
      <c r="E62" s="55" t="str">
        <f>A_CDRRMO!N70</f>
        <v/>
      </c>
      <c r="F62" s="56" t="str">
        <f>A_CDRRMO!O70</f>
        <v>Not scored</v>
      </c>
      <c r="G62" s="56" t="str">
        <f>IF(A_CDRRMO!L70="","",A_CDRRMO!L70)</f>
        <v>Add a 12-hour welfare-check step to BDRRMC protocols and test it in the next drill.</v>
      </c>
      <c r="H62" s="57" t="s">
        <v>1308</v>
      </c>
      <c r="I62" s="58" t="inlineStr">
        <is>
          <t xml:space="preserve">Next drill (Q1 2027)</t>
        </is>
      </c>
      <c r="J62" s="57" t="inlineStr">
        <is>
          <t xml:space="preserve">No cost</t>
        </is>
      </c>
      <c r="K62" s="56" t="str">
        <f>A_CDRRMO!P70</f>
        <v>MOO Ch.4 / EOC Ch.6</v>
      </c>
      <c r="L62" s="58" t="s">
        <v>1235</v>
      </c>
      <c r="M62" s="19"/>
      <c r="N62" s="19"/>
      <c r="O62" s="19"/>
      <c r="P62" s="19"/>
      <c r="Q62" s="19"/>
      <c r="R62" s="19"/>
      <c r="S62" s="19"/>
      <c r="T62" s="19"/>
      <c r="U62" s="19"/>
      <c r="V62" s="19"/>
      <c r="W62" s="19"/>
      <c r="X62" s="19"/>
      <c r="Y62" s="19"/>
      <c r="Z62" s="19"/>
    </row>
    <row r="63" ht="21.75" customHeight="1">
      <c r="A63" s="55" t="str">
        <f>A_CDRRMO!A72</f>
        <v>A8.1</v>
      </c>
      <c r="B63" s="56" t="str">
        <f>A_CDRRMO!C72</f>
        <v>Incident Command System institutionalized: EO on ICS, trained IMT roster, pre-designated Incident Commanders</v>
      </c>
      <c r="C63" s="55" t="str">
        <f>A_CDRRMO!E72</f>
        <v>M</v>
      </c>
      <c r="D63" s="55">
        <f>IF(A_CDRRMO!I72="","",A_CDRRMO!I72)</f>
        <v>1</v>
      </c>
      <c r="E63" s="55" t="str">
        <f>A_CDRRMO!N72</f>
        <v>High</v>
      </c>
      <c r="F63" s="56" t="str">
        <f>A_CDRRMO!O72</f>
        <v>Non-compliant</v>
      </c>
      <c r="G63" s="56" t="str">
        <f>IF(A_CDRRMO!L72="","",A_CDRRMO!L72)</f>
        <v>Issue an EO institutionalising ICS with pre-designated ICs and IMT roster; complete ICS training.</v>
      </c>
      <c r="H63" s="57" t="s">
        <v>1309</v>
      </c>
      <c r="I63" s="58" t="s">
        <v>1259</v>
      </c>
      <c r="J63" s="57" t="s">
        <v>1293</v>
      </c>
      <c r="K63" s="56" t="str">
        <f>A_CDRRMO!P72</f>
        <v>MOO Ch.4 Response Operations</v>
      </c>
      <c r="L63" s="58" t="s">
        <v>1235</v>
      </c>
      <c r="M63" s="19"/>
      <c r="N63" s="19"/>
      <c r="O63" s="19"/>
      <c r="P63" s="19"/>
      <c r="Q63" s="19"/>
      <c r="R63" s="19"/>
      <c r="S63" s="19"/>
      <c r="T63" s="19"/>
      <c r="U63" s="19"/>
      <c r="V63" s="19"/>
      <c r="W63" s="19"/>
      <c r="X63" s="19"/>
      <c r="Y63" s="19"/>
      <c r="Z63" s="19"/>
    </row>
    <row r="64" ht="32.25" customHeight="1">
      <c r="A64" s="55" t="str">
        <f>A_CDRRMO!A73</f>
        <v>A8.2</v>
      </c>
      <c r="B64" s="56" t="str">
        <f>A_CDRRMO!C73</f>
        <v>Organized and trained response teams: SAR (WASAR/CSSR/HAZMAT as relevant), EMS/ambulance, fire coordination with BFP</v>
      </c>
      <c r="C64" s="55" t="str">
        <f>A_CDRRMO!E73</f>
        <v>M</v>
      </c>
      <c r="D64" s="55">
        <f>IF(A_CDRRMO!I73="","",A_CDRRMO!I73)</f>
        <v>2</v>
      </c>
      <c r="E64" s="55" t="str">
        <f>A_CDRRMO!N73</f>
        <v>High</v>
      </c>
      <c r="F64" s="56" t="str">
        <f>A_CDRRMO!O73</f>
        <v>Non-compliant</v>
      </c>
      <c r="G64" s="56" t="str">
        <f>IF(A_CDRRMO!L73="","",A_CDRRMO!L73)</f>
        <v>Update the response team EO and the BFP MOA; keep certificates current.</v>
      </c>
      <c r="H64" s="57" t="s">
        <v>1257</v>
      </c>
      <c r="I64" s="58" t="s">
        <v>1259</v>
      </c>
      <c r="J64" s="57" t="s">
        <v>1263</v>
      </c>
      <c r="K64" s="56" t="str">
        <f>A_CDRRMO!P73</f>
        <v>MOO Ch.4</v>
      </c>
      <c r="L64" s="58" t="s">
        <v>1235</v>
      </c>
      <c r="M64" s="19"/>
      <c r="N64" s="19"/>
      <c r="O64" s="19"/>
      <c r="P64" s="19"/>
      <c r="Q64" s="19"/>
      <c r="R64" s="19"/>
      <c r="S64" s="19"/>
      <c r="T64" s="19"/>
      <c r="U64" s="19"/>
      <c r="V64" s="19"/>
      <c r="W64" s="19"/>
      <c r="X64" s="19"/>
      <c r="Y64" s="19"/>
      <c r="Z64" s="19"/>
    </row>
    <row r="65" ht="21.75" customHeight="1">
      <c r="A65" s="55" t="str">
        <f>A_CDRRMO!A74</f>
        <v>A8.3</v>
      </c>
      <c r="B65" s="56" t="str">
        <f>A_CDRRMO!C74</f>
        <v>Response equipment and vehicles inventoried, serviceable and maintained (preventive maintenance schedule)</v>
      </c>
      <c r="C65" s="55" t="str">
        <f>A_CDRRMO!E74</f>
        <v>M</v>
      </c>
      <c r="D65" s="55">
        <f>IF(A_CDRRMO!I74="","",A_CDRRMO!I74)</f>
        <v>3</v>
      </c>
      <c r="E65" s="55" t="str">
        <f>A_CDRRMO!N74</f>
        <v>Low</v>
      </c>
      <c r="F65" s="56" t="str">
        <f>A_CDRRMO!O74</f>
        <v>Compliant</v>
      </c>
      <c r="G65" s="56" t="str">
        <f>IF(A_CDRRMO!L74="","",A_CDRRMO!L74)</f>
        <v>Program a PM schedule for vehicles and equipment and keep logs.</v>
      </c>
      <c r="H65" s="57" t="s">
        <v>1310</v>
      </c>
      <c r="I65" s="58" t="s">
        <v>1259</v>
      </c>
      <c r="J65" s="57" t="s">
        <v>1311</v>
      </c>
      <c r="K65" s="56" t="str">
        <f>A_CDRRMO!P74</f>
        <v>MOO Ch.4 / EOC Ch.6</v>
      </c>
      <c r="L65" s="58" t="s">
        <v>1242</v>
      </c>
      <c r="M65" s="19"/>
      <c r="N65" s="19"/>
      <c r="O65" s="19"/>
      <c r="P65" s="19"/>
      <c r="Q65" s="19"/>
      <c r="R65" s="19"/>
      <c r="S65" s="19"/>
      <c r="T65" s="19"/>
      <c r="U65" s="19"/>
      <c r="V65" s="19"/>
      <c r="W65" s="19"/>
      <c r="X65" s="19"/>
      <c r="Y65" s="19"/>
      <c r="Z65" s="19"/>
    </row>
    <row r="66" ht="21.75" customHeight="1">
      <c r="A66" s="55" t="str">
        <f>A_CDRRMO!A75</f>
        <v>A8.4</v>
      </c>
      <c r="B66" s="56" t="str">
        <f>A_CDRRMO!C75</f>
        <v>Emergency hotline integrated with E911 and dispatch protocol (call-taking to dispatch time tracked)</v>
      </c>
      <c r="C66" s="55" t="str">
        <f>A_CDRRMO!E75</f>
        <v>GP</v>
      </c>
      <c r="D66" s="55">
        <f>IF(A_CDRRMO!I75="","",A_CDRRMO!I75)</f>
        <v>0</v>
      </c>
      <c r="E66" s="55" t="str">
        <f>A_CDRRMO!N75</f>
        <v>Medium</v>
      </c>
      <c r="F66" s="56" t="str">
        <f>A_CDRRMO!O75</f>
        <v>Below GP</v>
      </c>
      <c r="G66" s="56" t="str">
        <f>IF(A_CDRRMO!L75="","",A_CDRRMO!L75)</f>
        <v>Integrate the hotline with E911 and write the dispatch SOP with response-time tracking.</v>
      </c>
      <c r="H66" s="57" t="s">
        <v>1257</v>
      </c>
      <c r="I66" s="58" t="s">
        <v>1271</v>
      </c>
      <c r="J66" s="57" t="s">
        <v>1294</v>
      </c>
      <c r="K66" s="56" t="str">
        <f>A_CDRRMO!P75</f>
        <v>EOC Ch.4</v>
      </c>
      <c r="L66" s="58" t="s">
        <v>1235</v>
      </c>
      <c r="M66" s="19"/>
      <c r="N66" s="19"/>
      <c r="O66" s="19"/>
      <c r="P66" s="19"/>
      <c r="Q66" s="19"/>
      <c r="R66" s="19"/>
      <c r="S66" s="19"/>
      <c r="T66" s="19"/>
      <c r="U66" s="19"/>
      <c r="V66" s="19"/>
      <c r="W66" s="19"/>
      <c r="X66" s="19"/>
      <c r="Y66" s="19"/>
      <c r="Z66" s="19"/>
    </row>
    <row r="67" ht="42.75" customHeight="1">
      <c r="A67" s="55" t="str">
        <f>A_CDRRMO!A76</f>
        <v>A8.5</v>
      </c>
      <c r="B67" s="56" t="str">
        <f>A_CDRRMO!C76</f>
        <v>Response clusters organized at city level mirroring national cluster approach (Food &amp; NFI, Health, WASH, CCCM, Logistics, Search Rescue &amp; Retrieval, Law &amp; Order, Education, Protection, ETC, MDM)</v>
      </c>
      <c r="C67" s="55" t="str">
        <f>A_CDRRMO!E76</f>
        <v>M</v>
      </c>
      <c r="D67" s="55">
        <f>IF(A_CDRRMO!I76="","",A_CDRRMO!I76)</f>
        <v>3</v>
      </c>
      <c r="E67" s="55" t="str">
        <f>A_CDRRMO!N76</f>
        <v>Low</v>
      </c>
      <c r="F67" s="56" t="str">
        <f>A_CDRRMO!O76</f>
        <v>Compliant</v>
      </c>
      <c r="G67" s="56" t="str">
        <f>IF(A_CDRRMO!L76="","",A_CDRRMO!L76)</f>
        <v>Assess cluster capability and adopt cluster EO aligned to the 12 national clusters (RDRRMC8 SOP).</v>
      </c>
      <c r="H67" s="57" t="s">
        <v>1312</v>
      </c>
      <c r="I67" s="58" t="inlineStr">
        <is>
          <t xml:space="preserve">Q2 2027</t>
        </is>
      </c>
      <c r="J67" s="57" t="inlineStr">
        <is>
          <t xml:space="preserve">No cost</t>
        </is>
      </c>
      <c r="K67" s="56" t="str">
        <f>A_CDRRMO!P76</f>
        <v>EOC Ch.4</v>
      </c>
      <c r="L67" s="58" t="s">
        <v>1242</v>
      </c>
      <c r="M67" s="19"/>
      <c r="N67" s="19"/>
      <c r="O67" s="19"/>
      <c r="P67" s="19"/>
      <c r="Q67" s="19"/>
      <c r="R67" s="19"/>
      <c r="S67" s="19"/>
      <c r="T67" s="19"/>
      <c r="U67" s="19"/>
      <c r="V67" s="19"/>
      <c r="W67" s="19"/>
      <c r="X67" s="19"/>
      <c r="Y67" s="19"/>
      <c r="Z67" s="19"/>
    </row>
    <row r="68" ht="21.75" customHeight="1">
      <c r="A68" s="55" t="str">
        <f>A_CDRRMO!A77</f>
        <v>A8.6</v>
      </c>
      <c r="B68" s="56" t="str">
        <f>A_CDRRMO!C77</f>
        <v>Pre-Disaster Risk Assessment (PDRA) conducted before forecast hazards, with anticipatory actions recorded</v>
      </c>
      <c r="C68" s="55" t="str">
        <f>A_CDRRMO!E77</f>
        <v>M</v>
      </c>
      <c r="D68" s="55">
        <f>IF(A_CDRRMO!I77="","",A_CDRRMO!I77)</f>
        <v>3</v>
      </c>
      <c r="E68" s="55" t="str">
        <f>A_CDRRMO!N77</f>
        <v>Medium</v>
      </c>
      <c r="F68" s="56" t="str">
        <f>A_CDRRMO!O77</f>
        <v>Compliant</v>
      </c>
      <c r="G68" s="56" t="str">
        <f>IF(A_CDRRMO!L77="","",A_CDRRMO!L77)</f>
        <v>Maintain; record anticipatory actions in each PDRA.</v>
      </c>
      <c r="H68" s="57" t="s">
        <v>1298</v>
      </c>
      <c r="I68" s="58" t="s">
        <v>1313</v>
      </c>
      <c r="J68" s="57" t="inlineStr">
        <is>
          <t xml:space="preserve">No cost</t>
        </is>
      </c>
      <c r="K68" s="56" t="str">
        <f>A_CDRRMO!P77</f>
        <v>EOC Ch.2</v>
      </c>
      <c r="L68" s="58" t="s">
        <v>1242</v>
      </c>
      <c r="M68" s="19"/>
      <c r="N68" s="19"/>
      <c r="O68" s="19"/>
      <c r="P68" s="19"/>
      <c r="Q68" s="19"/>
      <c r="R68" s="19"/>
      <c r="S68" s="19"/>
      <c r="T68" s="19"/>
      <c r="U68" s="19"/>
      <c r="V68" s="19"/>
      <c r="W68" s="19"/>
      <c r="X68" s="19"/>
      <c r="Y68" s="19"/>
      <c r="Z68" s="19"/>
    </row>
    <row r="69" ht="32.25" customHeight="1">
      <c r="A69" s="55" t="str">
        <f>A_CDRRMO!A78</f>
        <v>A8.7</v>
      </c>
      <c r="B69" s="56" t="str">
        <f>A_CDRRMO!C78</f>
        <v>Management of the Dead and Missing (MDM) and Rapid Damage Assessment &amp; Needs Analysis (RDANA) teams designated and trained</v>
      </c>
      <c r="C69" s="55" t="str">
        <f>A_CDRRMO!E78</f>
        <v>M</v>
      </c>
      <c r="D69" s="55">
        <f>IF(A_CDRRMO!I78="","",A_CDRRMO!I78)</f>
        <v>1</v>
      </c>
      <c r="E69" s="55" t="str">
        <f>A_CDRRMO!N78</f>
        <v>High</v>
      </c>
      <c r="F69" s="56" t="str">
        <f>A_CDRRMO!O78</f>
        <v>Non-compliant</v>
      </c>
      <c r="G69" s="56" t="str">
        <f>IF(A_CDRRMO!L78="","",A_CDRRMO!L78)</f>
        <v>Designate MDM and RDANA teams by EO and train them.</v>
      </c>
      <c r="H69" s="57" t="s">
        <v>1314</v>
      </c>
      <c r="I69" s="58" t="s">
        <v>1271</v>
      </c>
      <c r="J69" s="57" t="s">
        <v>1293</v>
      </c>
      <c r="K69" s="56" t="str">
        <f>A_CDRRMO!P78</f>
        <v>MOO Ch.4</v>
      </c>
      <c r="L69" s="58" t="s">
        <v>1235</v>
      </c>
      <c r="M69" s="19"/>
      <c r="N69" s="19"/>
      <c r="O69" s="19"/>
      <c r="P69" s="19"/>
      <c r="Q69" s="19"/>
      <c r="R69" s="19"/>
      <c r="S69" s="19"/>
      <c r="T69" s="19"/>
      <c r="U69" s="19"/>
      <c r="V69" s="19"/>
      <c r="W69" s="19"/>
      <c r="X69" s="19"/>
      <c r="Y69" s="19"/>
      <c r="Z69" s="19"/>
    </row>
    <row r="70" ht="74.25" customHeight="1">
      <c r="A70" s="55" t="str">
        <f>A_CDRRMO!A79</f>
        <v>A8.8</v>
      </c>
      <c r="B70" s="56" t="str">
        <f>A_CDRRMO!C79</f>
        <v>Anticipatory action protocols by hazard and lead time: office-order templates for prepositioning (relief, medical supplies, animal feed, water and power for evacuation centers), deployment of heavy equipment, transport and personnel, pre-emptive evacuation incl. livestock and pets, CCCM, and safeguarding of critical infrastructure; aligned with CPs, Oplan L!sto and evacuation plans</v>
      </c>
      <c r="C70" s="55" t="str">
        <f>A_CDRRMO!E79</f>
        <v>M</v>
      </c>
      <c r="D70" s="55">
        <f>IF(A_CDRRMO!I79="","",A_CDRRMO!I79)</f>
        <v>1</v>
      </c>
      <c r="E70" s="55" t="str">
        <f>A_CDRRMO!N79</f>
        <v>High</v>
      </c>
      <c r="F70" s="56" t="str">
        <f>A_CDRRMO!O79</f>
        <v>Non-compliant</v>
      </c>
      <c r="G70" s="56" t="str">
        <f>IF(A_CDRRMO!L79="","",A_CDRRMO!L79)</f>
        <v>Write AA protocols by hazard and lead time with office-order templates; walk them through in a PDRA tabletop to reach 3.</v>
      </c>
      <c r="H70" s="57" t="s">
        <v>1298</v>
      </c>
      <c r="I70" s="58" t="s">
        <v>1244</v>
      </c>
      <c r="J70" s="57" t="s">
        <v>1238</v>
      </c>
      <c r="K70" s="56" t="str">
        <f>A_CDRRMO!P79</f>
        <v>EOC Ch.2 / MOO Ch.4</v>
      </c>
      <c r="L70" s="58" t="s">
        <v>1242</v>
      </c>
      <c r="M70" s="19"/>
      <c r="N70" s="19"/>
      <c r="O70" s="19"/>
      <c r="P70" s="19"/>
      <c r="Q70" s="19"/>
      <c r="R70" s="19"/>
      <c r="S70" s="19"/>
      <c r="T70" s="19"/>
      <c r="U70" s="19"/>
      <c r="V70" s="19"/>
      <c r="W70" s="19"/>
      <c r="X70" s="19"/>
      <c r="Y70" s="19"/>
      <c r="Z70" s="19"/>
    </row>
    <row r="71" ht="42.75" customHeight="1">
      <c r="A71" s="55" t="str">
        <f>A_CDRRMO!A80</f>
        <v>A8.9</v>
      </c>
      <c r="B71" s="56" t="str">
        <f>A_CDRRMO!C80</f>
        <v>Anticipatory social amelioration: families identified and prioritized using CBMS or the prevailing registry; data-sharing agreements compliant with RA 10173; local guidelines for anticipatory cash or vouchers issued with the CSWDO</v>
      </c>
      <c r="C71" s="55" t="str">
        <f>A_CDRRMO!E80</f>
        <v>M</v>
      </c>
      <c r="D71" s="55">
        <f>IF(A_CDRRMO!I80="","",A_CDRRMO!I80)</f>
        <v>1</v>
      </c>
      <c r="E71" s="55" t="str">
        <f>A_CDRRMO!N80</f>
        <v>High</v>
      </c>
      <c r="F71" s="56" t="str">
        <f>A_CDRRMO!O80</f>
        <v>Non-compliant</v>
      </c>
      <c r="G71" s="56" t="str">
        <f>IF(A_CDRRMO!L80="","",A_CDRRMO!L80)</f>
        <v>Issue local guidelines with CSWDO for anticipatory cash/vouchers using CBMS, with a DSA.</v>
      </c>
      <c r="H71" s="57" t="s">
        <v>1315</v>
      </c>
      <c r="I71" s="58" t="s">
        <v>1271</v>
      </c>
      <c r="J71" s="57" t="s">
        <v>1283</v>
      </c>
      <c r="K71" s="56" t="str">
        <f>A_CDRRMO!P80</f>
        <v>MOO Ch.4</v>
      </c>
      <c r="L71" s="58" t="s">
        <v>1235</v>
      </c>
      <c r="M71" s="19"/>
      <c r="N71" s="19"/>
      <c r="O71" s="19"/>
      <c r="P71" s="19"/>
      <c r="Q71" s="19"/>
      <c r="R71" s="19"/>
      <c r="S71" s="19"/>
      <c r="T71" s="19"/>
      <c r="U71" s="19"/>
      <c r="V71" s="19"/>
      <c r="W71" s="19"/>
      <c r="X71" s="19"/>
      <c r="Y71" s="19"/>
      <c r="Z71" s="19"/>
    </row>
    <row r="72" ht="21.75" customHeight="1">
      <c r="A72" s="55" t="str">
        <f>A_CDRRMO!A82</f>
        <v>A9.1</v>
      </c>
      <c r="B72" s="56" t="str">
        <f>A_CDRRMO!C82</f>
        <v>Post-Disaster Needs Assessment (PDNA) capacity: trained team and templates ready</v>
      </c>
      <c r="C72" s="55" t="str">
        <f>A_CDRRMO!E82</f>
        <v>GP</v>
      </c>
      <c r="D72" s="55">
        <f>IF(A_CDRRMO!I82="","",A_CDRRMO!I82)</f>
        <v>1</v>
      </c>
      <c r="E72" s="55" t="str">
        <f>A_CDRRMO!N82</f>
        <v>Medium</v>
      </c>
      <c r="F72" s="56" t="str">
        <f>A_CDRRMO!O82</f>
        <v>Below GP</v>
      </c>
      <c r="G72" s="56" t="str">
        <f>IF(A_CDRRMO!L82="","",A_CDRRMO!L82)</f>
        <v>Form and train a PDNA team using OCD templates.</v>
      </c>
      <c r="H72" s="57" t="s">
        <v>1265</v>
      </c>
      <c r="I72" s="58" t="s">
        <v>1271</v>
      </c>
      <c r="J72" s="57" t="s">
        <v>1263</v>
      </c>
      <c r="K72" s="56" t="str">
        <f>A_CDRRMO!P82</f>
        <v>MOO Ch.8 Recovery</v>
      </c>
      <c r="L72" s="58" t="s">
        <v>1235</v>
      </c>
      <c r="M72" s="19"/>
      <c r="N72" s="19"/>
      <c r="O72" s="19"/>
      <c r="P72" s="19"/>
      <c r="Q72" s="19"/>
      <c r="R72" s="19"/>
      <c r="S72" s="19"/>
      <c r="T72" s="19"/>
      <c r="U72" s="19"/>
      <c r="V72" s="19"/>
      <c r="W72" s="19"/>
      <c r="X72" s="19"/>
      <c r="Y72" s="19"/>
      <c r="Z72" s="19"/>
    </row>
    <row r="73" ht="21.75" customHeight="1">
      <c r="A73" s="55" t="str">
        <f>A_CDRRMO!A83</f>
        <v>A9.2</v>
      </c>
      <c r="B73" s="56" t="str">
        <f>A_CDRRMO!C83</f>
        <v>Rehabilitation &amp; recovery plan prepared after major events, with build-back-better and resettlement provisions</v>
      </c>
      <c r="C73" s="55" t="str">
        <f>A_CDRRMO!E83</f>
        <v>M</v>
      </c>
      <c r="D73" s="55">
        <f>IF(A_CDRRMO!I83="","",A_CDRRMO!I83)</f>
        <v>4</v>
      </c>
      <c r="E73" s="55" t="str">
        <f>A_CDRRMO!N83</f>
        <v>Low</v>
      </c>
      <c r="F73" s="56" t="str">
        <f>A_CDRRMO!O83</f>
        <v>Compliant</v>
      </c>
      <c r="G73" s="56" t="str">
        <f>IF(A_CDRRMO!L83="","",A_CDRRMO!L83)</f>
        <v>Maintain; state assumptions in projections.</v>
      </c>
      <c r="H73" s="57" t="s">
        <v>1298</v>
      </c>
      <c r="I73" s="58" t="inlineStr">
        <is>
          <t xml:space="preserve">After each major event</t>
        </is>
      </c>
      <c r="J73" s="57" t="inlineStr">
        <is>
          <t xml:space="preserve">LDRRMF 70% / Special Trust Fund</t>
        </is>
      </c>
      <c r="K73" s="56" t="str">
        <f>A_CDRRMO!P83</f>
        <v>MOO Ch.8</v>
      </c>
      <c r="L73" s="58" t="s">
        <v>1242</v>
      </c>
      <c r="M73" s="19"/>
      <c r="N73" s="19"/>
      <c r="O73" s="19"/>
      <c r="P73" s="19"/>
      <c r="Q73" s="19"/>
      <c r="R73" s="19"/>
      <c r="S73" s="19"/>
      <c r="T73" s="19"/>
      <c r="U73" s="19"/>
      <c r="V73" s="19"/>
      <c r="W73" s="19"/>
      <c r="X73" s="19"/>
      <c r="Y73" s="19"/>
      <c r="Z73" s="19"/>
    </row>
    <row r="74" ht="21.75" customHeight="1">
      <c r="A74" s="55" t="str">
        <f>A_CDRRMO!A84</f>
        <v>A9.3</v>
      </c>
      <c r="B74" s="56" t="str">
        <f>A_CDRRMO!C84</f>
        <v>Recovery data (damage, losses, livelihood, housing) tracked to completion</v>
      </c>
      <c r="C74" s="55" t="str">
        <f>A_CDRRMO!E84</f>
        <v>GP</v>
      </c>
      <c r="D74" s="55">
        <f>IF(A_CDRRMO!I84="","",A_CDRRMO!I84)</f>
        <v>1</v>
      </c>
      <c r="E74" s="55" t="str">
        <f>A_CDRRMO!N84</f>
        <v>Low</v>
      </c>
      <c r="F74" s="56" t="str">
        <f>A_CDRRMO!O84</f>
        <v>Below GP</v>
      </c>
      <c r="G74" s="56" t="str">
        <f>IF(A_CDRRMO!L84="","",A_CDRRMO!L84)</f>
        <v>Add a recovery monitoring matrix to the event database (A5.4).</v>
      </c>
      <c r="H74" s="57" t="s">
        <v>1265</v>
      </c>
      <c r="I74" s="58" t="inlineStr">
        <is>
          <t xml:space="preserve">Q3 2027</t>
        </is>
      </c>
      <c r="J74" s="57" t="inlineStr">
        <is>
          <t xml:space="preserve">No cost</t>
        </is>
      </c>
      <c r="K74" s="56" t="str">
        <f>A_CDRRMO!P84</f>
        <v>MOO Ch.8</v>
      </c>
      <c r="L74" s="58" t="s">
        <v>1235</v>
      </c>
      <c r="M74" s="19"/>
      <c r="N74" s="19"/>
      <c r="O74" s="19"/>
      <c r="P74" s="19"/>
      <c r="Q74" s="19"/>
      <c r="R74" s="19"/>
      <c r="S74" s="19"/>
      <c r="T74" s="19"/>
      <c r="U74" s="19"/>
      <c r="V74" s="19"/>
      <c r="W74" s="19"/>
      <c r="X74" s="19"/>
      <c r="Y74" s="19"/>
      <c r="Z74" s="19"/>
    </row>
    <row r="75" ht="21.75" customHeight="1">
      <c r="A75" s="55" t="str">
        <f>A_CDRRMO!A85</f>
        <v>A9.4</v>
      </c>
      <c r="B75" s="56" t="str">
        <f>A_CDRRMO!C85</f>
        <v>Psychosocial and livelihood recovery services coordinated with CSWDO, CHO, PESO</v>
      </c>
      <c r="C75" s="55" t="str">
        <f>A_CDRRMO!E85</f>
        <v>GP</v>
      </c>
      <c r="D75" s="55">
        <f>IF(A_CDRRMO!I85="","",A_CDRRMO!I85)</f>
        <v>2</v>
      </c>
      <c r="E75" s="55" t="str">
        <f>A_CDRRMO!N85</f>
        <v>Low</v>
      </c>
      <c r="F75" s="56" t="str">
        <f>A_CDRRMO!O85</f>
        <v>Below GP</v>
      </c>
      <c r="G75" s="56" t="str">
        <f>IF(A_CDRRMO!L85="","",A_CDRRMO!L85)</f>
        <v>Write referral pathways with CSWDO, CHO and PESO.</v>
      </c>
      <c r="H75" s="57" t="s">
        <v>1316</v>
      </c>
      <c r="I75" s="58" t="inlineStr">
        <is>
          <t xml:space="preserve">Q3 2027</t>
        </is>
      </c>
      <c r="J75" s="57" t="inlineStr">
        <is>
          <t xml:space="preserve">No cost (MOA)</t>
        </is>
      </c>
      <c r="K75" s="56" t="str">
        <f>A_CDRRMO!P85</f>
        <v>MOO Ch.8</v>
      </c>
      <c r="L75" s="58" t="s">
        <v>1235</v>
      </c>
      <c r="M75" s="19"/>
      <c r="N75" s="19"/>
      <c r="O75" s="19"/>
      <c r="P75" s="19"/>
      <c r="Q75" s="19"/>
      <c r="R75" s="19"/>
      <c r="S75" s="19"/>
      <c r="T75" s="19"/>
      <c r="U75" s="19"/>
      <c r="V75" s="19"/>
      <c r="W75" s="19"/>
      <c r="X75" s="19"/>
      <c r="Y75" s="19"/>
      <c r="Z75" s="19"/>
    </row>
    <row r="76" ht="32.25" customHeight="1">
      <c r="A76" s="55" t="str">
        <f>A_CDRRMO!A86</f>
        <v>A9.5</v>
      </c>
      <c r="B76" s="56" t="str">
        <f>A_CDRRMO!C86</f>
        <v>Pre-disaster recovery framework: roles, PDNA activation, temporary shelter, debris management and recovery fund sources agreed before an event</v>
      </c>
      <c r="C76" s="55" t="str">
        <f>A_CDRRMO!E86</f>
        <v>GP</v>
      </c>
      <c r="D76" s="55">
        <f>IF(A_CDRRMO!I86="","",A_CDRRMO!I86)</f>
        <v>1</v>
      </c>
      <c r="E76" s="55" t="str">
        <f>A_CDRRMO!N86</f>
        <v>Medium</v>
      </c>
      <c r="F76" s="56" t="str">
        <f>A_CDRRMO!O86</f>
        <v>Below GP</v>
      </c>
      <c r="G76" s="56" t="str">
        <f>IF(A_CDRRMO!L86="","",A_CDRRMO!L86)</f>
        <v>Use the OCD/World Bank Ready to Rebuild workbook to prepare a pre-disaster recovery framework.</v>
      </c>
      <c r="H76" s="57" t="s">
        <v>1265</v>
      </c>
      <c r="I76" s="58" t="s">
        <v>1271</v>
      </c>
      <c r="J76" s="57" t="s">
        <v>1263</v>
      </c>
      <c r="K76" s="56" t="str">
        <f>A_CDRRMO!P86</f>
        <v>MOO Ch.8</v>
      </c>
      <c r="L76" s="58" t="s">
        <v>1235</v>
      </c>
      <c r="M76" s="19"/>
      <c r="N76" s="19"/>
      <c r="O76" s="19"/>
      <c r="P76" s="19"/>
      <c r="Q76" s="19"/>
      <c r="R76" s="19"/>
      <c r="S76" s="19"/>
      <c r="T76" s="19"/>
      <c r="U76" s="19"/>
      <c r="V76" s="19"/>
      <c r="W76" s="19"/>
      <c r="X76" s="19"/>
      <c r="Y76" s="19"/>
      <c r="Z76" s="19"/>
    </row>
    <row r="77" ht="21.75" customHeight="1">
      <c r="A77" s="55" t="str">
        <f>A_CDRRMO!A88</f>
        <v>A10.1</v>
      </c>
      <c r="B77" s="56" t="str">
        <f>A_CDRRMO!C88</f>
        <v>MOAs/ mutual aid agreements with neighbouring LGUs (Kananga, Albuera, Merida, Isabel etc.) and Province of Leyte</v>
      </c>
      <c r="C77" s="55" t="str">
        <f>A_CDRRMO!E88</f>
        <v>GP</v>
      </c>
      <c r="D77" s="55">
        <f>IF(A_CDRRMO!I88="","",A_CDRRMO!I88)</f>
        <v>1</v>
      </c>
      <c r="E77" s="55" t="str">
        <f>A_CDRRMO!N88</f>
        <v>Medium</v>
      </c>
      <c r="F77" s="56" t="str">
        <f>A_CDRRMO!O88</f>
        <v>Below GP</v>
      </c>
      <c r="G77" s="56" t="str">
        <f>IF(A_CDRRMO!L88="","",A_CDRRMO!L88)</f>
        <v>Reframe as technical mutual-aid MOAs with Kananga, Albuera, Merida, Isabel and the Province; join the Leyte DRRMCs Telecom and Response Network (planned PPA).</v>
      </c>
      <c r="H77" s="57" t="s">
        <v>1317</v>
      </c>
      <c r="I77" s="58" t="s">
        <v>1271</v>
      </c>
      <c r="J77" s="57" t="s">
        <v>1238</v>
      </c>
      <c r="K77" s="56" t="str">
        <f>A_CDRRMO!P88</f>
        <v>MOO Ch.9 Partnerships / EOC Ch.6</v>
      </c>
      <c r="L77" s="58" t="s">
        <v>1235</v>
      </c>
      <c r="M77" s="19"/>
      <c r="N77" s="19"/>
      <c r="O77" s="19"/>
      <c r="P77" s="19"/>
      <c r="Q77" s="19"/>
      <c r="R77" s="19"/>
      <c r="S77" s="19"/>
      <c r="T77" s="19"/>
      <c r="U77" s="19"/>
      <c r="V77" s="19"/>
      <c r="W77" s="19"/>
      <c r="X77" s="19"/>
      <c r="Y77" s="19"/>
      <c r="Z77" s="19"/>
    </row>
    <row r="78" ht="42.75" customHeight="1">
      <c r="A78" s="55" t="str">
        <f>A_CDRRMO!A89</f>
        <v>A10.2</v>
      </c>
      <c r="B78" s="56" t="str">
        <f>A_CDRRMO!C89</f>
        <v>Partnerships with CSOs, private sector (incl. energy/geothermal operators), academe and faith-based groups documented, with pre- and post-event roles defined and at least annual coordination meetings</v>
      </c>
      <c r="C78" s="55" t="str">
        <f>A_CDRRMO!E89</f>
        <v>GP</v>
      </c>
      <c r="D78" s="55">
        <f>IF(A_CDRRMO!I89="","",A_CDRRMO!I89)</f>
        <v>4</v>
      </c>
      <c r="E78" s="55" t="str">
        <f>A_CDRRMO!N89</f>
        <v>Low</v>
      </c>
      <c r="F78" s="56" t="str">
        <f>A_CDRRMO!O89</f>
        <v>Meets GP</v>
      </c>
      <c r="G78" s="56" t="str">
        <f>IF(A_CDRRMO!L89="","",A_CDRRMO!L89)</f>
        <v>Maintain; add AA roles to partner MOAs.</v>
      </c>
      <c r="H78" s="57" t="s">
        <v>1298</v>
      </c>
      <c r="I78" s="58" t="inlineStr">
        <is>
          <t xml:space="preserve">Q2 2027</t>
        </is>
      </c>
      <c r="J78" s="57" t="inlineStr">
        <is>
          <t xml:space="preserve">No cost</t>
        </is>
      </c>
      <c r="K78" s="56" t="str">
        <f>A_CDRRMO!P89</f>
        <v>MOO Ch.9</v>
      </c>
      <c r="L78" s="58" t="s">
        <v>1242</v>
      </c>
      <c r="M78" s="19"/>
      <c r="N78" s="19"/>
      <c r="O78" s="19"/>
      <c r="P78" s="19"/>
      <c r="Q78" s="19"/>
      <c r="R78" s="19"/>
      <c r="S78" s="19"/>
      <c r="T78" s="19"/>
      <c r="U78" s="19"/>
      <c r="V78" s="19"/>
      <c r="W78" s="19"/>
      <c r="X78" s="19"/>
      <c r="Y78" s="19"/>
      <c r="Z78" s="19"/>
    </row>
    <row r="79" ht="21.75" customHeight="1">
      <c r="A79" s="55" t="str">
        <f>A_CDRRMO!A90</f>
        <v>A10.3</v>
      </c>
      <c r="B79" s="56" t="str">
        <f>A_CDRRMO!C90</f>
        <v>Regular reporting to OCD Region VIII/RDRRMC and DILG (SitReps, LDRRMF reports, Operation L!sto)</v>
      </c>
      <c r="C79" s="55" t="str">
        <f>A_CDRRMO!E90</f>
        <v>M</v>
      </c>
      <c r="D79" s="55">
        <f>IF(A_CDRRMO!I90="","",A_CDRRMO!I90)</f>
        <v>4</v>
      </c>
      <c r="E79" s="55" t="str">
        <f>A_CDRRMO!N90</f>
        <v>Low</v>
      </c>
      <c r="F79" s="56" t="str">
        <f>A_CDRRMO!O90</f>
        <v>Compliant</v>
      </c>
      <c r="G79" s="56" t="str">
        <f>IF(A_CDRRMO!L90="","",A_CDRRMO!L90)</f>
        <v>Adopt RDRRMC8 Res. 12-006 locally by CDRRMC resolution.</v>
      </c>
      <c r="H79" s="57" t="s">
        <v>1298</v>
      </c>
      <c r="I79" s="58" t="s">
        <v>1237</v>
      </c>
      <c r="J79" s="57" t="inlineStr">
        <is>
          <t xml:space="preserve">No cost</t>
        </is>
      </c>
      <c r="K79" s="56" t="str">
        <f>A_CDRRMO!P90</f>
        <v>MOO Ch.7 / EOC Ch.5</v>
      </c>
      <c r="L79" s="58" t="s">
        <v>1242</v>
      </c>
      <c r="M79" s="19"/>
      <c r="N79" s="19"/>
      <c r="O79" s="19"/>
      <c r="P79" s="19"/>
      <c r="Q79" s="19"/>
      <c r="R79" s="19"/>
      <c r="S79" s="19"/>
      <c r="T79" s="19"/>
      <c r="U79" s="19"/>
      <c r="V79" s="19"/>
      <c r="W79" s="19"/>
      <c r="X79" s="19"/>
      <c r="Y79" s="19"/>
      <c r="Z79" s="19"/>
    </row>
    <row r="80" ht="21.75" customHeight="1">
      <c r="A80" s="55" t="str">
        <f>A_CDRRMO!A91</f>
        <v>A10.4</v>
      </c>
      <c r="B80" s="56" t="str">
        <f>A_CDRRMO!C91</f>
        <v>Monitoring &amp; evaluation framework for LDRRMP with indicators and annual review</v>
      </c>
      <c r="C80" s="55" t="str">
        <f>A_CDRRMO!E91</f>
        <v>M</v>
      </c>
      <c r="D80" s="55">
        <f>IF(A_CDRRMO!I91="","",A_CDRRMO!I91)</f>
        <v>2</v>
      </c>
      <c r="E80" s="55" t="str">
        <f>A_CDRRMO!N91</f>
        <v>Medium</v>
      </c>
      <c r="F80" s="56" t="str">
        <f>A_CDRRMO!O91</f>
        <v>Non-compliant</v>
      </c>
      <c r="G80" s="56" t="str">
        <f>IF(A_CDRRMO!L91="","",A_CDRRMO!L91)</f>
        <v>Set an LDRRMP M&amp;E framework with quarterly monitoring and an annual review.</v>
      </c>
      <c r="H80" s="57" t="s">
        <v>1265</v>
      </c>
      <c r="I80" s="58" t="inlineStr">
        <is>
          <t xml:space="preserve">Jan 2027 (first annual RBME report)</t>
        </is>
      </c>
      <c r="J80" s="57" t="inlineStr">
        <is>
          <t xml:space="preserve">No cost</t>
        </is>
      </c>
      <c r="K80" s="56" t="str">
        <f>A_CDRRMO!P91</f>
        <v>MOO Ch.7</v>
      </c>
      <c r="L80" s="58" t="s">
        <v>1235</v>
      </c>
      <c r="M80" s="19"/>
      <c r="N80" s="19"/>
      <c r="O80" s="19"/>
      <c r="P80" s="19"/>
      <c r="Q80" s="19"/>
      <c r="R80" s="19"/>
      <c r="S80" s="19"/>
      <c r="T80" s="19"/>
      <c r="U80" s="19"/>
      <c r="V80" s="19"/>
      <c r="W80" s="19"/>
      <c r="X80" s="19"/>
      <c r="Y80" s="19"/>
      <c r="Z80" s="19"/>
    </row>
    <row r="81" ht="15.0" customHeight="1">
      <c r="A81" s="55" t="str">
        <f>A_CDRRMO!A92</f>
        <v>A10.5</v>
      </c>
      <c r="B81" s="56" t="str">
        <f>A_CDRRMO!C92</f>
        <v>Full Disclosure Policy: LDRRMF and utilization posted publicly</v>
      </c>
      <c r="C81" s="55" t="str">
        <f>A_CDRRMO!E92</f>
        <v>M</v>
      </c>
      <c r="D81" s="55">
        <f>IF(A_CDRRMO!I92="","",A_CDRRMO!I92)</f>
        <v>4</v>
      </c>
      <c r="E81" s="55" t="str">
        <f>A_CDRRMO!N92</f>
        <v>Low</v>
      </c>
      <c r="F81" s="56" t="str">
        <f>A_CDRRMO!O92</f>
        <v>Compliant</v>
      </c>
      <c r="G81" s="56" t="str">
        <f>IF(A_CDRRMO!L92="","",A_CDRRMO!L92)</f>
        <v>Maintain.</v>
      </c>
      <c r="H81" s="57" t="s">
        <v>1278</v>
      </c>
      <c r="I81" s="58" t="s">
        <v>1240</v>
      </c>
      <c r="J81" s="57" t="inlineStr">
        <is>
          <t xml:space="preserve">No cost</t>
        </is>
      </c>
      <c r="K81" s="56" t="str">
        <f>A_CDRRMO!P92</f>
        <v>MOO Ch.5</v>
      </c>
      <c r="L81" s="58" t="s">
        <v>1242</v>
      </c>
      <c r="M81" s="19"/>
      <c r="N81" s="19"/>
      <c r="O81" s="19"/>
      <c r="P81" s="19"/>
      <c r="Q81" s="19"/>
      <c r="R81" s="19"/>
      <c r="S81" s="19"/>
      <c r="T81" s="19"/>
      <c r="U81" s="19"/>
      <c r="V81" s="19"/>
      <c r="W81" s="19"/>
      <c r="X81" s="19"/>
      <c r="Y81" s="19"/>
      <c r="Z81" s="19"/>
    </row>
    <row r="82" ht="21.75" customHeight="1">
      <c r="A82" s="55" t="str">
        <f>A_CDRRMO!A93</f>
        <v>A10.6</v>
      </c>
      <c r="B82" s="56" t="str">
        <f>A_CDRRMO!C93</f>
        <v>After-action reviews conducted after significant events and lessons integrated into plans</v>
      </c>
      <c r="C82" s="55" t="str">
        <f>A_CDRRMO!E93</f>
        <v>GP</v>
      </c>
      <c r="D82" s="55">
        <f>IF(A_CDRRMO!I93="","",A_CDRRMO!I93)</f>
        <v>4</v>
      </c>
      <c r="E82" s="55" t="str">
        <f>A_CDRRMO!N93</f>
        <v>Low</v>
      </c>
      <c r="F82" s="56" t="str">
        <f>A_CDRRMO!O93</f>
        <v>Meets GP</v>
      </c>
      <c r="G82" s="56" t="str">
        <f>IF(A_CDRRMO!L93="","",A_CDRRMO!L93)</f>
        <v>Maintain.</v>
      </c>
      <c r="H82" s="57" t="s">
        <v>1298</v>
      </c>
      <c r="I82" s="58" t="s">
        <v>1318</v>
      </c>
      <c r="J82" s="57" t="inlineStr">
        <is>
          <t xml:space="preserve">No cost</t>
        </is>
      </c>
      <c r="K82" s="56" t="str">
        <f>A_CDRRMO!P93</f>
        <v>MOO Ch.7</v>
      </c>
      <c r="L82" s="58" t="s">
        <v>1242</v>
      </c>
      <c r="M82" s="19"/>
      <c r="N82" s="19"/>
      <c r="O82" s="19"/>
      <c r="P82" s="19"/>
      <c r="Q82" s="19"/>
      <c r="R82" s="19"/>
      <c r="S82" s="19"/>
      <c r="T82" s="19"/>
      <c r="U82" s="19"/>
      <c r="V82" s="19"/>
      <c r="W82" s="19"/>
      <c r="X82" s="19"/>
      <c r="Y82" s="19"/>
      <c r="Z82" s="19"/>
    </row>
    <row r="83" ht="32.25" customHeight="1">
      <c r="A83" s="55" t="str">
        <f>A_CDRRMO!A94</f>
        <v>A10.7</v>
      </c>
      <c r="B83" s="56" t="str">
        <f>A_CDRRMO!C94</f>
        <v>Participation in performance recognition/assessment systems (Gawad KALASAG Seal, SGLG Disaster Preparedness) and gaps acted upon</v>
      </c>
      <c r="C83" s="55" t="str">
        <f>A_CDRRMO!E94</f>
        <v>GP</v>
      </c>
      <c r="D83" s="55">
        <f>IF(A_CDRRMO!I94="","",A_CDRRMO!I94)</f>
        <v>3</v>
      </c>
      <c r="E83" s="55" t="str">
        <f>A_CDRRMO!N94</f>
        <v>Low</v>
      </c>
      <c r="F83" s="56" t="str">
        <f>A_CDRRMO!O94</f>
        <v>Meets GP</v>
      </c>
      <c r="G83" s="56" t="str">
        <f>IF(A_CDRRMO!L94="","",A_CDRRMO!L94)</f>
        <v>Keep participating; track gaps from GKS/SGLG results.</v>
      </c>
      <c r="H83" s="57" t="s">
        <v>1298</v>
      </c>
      <c r="I83" s="58" t="s">
        <v>1277</v>
      </c>
      <c r="J83" s="57" t="inlineStr">
        <is>
          <t xml:space="preserve">No cost</t>
        </is>
      </c>
      <c r="K83" s="56" t="str">
        <f>A_CDRRMO!P94</f>
        <v>MOO Ch.7</v>
      </c>
      <c r="L83" s="58" t="s">
        <v>1242</v>
      </c>
      <c r="M83" s="19"/>
      <c r="N83" s="19"/>
      <c r="O83" s="19"/>
      <c r="P83" s="19"/>
      <c r="Q83" s="19"/>
      <c r="R83" s="19"/>
      <c r="S83" s="19"/>
      <c r="T83" s="19"/>
      <c r="U83" s="19"/>
      <c r="V83" s="19"/>
      <c r="W83" s="19"/>
      <c r="X83" s="19"/>
      <c r="Y83" s="19"/>
      <c r="Z83" s="19"/>
    </row>
    <row r="84" ht="42.75" customHeight="1">
      <c r="A84" s="55" t="str">
        <f>A_CDRRMO!A95</f>
        <v>A10.8</v>
      </c>
      <c r="B84" s="56" t="str">
        <f>A_CDRRMO!C95</f>
        <v>Post-declaration report within 45 days of lifting a State of Imminent Disaster (declaration status, AA fund utilization, estimated economic and social costs minimized); reporting route confirmed with OCD VIII</v>
      </c>
      <c r="C84" s="55" t="str">
        <f>A_CDRRMO!E95</f>
        <v>M</v>
      </c>
      <c r="D84" s="55">
        <f>IF(A_CDRRMO!I95="","",A_CDRRMO!I95)</f>
        <v>0</v>
      </c>
      <c r="E84" s="55" t="str">
        <f>A_CDRRMO!N95</f>
        <v>High</v>
      </c>
      <c r="F84" s="56" t="str">
        <f>A_CDRRMO!O95</f>
        <v>Non-compliant</v>
      </c>
      <c r="G84" s="56" t="str">
        <f>IF(A_CDRRMO!L95="","",A_CDRRMO!L95)</f>
        <v>Prepare the 45-day post-declaration report template and confirm the reporting route with OCD VIII.</v>
      </c>
      <c r="H84" s="57" t="s">
        <v>1298</v>
      </c>
      <c r="I84" s="58" t="s">
        <v>1244</v>
      </c>
      <c r="J84" s="57" t="s">
        <v>1238</v>
      </c>
      <c r="K84" s="56" t="str">
        <f>A_CDRRMO!P95</f>
        <v>MOO Ch.7 / EOC Ch.5</v>
      </c>
      <c r="L84" s="58" t="s">
        <v>1242</v>
      </c>
      <c r="M84" s="19"/>
      <c r="N84" s="19"/>
      <c r="O84" s="19"/>
      <c r="P84" s="19"/>
      <c r="Q84" s="19"/>
      <c r="R84" s="19"/>
      <c r="S84" s="19"/>
      <c r="T84" s="19"/>
      <c r="U84" s="19"/>
      <c r="V84" s="19"/>
      <c r="W84" s="19"/>
      <c r="X84" s="19"/>
      <c r="Y84" s="19"/>
      <c r="Z84" s="19"/>
    </row>
    <row r="85" ht="21.75" customHeight="1">
      <c r="A85" s="55" t="str">
        <f>A_CDRRMO!A96</f>
        <v>A10.9</v>
      </c>
      <c r="B85" s="56" t="str">
        <f>A_CDRRMO!C96</f>
        <v>Structured learning from other LGUs and networks (exchanges, OCD forums, MCR2030), with resulting changes documented</v>
      </c>
      <c r="C85" s="55" t="str">
        <f>A_CDRRMO!E96</f>
        <v>GP</v>
      </c>
      <c r="D85" s="55">
        <f>IF(A_CDRRMO!I96="","",A_CDRRMO!I96)</f>
        <v>2</v>
      </c>
      <c r="E85" s="55" t="str">
        <f>A_CDRRMO!N96</f>
        <v>Low</v>
      </c>
      <c r="F85" s="56" t="str">
        <f>A_CDRRMO!O96</f>
        <v>Below GP</v>
      </c>
      <c r="G85" s="56" t="str">
        <f>IF(A_CDRRMO!L96="","",A_CDRRMO!L96)</f>
        <v>Document changes adopted from exchanges.</v>
      </c>
      <c r="H85" s="57" t="s">
        <v>1298</v>
      </c>
      <c r="I85" s="58" t="s">
        <v>1277</v>
      </c>
      <c r="J85" s="57" t="inlineStr">
        <is>
          <t xml:space="preserve">LDRRMF 70% (learning exchanges)</t>
        </is>
      </c>
      <c r="K85" s="56" t="str">
        <f>A_CDRRMO!P96</f>
        <v>MOO Ch.7</v>
      </c>
      <c r="L85" s="58" t="s">
        <v>1242</v>
      </c>
      <c r="M85" s="19"/>
      <c r="N85" s="19"/>
      <c r="O85" s="19"/>
      <c r="P85" s="19"/>
      <c r="Q85" s="19"/>
      <c r="R85" s="19"/>
      <c r="S85" s="19"/>
      <c r="T85" s="19"/>
      <c r="U85" s="19"/>
      <c r="V85" s="19"/>
      <c r="W85" s="19"/>
      <c r="X85" s="19"/>
      <c r="Y85" s="19"/>
      <c r="Z85" s="19"/>
    </row>
    <row r="86" ht="21.75" customHeight="1">
      <c r="A86" s="55" t="str">
        <f>B_EOC!A6</f>
        <v>B1.1</v>
      </c>
      <c r="B86" s="56" t="str">
        <f>B_EOC!C6</f>
        <v>EOC established by EO/ordinance with defined mandate, authority and relationship to CDRRMC and ICS</v>
      </c>
      <c r="C86" s="55" t="str">
        <f>B_EOC!E6</f>
        <v>M</v>
      </c>
      <c r="D86" s="55">
        <f>IF(B_EOC!I6="","",B_EOC!I6)</f>
        <v>2</v>
      </c>
      <c r="E86" s="55" t="str">
        <f>B_EOC!N6</f>
        <v>High</v>
      </c>
      <c r="F86" s="56" t="str">
        <f>B_EOC!O6</f>
        <v>Non-compliant</v>
      </c>
      <c r="G86" s="56" t="str">
        <f>IF(B_EOC!L6="","",B_EOC!L6)</f>
        <v>Issue an EO establishing the City EOC per NDRRMC Memo 131 s.2018: OpCen becomes the EOC on activation; EOC links clusters (resource providers) and IMT (resource user); EOC not co-located with the ICP.</v>
      </c>
      <c r="H86" s="57" t="s">
        <v>1309</v>
      </c>
      <c r="I86" s="58" t="s">
        <v>1244</v>
      </c>
      <c r="J86" s="57" t="s">
        <v>1238</v>
      </c>
      <c r="K86" s="56" t="str">
        <f>B_EOC!P6</f>
        <v>EOC Ch.1 Legal Basis</v>
      </c>
      <c r="L86" s="58" t="s">
        <v>1242</v>
      </c>
      <c r="M86" s="19"/>
      <c r="N86" s="19"/>
      <c r="O86" s="19"/>
      <c r="P86" s="19"/>
      <c r="Q86" s="19"/>
      <c r="R86" s="19"/>
      <c r="S86" s="19"/>
      <c r="T86" s="19"/>
      <c r="U86" s="19"/>
      <c r="V86" s="19"/>
      <c r="W86" s="19"/>
      <c r="X86" s="19"/>
      <c r="Y86" s="19"/>
      <c r="Z86" s="19"/>
    </row>
    <row r="87" ht="32.25" customHeight="1">
      <c r="A87" s="55" t="str">
        <f>B_EOC!A7</f>
        <v>B1.2</v>
      </c>
      <c r="B87" s="56" t="str">
        <f>B_EOC!C7</f>
        <v>Alert/activation levels defined (e.g., White-normal, Blue-alert, Red-full activation) with hazard-based triggers and a defined EOC posture when a State of Imminent Disaster is declared</v>
      </c>
      <c r="C87" s="55" t="str">
        <f>B_EOC!E7</f>
        <v>M</v>
      </c>
      <c r="D87" s="55">
        <f>IF(B_EOC!I7="","",B_EOC!I7)</f>
        <v>2</v>
      </c>
      <c r="E87" s="55" t="str">
        <f>B_EOC!N7</f>
        <v>High</v>
      </c>
      <c r="F87" s="56" t="str">
        <f>B_EOC!O7</f>
        <v>Non-compliant</v>
      </c>
      <c r="G87" s="56" t="str">
        <f>IF(B_EOC!L7="","",B_EOC!L7)</f>
        <v>Write the activation matrix using NDRRMC Memo 131 s.2018 triggers (9.2.1) and standard alert codes, with the SID posture (IRR Rule IV Sec. 1).</v>
      </c>
      <c r="H87" s="57" t="s">
        <v>1257</v>
      </c>
      <c r="I87" s="58" t="s">
        <v>1244</v>
      </c>
      <c r="J87" s="57" t="s">
        <v>1238</v>
      </c>
      <c r="K87" s="56" t="str">
        <f>B_EOC!P7</f>
        <v>EOC Ch.2 Concept of Operations</v>
      </c>
      <c r="L87" s="58" t="s">
        <v>1242</v>
      </c>
      <c r="M87" s="19"/>
      <c r="N87" s="19"/>
      <c r="O87" s="19"/>
      <c r="P87" s="19"/>
      <c r="Q87" s="19"/>
      <c r="R87" s="19"/>
      <c r="S87" s="19"/>
      <c r="T87" s="19"/>
      <c r="U87" s="19"/>
      <c r="V87" s="19"/>
      <c r="W87" s="19"/>
      <c r="X87" s="19"/>
      <c r="Y87" s="19"/>
      <c r="Z87" s="19"/>
    </row>
    <row r="88" ht="21.75" customHeight="1">
      <c r="A88" s="55" t="str">
        <f>B_EOC!A8</f>
        <v>B1.3</v>
      </c>
      <c r="B88" s="56" t="str">
        <f>B_EOC!C8</f>
        <v>Activation, escalation, de-escalation and deactivation procedures with designated authority</v>
      </c>
      <c r="C88" s="55" t="str">
        <f>B_EOC!E8</f>
        <v>M</v>
      </c>
      <c r="D88" s="55">
        <f>IF(B_EOC!I8="","",B_EOC!I8)</f>
        <v>2</v>
      </c>
      <c r="E88" s="55" t="str">
        <f>B_EOC!N8</f>
        <v>High</v>
      </c>
      <c r="F88" s="56" t="str">
        <f>B_EOC!O8</f>
        <v>Non-compliant</v>
      </c>
      <c r="G88" s="56" t="str">
        <f>IF(B_EOC!L8="","",B_EOC!L8)</f>
        <v>Add escalation/de-escalation/deactivation steps and authority (NDRRMC Memo 131 s.2018 deactivation triggers) to EOC Manual Ch.2.</v>
      </c>
      <c r="H88" s="57" t="s">
        <v>1298</v>
      </c>
      <c r="I88" s="58" t="s">
        <v>1244</v>
      </c>
      <c r="J88" s="57" t="s">
        <v>1238</v>
      </c>
      <c r="K88" s="56" t="str">
        <f>B_EOC!P8</f>
        <v>EOC Ch.2</v>
      </c>
      <c r="L88" s="58" t="s">
        <v>1242</v>
      </c>
      <c r="M88" s="19"/>
      <c r="N88" s="19"/>
      <c r="O88" s="19"/>
      <c r="P88" s="19"/>
      <c r="Q88" s="19"/>
      <c r="R88" s="19"/>
      <c r="S88" s="19"/>
      <c r="T88" s="19"/>
      <c r="U88" s="19"/>
      <c r="V88" s="19"/>
      <c r="W88" s="19"/>
      <c r="X88" s="19"/>
      <c r="Y88" s="19"/>
      <c r="Z88" s="19"/>
    </row>
    <row r="89" ht="21.75" customHeight="1">
      <c r="A89" s="55" t="str">
        <f>B_EOC!A9</f>
        <v>B1.4</v>
      </c>
      <c r="B89" s="56" t="str">
        <f>B_EOC!C9</f>
        <v>Concept of operations documents EOC functions: coordination, information management, resource management, policy support</v>
      </c>
      <c r="C89" s="55" t="str">
        <f>B_EOC!E9</f>
        <v>M</v>
      </c>
      <c r="D89" s="55">
        <f>IF(B_EOC!I9="","",B_EOC!I9)</f>
        <v>1</v>
      </c>
      <c r="E89" s="55" t="str">
        <f>B_EOC!N9</f>
        <v>High</v>
      </c>
      <c r="F89" s="56" t="str">
        <f>B_EOC!O9</f>
        <v>Non-compliant</v>
      </c>
      <c r="G89" s="56" t="str">
        <f>IF(B_EOC!L9="","",B_EOC!L9)</f>
        <v>Write the ConOps in EOC Manual Ch.2 around the five NDRRMC Memo 131 s.2018 functions: Management, Operations, Planning, Logistics, Finance/Admin.</v>
      </c>
      <c r="H89" s="57" t="s">
        <v>1298</v>
      </c>
      <c r="I89" s="58" t="s">
        <v>1244</v>
      </c>
      <c r="J89" s="57" t="s">
        <v>1258</v>
      </c>
      <c r="K89" s="56" t="str">
        <f>B_EOC!P9</f>
        <v>EOC Ch.2</v>
      </c>
      <c r="L89" s="58" t="s">
        <v>1242</v>
      </c>
      <c r="M89" s="19"/>
      <c r="N89" s="19"/>
      <c r="O89" s="19"/>
      <c r="P89" s="19"/>
      <c r="Q89" s="19"/>
      <c r="R89" s="19"/>
      <c r="S89" s="19"/>
      <c r="T89" s="19"/>
      <c r="U89" s="19"/>
      <c r="V89" s="19"/>
      <c r="W89" s="19"/>
      <c r="X89" s="19"/>
      <c r="Y89" s="19"/>
      <c r="Z89" s="19"/>
    </row>
    <row r="90" ht="21.75" customHeight="1">
      <c r="A90" s="55" t="str">
        <f>B_EOC!A10</f>
        <v>B1.5</v>
      </c>
      <c r="B90" s="56" t="str">
        <f>B_EOC!C10</f>
        <v>EOC linkage to Provincial (Leyte) and Regional (OCD VIII) EOCs defined</v>
      </c>
      <c r="C90" s="55" t="str">
        <f>B_EOC!E10</f>
        <v>M</v>
      </c>
      <c r="D90" s="55">
        <f>IF(B_EOC!I10="","",B_EOC!I10)</f>
        <v>2</v>
      </c>
      <c r="E90" s="55" t="str">
        <f>B_EOC!N10</f>
        <v>Medium</v>
      </c>
      <c r="F90" s="56" t="str">
        <f>B_EOC!O10</f>
        <v>Non-compliant</v>
      </c>
      <c r="G90" s="56" t="str">
        <f>IF(B_EOC!L10="","",B_EOC!L10)</f>
        <v>Write the vertical coordination protocol (reporting times by alert level, channels, RDRRMC 24-h reply for SID requests).</v>
      </c>
      <c r="H90" s="57" t="s">
        <v>1298</v>
      </c>
      <c r="I90" s="58" t="s">
        <v>1244</v>
      </c>
      <c r="J90" s="57" t="s">
        <v>1238</v>
      </c>
      <c r="K90" s="56" t="str">
        <f>B_EOC!P10</f>
        <v>EOC Ch.2</v>
      </c>
      <c r="L90" s="58" t="s">
        <v>1242</v>
      </c>
      <c r="M90" s="19"/>
      <c r="N90" s="19"/>
      <c r="O90" s="19"/>
      <c r="P90" s="19"/>
      <c r="Q90" s="19"/>
      <c r="R90" s="19"/>
      <c r="S90" s="19"/>
      <c r="T90" s="19"/>
      <c r="U90" s="19"/>
      <c r="V90" s="19"/>
      <c r="W90" s="19"/>
      <c r="X90" s="19"/>
      <c r="Y90" s="19"/>
      <c r="Z90" s="19"/>
    </row>
    <row r="91" ht="21.75" customHeight="1">
      <c r="A91" s="55" t="str">
        <f>B_EOC!A12</f>
        <v>B2.1</v>
      </c>
      <c r="B91" s="56" t="str">
        <f>B_EOC!C12</f>
        <v>EOC site located outside high flood, landslide, tsunami and liquefaction zones (checked vs hazard maps)</v>
      </c>
      <c r="C91" s="55" t="str">
        <f>B_EOC!E12</f>
        <v>M</v>
      </c>
      <c r="D91" s="55" t="str">
        <f>IF(B_EOC!I12="","",B_EOC!I12)</f>
        <v/>
      </c>
      <c r="E91" s="55" t="str">
        <f>B_EOC!N12</f>
        <v/>
      </c>
      <c r="F91" s="56" t="str">
        <f>B_EOC!O12</f>
        <v>Not scored</v>
      </c>
      <c r="G91" s="56" t="str">
        <f>IF(B_EOC!L12="","",B_EOC!L12)</f>
        <v>Overlay the EOC site on GeoRiskPH hazard maps during the site visit; use the OCD EOC Capability Assessment Checklist.</v>
      </c>
      <c r="H91" s="57" t="s">
        <v>1265</v>
      </c>
      <c r="I91" s="58" t="inlineStr">
        <is>
          <t xml:space="preserve">Q4 2026 site visit</t>
        </is>
      </c>
      <c r="J91" s="57" t="s">
        <v>1238</v>
      </c>
      <c r="K91" s="56" t="str">
        <f>B_EOC!P12</f>
        <v>EOC Ch.3 Facility</v>
      </c>
      <c r="L91" s="58" t="s">
        <v>1235</v>
      </c>
      <c r="M91" s="19"/>
      <c r="N91" s="19"/>
      <c r="O91" s="19"/>
      <c r="P91" s="19"/>
      <c r="Q91" s="19"/>
      <c r="R91" s="19"/>
      <c r="S91" s="19"/>
      <c r="T91" s="19"/>
      <c r="U91" s="19"/>
      <c r="V91" s="19"/>
      <c r="W91" s="19"/>
      <c r="X91" s="19"/>
      <c r="Y91" s="19"/>
      <c r="Z91" s="19"/>
    </row>
    <row r="92" ht="21.75" customHeight="1">
      <c r="A92" s="55" t="str">
        <f>B_EOC!A13</f>
        <v>B2.2</v>
      </c>
      <c r="B92" s="56" t="str">
        <f>B_EOC!C13</f>
        <v>Building structural integrity assessed (seismic - Philippine Fault proximity) and certified</v>
      </c>
      <c r="C92" s="55" t="str">
        <f>B_EOC!E13</f>
        <v>M</v>
      </c>
      <c r="D92" s="55" t="str">
        <f>IF(B_EOC!I13="","",B_EOC!I13)</f>
        <v/>
      </c>
      <c r="E92" s="55" t="str">
        <f>B_EOC!N13</f>
        <v/>
      </c>
      <c r="F92" s="56" t="str">
        <f>B_EOC!O13</f>
        <v>Not scored</v>
      </c>
      <c r="G92" s="56" t="str">
        <f>IF(B_EOC!L13="","",B_EOC!L13)</f>
        <v>Request a structural assessment of the EOC building (see C2.1).</v>
      </c>
      <c r="H92" s="57" t="s">
        <v>1141</v>
      </c>
      <c r="I92" s="58" t="s">
        <v>1259</v>
      </c>
      <c r="J92" s="57" t="s">
        <v>1320</v>
      </c>
      <c r="K92" s="56" t="str">
        <f>B_EOC!P13</f>
        <v>EOC Ch.3</v>
      </c>
      <c r="L92" s="58" t="s">
        <v>1235</v>
      </c>
      <c r="M92" s="19"/>
      <c r="N92" s="19"/>
      <c r="O92" s="19"/>
      <c r="P92" s="19"/>
      <c r="Q92" s="19"/>
      <c r="R92" s="19"/>
      <c r="S92" s="19"/>
      <c r="T92" s="19"/>
      <c r="U92" s="19"/>
      <c r="V92" s="19"/>
      <c r="W92" s="19"/>
      <c r="X92" s="19"/>
      <c r="Y92" s="19"/>
      <c r="Z92" s="19"/>
    </row>
    <row r="93" ht="21.75" customHeight="1">
      <c r="A93" s="55" t="str">
        <f>B_EOC!A14</f>
        <v>B2.3</v>
      </c>
      <c r="B93" s="56" t="str">
        <f>B_EOC!C14</f>
        <v>Backup power (generator + fuel for &gt;=72 hours, UPS) tested regularly</v>
      </c>
      <c r="C93" s="55" t="str">
        <f>B_EOC!E14</f>
        <v>M</v>
      </c>
      <c r="D93" s="55" t="str">
        <f>IF(B_EOC!I14="","",B_EOC!I14)</f>
        <v/>
      </c>
      <c r="E93" s="55" t="str">
        <f>B_EOC!N14</f>
        <v/>
      </c>
      <c r="F93" s="56" t="str">
        <f>B_EOC!O14</f>
        <v>Not scored</v>
      </c>
      <c r="G93" s="56" t="str">
        <f>IF(B_EOC!L14="","",B_EOC!L14)</f>
        <v>Test generator and UPS monthly; keep 72-hour fuel.</v>
      </c>
      <c r="H93" s="57" t="s">
        <v>1310</v>
      </c>
      <c r="I93" s="58" t="inlineStr">
        <is>
          <t xml:space="preserve">Q4 2026 site visit; monthly tests after</t>
        </is>
      </c>
      <c r="J93" s="57" t="s">
        <v>1311</v>
      </c>
      <c r="K93" s="56" t="str">
        <f>B_EOC!P14</f>
        <v>EOC Ch.3</v>
      </c>
      <c r="L93" s="58" t="s">
        <v>1235</v>
      </c>
      <c r="M93" s="19"/>
      <c r="N93" s="19"/>
      <c r="O93" s="19"/>
      <c r="P93" s="19"/>
      <c r="Q93" s="19"/>
      <c r="R93" s="19"/>
      <c r="S93" s="19"/>
      <c r="T93" s="19"/>
      <c r="U93" s="19"/>
      <c r="V93" s="19"/>
      <c r="W93" s="19"/>
      <c r="X93" s="19"/>
      <c r="Y93" s="19"/>
      <c r="Z93" s="19"/>
    </row>
    <row r="94" ht="21.75" customHeight="1">
      <c r="A94" s="55" t="str">
        <f>B_EOC!A15</f>
        <v>B2.4</v>
      </c>
      <c r="B94" s="56" t="str">
        <f>B_EOC!C15</f>
        <v>Functional layout: operations floor, briefing/decision room, comms room, rest area, sanitation, kitchen</v>
      </c>
      <c r="C94" s="55" t="str">
        <f>B_EOC!E15</f>
        <v>GP</v>
      </c>
      <c r="D94" s="55" t="str">
        <f>IF(B_EOC!I15="","",B_EOC!I15)</f>
        <v/>
      </c>
      <c r="E94" s="55" t="str">
        <f>B_EOC!N15</f>
        <v/>
      </c>
      <c r="F94" s="56" t="str">
        <f>B_EOC!O15</f>
        <v>Not scored</v>
      </c>
      <c r="G94" s="56" t="str">
        <f>IF(B_EOC!L15="","",B_EOC!L15)</f>
        <v>Check layout against the EOC Capability Assessment Checklist.</v>
      </c>
      <c r="H94" s="57" t="s">
        <v>1298</v>
      </c>
      <c r="I94" s="58" t="inlineStr">
        <is>
          <t xml:space="preserve">Q4 2026 site visit</t>
        </is>
      </c>
      <c r="J94" s="57" t="inlineStr">
        <is>
          <t xml:space="preserve">No cost (assessment); LDRRMF 70% for fixes</t>
        </is>
      </c>
      <c r="K94" s="56" t="str">
        <f>B_EOC!P15</f>
        <v>EOC Ch.3</v>
      </c>
      <c r="L94" s="58" t="s">
        <v>1235</v>
      </c>
      <c r="M94" s="19"/>
      <c r="N94" s="19"/>
      <c r="O94" s="19"/>
      <c r="P94" s="19"/>
      <c r="Q94" s="19"/>
      <c r="R94" s="19"/>
      <c r="S94" s="19"/>
      <c r="T94" s="19"/>
      <c r="U94" s="19"/>
      <c r="V94" s="19"/>
      <c r="W94" s="19"/>
      <c r="X94" s="19"/>
      <c r="Y94" s="19"/>
      <c r="Z94" s="19"/>
    </row>
    <row r="95" ht="15.0" customHeight="1">
      <c r="A95" s="55" t="str">
        <f>B_EOC!A16</f>
        <v>B2.5</v>
      </c>
      <c r="B95" s="56" t="str">
        <f>B_EOC!C16</f>
        <v>Water, food and sanitation supplies for EOC staff for &gt;=72 hours</v>
      </c>
      <c r="C95" s="55" t="str">
        <f>B_EOC!E16</f>
        <v>GP</v>
      </c>
      <c r="D95" s="55" t="str">
        <f>IF(B_EOC!I16="","",B_EOC!I16)</f>
        <v/>
      </c>
      <c r="E95" s="55" t="str">
        <f>B_EOC!N16</f>
        <v/>
      </c>
      <c r="F95" s="56" t="str">
        <f>B_EOC!O16</f>
        <v>Not scored</v>
      </c>
      <c r="G95" s="56" t="str">
        <f>IF(B_EOC!L16="","",B_EOC!L16)</f>
        <v>Stock 72-hour water, food and sanitation supplies for EOC staff.</v>
      </c>
      <c r="H95" s="57" t="s">
        <v>1310</v>
      </c>
      <c r="I95" s="58" t="inlineStr">
        <is>
          <t xml:space="preserve">Q1 2027</t>
        </is>
      </c>
      <c r="J95" s="57" t="s">
        <v>1263</v>
      </c>
      <c r="K95" s="56" t="str">
        <f>B_EOC!P16</f>
        <v>EOC Ch.3</v>
      </c>
      <c r="L95" s="58" t="s">
        <v>1235</v>
      </c>
      <c r="M95" s="19"/>
      <c r="N95" s="19"/>
      <c r="O95" s="19"/>
      <c r="P95" s="19"/>
      <c r="Q95" s="19"/>
      <c r="R95" s="19"/>
      <c r="S95" s="19"/>
      <c r="T95" s="19"/>
      <c r="U95" s="19"/>
      <c r="V95" s="19"/>
      <c r="W95" s="19"/>
      <c r="X95" s="19"/>
      <c r="Y95" s="19"/>
      <c r="Z95" s="19"/>
    </row>
    <row r="96" ht="15.0" customHeight="1">
      <c r="A96" s="55" t="str">
        <f>B_EOC!A17</f>
        <v>B2.6</v>
      </c>
      <c r="B96" s="56" t="str">
        <f>B_EOC!C17</f>
        <v>Physical security and access control (ID, visitor log, CCTV)</v>
      </c>
      <c r="C96" s="55" t="str">
        <f>B_EOC!E17</f>
        <v>GP</v>
      </c>
      <c r="D96" s="55" t="str">
        <f>IF(B_EOC!I17="","",B_EOC!I17)</f>
        <v/>
      </c>
      <c r="E96" s="55" t="str">
        <f>B_EOC!N17</f>
        <v/>
      </c>
      <c r="F96" s="56" t="str">
        <f>B_EOC!O17</f>
        <v>Not scored</v>
      </c>
      <c r="G96" s="56" t="str">
        <f>IF(B_EOC!L17="","",B_EOC!L17)</f>
        <v>Set ID and visitor log rules.</v>
      </c>
      <c r="H96" s="57" t="s">
        <v>1298</v>
      </c>
      <c r="I96" s="58" t="inlineStr">
        <is>
          <t xml:space="preserve">Q1 2027</t>
        </is>
      </c>
      <c r="J96" s="57" t="inlineStr">
        <is>
          <t xml:space="preserve">LDRRMF 70% (MOOE)</t>
        </is>
      </c>
      <c r="K96" s="56" t="str">
        <f>B_EOC!P17</f>
        <v>EOC Ch.3</v>
      </c>
      <c r="L96" s="58" t="s">
        <v>1235</v>
      </c>
      <c r="M96" s="19"/>
      <c r="N96" s="19"/>
      <c r="O96" s="19"/>
      <c r="P96" s="19"/>
      <c r="Q96" s="19"/>
      <c r="R96" s="19"/>
      <c r="S96" s="19"/>
      <c r="T96" s="19"/>
      <c r="U96" s="19"/>
      <c r="V96" s="19"/>
      <c r="W96" s="19"/>
      <c r="X96" s="19"/>
      <c r="Y96" s="19"/>
      <c r="Z96" s="19"/>
    </row>
    <row r="97" ht="21.75" customHeight="1">
      <c r="A97" s="55" t="str">
        <f>B_EOC!A18</f>
        <v>B2.7</v>
      </c>
      <c r="B97" s="56" t="str">
        <f>B_EOC!C18</f>
        <v>Designated and equipped alternate EOC with relocation procedure</v>
      </c>
      <c r="C97" s="55" t="str">
        <f>B_EOC!E18</f>
        <v>M</v>
      </c>
      <c r="D97" s="55" t="str">
        <f>IF(B_EOC!I18="","",B_EOC!I18)</f>
        <v/>
      </c>
      <c r="E97" s="55" t="str">
        <f>B_EOC!N18</f>
        <v/>
      </c>
      <c r="F97" s="56" t="str">
        <f>B_EOC!O18</f>
        <v>Not scored</v>
      </c>
      <c r="G97" s="56" t="str">
        <f>IF(B_EOC!L18="","",B_EOC!L18)</f>
        <v>Designate and equip an alternate EOC through the PSCP; write the relocation procedure and drill it.</v>
      </c>
      <c r="H97" s="57" t="inlineStr">
        <is>
          <t xml:space="preserve">CDRRMO; GSO; PSCP team</t>
        </is>
      </c>
      <c r="I97" s="58" t="s">
        <v>1246</v>
      </c>
      <c r="J97" s="57" t="s">
        <v>1263</v>
      </c>
      <c r="K97" s="56" t="str">
        <f>B_EOC!P18</f>
        <v>EOC Ch.3 / Ch.7</v>
      </c>
      <c r="L97" s="58" t="s">
        <v>1235</v>
      </c>
      <c r="M97" s="19"/>
      <c r="N97" s="19"/>
      <c r="O97" s="19"/>
      <c r="P97" s="19"/>
      <c r="Q97" s="19"/>
      <c r="R97" s="19"/>
      <c r="S97" s="19"/>
      <c r="T97" s="19"/>
      <c r="U97" s="19"/>
      <c r="V97" s="19"/>
      <c r="W97" s="19"/>
      <c r="X97" s="19"/>
      <c r="Y97" s="19"/>
      <c r="Z97" s="19"/>
    </row>
    <row r="98" ht="21.75" customHeight="1">
      <c r="A98" s="55" t="str">
        <f>B_EOC!A20</f>
        <v>B3.1</v>
      </c>
      <c r="B98" s="56" t="str">
        <f>B_EOC!C20</f>
        <v>Redundant communications: VHF/UHF radio, HF, satellite phone, landline, mobile, internet (min. 3 independent channels)</v>
      </c>
      <c r="C98" s="55" t="str">
        <f>B_EOC!E20</f>
        <v>M</v>
      </c>
      <c r="D98" s="55">
        <f>IF(B_EOC!I20="","",B_EOC!I20)</f>
        <v>2</v>
      </c>
      <c r="E98" s="55" t="str">
        <f>B_EOC!N20</f>
        <v>High</v>
      </c>
      <c r="F98" s="56" t="str">
        <f>B_EOC!O20</f>
        <v>Non-compliant</v>
      </c>
      <c r="G98" s="56" t="str">
        <f>IF(B_EOC!L20="","",B_EOC!L20)</f>
        <v>Inventory comms and test at least 3 independent channels (VHF, HF or satellite, landline/mobile); log a weekly radio check (RDRRMC8 practice: HF Tue/Fri, VHF Wed/Fri).</v>
      </c>
      <c r="H98" s="57" t="s">
        <v>1257</v>
      </c>
      <c r="I98" s="58" t="s">
        <v>1259</v>
      </c>
      <c r="J98" s="57" t="s">
        <v>1321</v>
      </c>
      <c r="K98" s="56" t="str">
        <f>B_EOC!P20</f>
        <v>EOC Ch.4 Communications</v>
      </c>
      <c r="L98" s="58" t="s">
        <v>1235</v>
      </c>
      <c r="M98" s="19"/>
      <c r="N98" s="19"/>
      <c r="O98" s="19"/>
      <c r="P98" s="19"/>
      <c r="Q98" s="19"/>
      <c r="R98" s="19"/>
      <c r="S98" s="19"/>
      <c r="T98" s="19"/>
      <c r="U98" s="19"/>
      <c r="V98" s="19"/>
      <c r="W98" s="19"/>
      <c r="X98" s="19"/>
      <c r="Y98" s="19"/>
      <c r="Z98" s="19"/>
    </row>
    <row r="99" ht="21.75" customHeight="1">
      <c r="A99" s="55" t="str">
        <f>B_EOC!A21</f>
        <v>B3.2</v>
      </c>
      <c r="B99" s="56" t="str">
        <f>B_EOC!C21</f>
        <v>Radio network covering all 85 barangays and responders, with call signs and net-control procedure</v>
      </c>
      <c r="C99" s="55" t="str">
        <f>B_EOC!E21</f>
        <v>M</v>
      </c>
      <c r="D99" s="55">
        <f>IF(B_EOC!I21="","",B_EOC!I21)</f>
        <v>2</v>
      </c>
      <c r="E99" s="55" t="str">
        <f>B_EOC!N21</f>
        <v>Medium</v>
      </c>
      <c r="F99" s="56" t="str">
        <f>B_EOC!O21</f>
        <v>Non-compliant</v>
      </c>
      <c r="G99" s="56" t="str">
        <f>IF(B_EOC!L21="","",B_EOC!L21)</f>
        <v>Run a radio coverage test for all 85 barangays; write net-control procedure and call signs; confirm NTC licences.</v>
      </c>
      <c r="H99" s="57" t="s">
        <v>1257</v>
      </c>
      <c r="I99" s="58" t="s">
        <v>1259</v>
      </c>
      <c r="J99" s="57" t="s">
        <v>1263</v>
      </c>
      <c r="K99" s="56" t="str">
        <f>B_EOC!P21</f>
        <v>EOC Ch.4</v>
      </c>
      <c r="L99" s="58" t="s">
        <v>1235</v>
      </c>
      <c r="M99" s="19"/>
      <c r="N99" s="19"/>
      <c r="O99" s="19"/>
      <c r="P99" s="19"/>
      <c r="Q99" s="19"/>
      <c r="R99" s="19"/>
      <c r="S99" s="19"/>
      <c r="T99" s="19"/>
      <c r="U99" s="19"/>
      <c r="V99" s="19"/>
      <c r="W99" s="19"/>
      <c r="X99" s="19"/>
      <c r="Y99" s="19"/>
      <c r="Z99" s="19"/>
    </row>
    <row r="100" ht="21.75" customHeight="1">
      <c r="A100" s="55" t="str">
        <f>B_EOC!A22</f>
        <v>B3.3</v>
      </c>
      <c r="B100" s="56" t="str">
        <f>B_EOC!C22</f>
        <v>Backup internet (secondary ISP/satellite) and continuity of digital systems</v>
      </c>
      <c r="C100" s="55" t="str">
        <f>B_EOC!E22</f>
        <v>GP</v>
      </c>
      <c r="D100" s="55" t="str">
        <f>IF(B_EOC!I22="","",B_EOC!I22)</f>
        <v/>
      </c>
      <c r="E100" s="55" t="str">
        <f>B_EOC!N22</f>
        <v/>
      </c>
      <c r="F100" s="56" t="str">
        <f>B_EOC!O22</f>
        <v>Not scored</v>
      </c>
      <c r="G100" s="56" t="str">
        <f>IF(B_EOC!L22="","",B_EOC!L22)</f>
        <v>Arrange a second ISP or satellite link and test failover.</v>
      </c>
      <c r="H100" s="57" t="s">
        <v>1322</v>
      </c>
      <c r="I100" s="58" t="s">
        <v>1271</v>
      </c>
      <c r="J100" s="57" t="s">
        <v>1294</v>
      </c>
      <c r="K100" s="56" t="str">
        <f>B_EOC!P22</f>
        <v>EOC Ch.4</v>
      </c>
      <c r="L100" s="58" t="s">
        <v>1235</v>
      </c>
      <c r="M100" s="19"/>
      <c r="N100" s="19"/>
      <c r="O100" s="19"/>
      <c r="P100" s="19"/>
      <c r="Q100" s="19"/>
      <c r="R100" s="19"/>
      <c r="S100" s="19"/>
      <c r="T100" s="19"/>
      <c r="U100" s="19"/>
      <c r="V100" s="19"/>
      <c r="W100" s="19"/>
      <c r="X100" s="19"/>
      <c r="Y100" s="19"/>
      <c r="Z100" s="19"/>
    </row>
    <row r="101" ht="21.75" customHeight="1">
      <c r="A101" s="55" t="str">
        <f>B_EOC!A23</f>
        <v>B3.4</v>
      </c>
      <c r="B101" s="56" t="str">
        <f>B_EOC!C23</f>
        <v>Communications plan/ directory (agencies, barangays, clusters) updated within last 6 months</v>
      </c>
      <c r="C101" s="55" t="str">
        <f>B_EOC!E23</f>
        <v>M</v>
      </c>
      <c r="D101" s="55" t="str">
        <f>IF(B_EOC!I23="","",B_EOC!I23)</f>
        <v/>
      </c>
      <c r="E101" s="55" t="str">
        <f>B_EOC!N23</f>
        <v/>
      </c>
      <c r="F101" s="56" t="str">
        <f>B_EOC!O23</f>
        <v>Not scored</v>
      </c>
      <c r="G101" s="56" t="str">
        <f>IF(B_EOC!L23="","",B_EOC!L23)</f>
        <v>Keep a directory of agencies, barangays and clusters; update every 6 months.</v>
      </c>
      <c r="H101" s="57" t="s">
        <v>1298</v>
      </c>
      <c r="I101" s="58" t="s">
        <v>1244</v>
      </c>
      <c r="J101" s="57" t="s">
        <v>1238</v>
      </c>
      <c r="K101" s="56" t="str">
        <f>B_EOC!P23</f>
        <v>EOC Ch.4</v>
      </c>
      <c r="L101" s="58" t="s">
        <v>1235</v>
      </c>
      <c r="M101" s="19"/>
      <c r="N101" s="19"/>
      <c r="O101" s="19"/>
      <c r="P101" s="19"/>
      <c r="Q101" s="19"/>
      <c r="R101" s="19"/>
      <c r="S101" s="19"/>
      <c r="T101" s="19"/>
      <c r="U101" s="19"/>
      <c r="V101" s="19"/>
      <c r="W101" s="19"/>
      <c r="X101" s="19"/>
      <c r="Y101" s="19"/>
      <c r="Z101" s="19"/>
    </row>
    <row r="102" ht="21.75" customHeight="1">
      <c r="A102" s="55" t="str">
        <f>B_EOC!A24</f>
        <v>B3.5</v>
      </c>
      <c r="B102" s="56" t="str">
        <f>B_EOC!C24</f>
        <v>Cybersecurity and information security measures for EOC systems</v>
      </c>
      <c r="C102" s="55" t="str">
        <f>B_EOC!E24</f>
        <v>GP</v>
      </c>
      <c r="D102" s="55" t="str">
        <f>IF(B_EOC!I24="","",B_EOC!I24)</f>
        <v/>
      </c>
      <c r="E102" s="55" t="str">
        <f>B_EOC!N24</f>
        <v/>
      </c>
      <c r="F102" s="56" t="str">
        <f>B_EOC!O24</f>
        <v>Not scored</v>
      </c>
      <c r="G102" s="56" t="str">
        <f>IF(B_EOC!L24="","",B_EOC!L24)</f>
        <v>Adopt a password/access and backup policy for EOC systems (RA 10173).</v>
      </c>
      <c r="H102" s="57" t="s">
        <v>1323</v>
      </c>
      <c r="I102" s="58" t="s">
        <v>1271</v>
      </c>
      <c r="J102" s="57" t="inlineStr">
        <is>
          <t xml:space="preserve">No cost (policy); City ICT budget</t>
        </is>
      </c>
      <c r="K102" s="56" t="str">
        <f>B_EOC!P24</f>
        <v>EOC Ch.4</v>
      </c>
      <c r="L102" s="58" t="s">
        <v>1235</v>
      </c>
      <c r="M102" s="19"/>
      <c r="N102" s="19"/>
      <c r="O102" s="19"/>
      <c r="P102" s="19"/>
      <c r="Q102" s="19"/>
      <c r="R102" s="19"/>
      <c r="S102" s="19"/>
      <c r="T102" s="19"/>
      <c r="U102" s="19"/>
      <c r="V102" s="19"/>
      <c r="W102" s="19"/>
      <c r="X102" s="19"/>
      <c r="Y102" s="19"/>
      <c r="Z102" s="19"/>
    </row>
    <row r="103" ht="21.75" customHeight="1">
      <c r="A103" s="55" t="str">
        <f>B_EOC!A25</f>
        <v>B3.6</v>
      </c>
      <c r="B103" s="56" t="str">
        <f>B_EOC!C25</f>
        <v>Display and monitoring equipment (video wall/monitors, weather feeds, CCTV feeds)</v>
      </c>
      <c r="C103" s="55" t="str">
        <f>B_EOC!E25</f>
        <v>GP</v>
      </c>
      <c r="D103" s="55" t="str">
        <f>IF(B_EOC!I25="","",B_EOC!I25)</f>
        <v/>
      </c>
      <c r="E103" s="55" t="str">
        <f>B_EOC!N25</f>
        <v/>
      </c>
      <c r="F103" s="56" t="str">
        <f>B_EOC!O25</f>
        <v>Not scored</v>
      </c>
      <c r="G103" s="56" t="str">
        <f>IF(B_EOC!L25="","",B_EOC!L25)</f>
        <v>Confirm displays for weather and CCTV feeds.</v>
      </c>
      <c r="H103" s="57" t="s">
        <v>1298</v>
      </c>
      <c r="I103" s="58" t="inlineStr">
        <is>
          <t xml:space="preserve">Q1 2027</t>
        </is>
      </c>
      <c r="J103" s="57" t="inlineStr">
        <is>
          <t xml:space="preserve">LDRRMF 70% (OpCen EWS/CCTV line)</t>
        </is>
      </c>
      <c r="K103" s="56" t="str">
        <f>B_EOC!P25</f>
        <v>EOC Ch.4</v>
      </c>
      <c r="L103" s="58" t="s">
        <v>1235</v>
      </c>
      <c r="M103" s="19"/>
      <c r="N103" s="19"/>
      <c r="O103" s="19"/>
      <c r="P103" s="19"/>
      <c r="Q103" s="19"/>
      <c r="R103" s="19"/>
      <c r="S103" s="19"/>
      <c r="T103" s="19"/>
      <c r="U103" s="19"/>
      <c r="V103" s="19"/>
      <c r="W103" s="19"/>
      <c r="X103" s="19"/>
      <c r="Y103" s="19"/>
      <c r="Z103" s="19"/>
    </row>
    <row r="104" ht="32.25" customHeight="1">
      <c r="A104" s="55" t="str">
        <f>B_EOC!A27</f>
        <v>B4.1</v>
      </c>
      <c r="B104" s="56" t="str">
        <f>B_EOC!C27</f>
        <v>EOC organizational structure defined (EOC Manager, Operations, Planning/Information, Logistics, Admin/Finance, liaison desks)</v>
      </c>
      <c r="C104" s="55" t="str">
        <f>B_EOC!E27</f>
        <v>M</v>
      </c>
      <c r="D104" s="55">
        <f>IF(B_EOC!I27="","",B_EOC!I27)</f>
        <v>1</v>
      </c>
      <c r="E104" s="55" t="str">
        <f>B_EOC!N27</f>
        <v>High</v>
      </c>
      <c r="F104" s="56" t="str">
        <f>B_EOC!O27</f>
        <v>Non-compliant</v>
      </c>
      <c r="G104" s="56" t="str">
        <f>IF(B_EOC!L27="","",B_EOC!L27)</f>
        <v>Define the EOC organogram (EOC Manager, Operations, Planning, Logistics, Finance/Admin, liaison desks) in EOC Manual Ch.5.</v>
      </c>
      <c r="H104" s="57" t="s">
        <v>1298</v>
      </c>
      <c r="I104" s="58" t="s">
        <v>1244</v>
      </c>
      <c r="J104" s="57" t="s">
        <v>1238</v>
      </c>
      <c r="K104" s="56" t="str">
        <f>B_EOC!P27</f>
        <v>EOC Ch.5 Organization</v>
      </c>
      <c r="L104" s="58" t="s">
        <v>1242</v>
      </c>
      <c r="M104" s="19"/>
      <c r="N104" s="19"/>
      <c r="O104" s="19"/>
      <c r="P104" s="19"/>
      <c r="Q104" s="19"/>
      <c r="R104" s="19"/>
      <c r="S104" s="19"/>
      <c r="T104" s="19"/>
      <c r="U104" s="19"/>
      <c r="V104" s="19"/>
      <c r="W104" s="19"/>
      <c r="X104" s="19"/>
      <c r="Y104" s="19"/>
      <c r="Z104" s="19"/>
    </row>
    <row r="105" ht="21.75" customHeight="1">
      <c r="A105" s="55" t="str">
        <f>B_EOC!A28</f>
        <v>B4.2</v>
      </c>
      <c r="B105" s="56" t="str">
        <f>B_EOC!C28</f>
        <v>Pre-designated EOC staff with alternates (at least 2 deep per key position)</v>
      </c>
      <c r="C105" s="55" t="str">
        <f>B_EOC!E28</f>
        <v>M</v>
      </c>
      <c r="D105" s="55" t="str">
        <f>IF(B_EOC!I28="","",B_EOC!I28)</f>
        <v/>
      </c>
      <c r="E105" s="55" t="str">
        <f>B_EOC!N28</f>
        <v/>
      </c>
      <c r="F105" s="56" t="str">
        <f>B_EOC!O28</f>
        <v>Not scored</v>
      </c>
      <c r="G105" s="56" t="str">
        <f>IF(B_EOC!L28="","",B_EOC!L28)</f>
        <v>Name alternates for each key EOC position.</v>
      </c>
      <c r="H105" s="57" t="s">
        <v>1298</v>
      </c>
      <c r="I105" s="58" t="s">
        <v>1244</v>
      </c>
      <c r="J105" s="57" t="s">
        <v>1238</v>
      </c>
      <c r="K105" s="56" t="str">
        <f>B_EOC!P28</f>
        <v>EOC Ch.5</v>
      </c>
      <c r="L105" s="58" t="s">
        <v>1235</v>
      </c>
      <c r="M105" s="19"/>
      <c r="N105" s="19"/>
      <c r="O105" s="19"/>
      <c r="P105" s="19"/>
      <c r="Q105" s="19"/>
      <c r="R105" s="19"/>
      <c r="S105" s="19"/>
      <c r="T105" s="19"/>
      <c r="U105" s="19"/>
      <c r="V105" s="19"/>
      <c r="W105" s="19"/>
      <c r="X105" s="19"/>
      <c r="Y105" s="19"/>
      <c r="Z105" s="19"/>
    </row>
    <row r="106" ht="21.75" customHeight="1">
      <c r="A106" s="55" t="str">
        <f>B_EOC!A29</f>
        <v>B4.3</v>
      </c>
      <c r="B106" s="56" t="str">
        <f>B_EOC!C29</f>
        <v>Duty roster for sustained 24/7 operations with shift handover protocol</v>
      </c>
      <c r="C106" s="55" t="str">
        <f>B_EOC!E29</f>
        <v>M</v>
      </c>
      <c r="D106" s="55">
        <f>IF(B_EOC!I29="","",B_EOC!I29)</f>
        <v>2</v>
      </c>
      <c r="E106" s="55" t="str">
        <f>B_EOC!N29</f>
        <v>Medium</v>
      </c>
      <c r="F106" s="56" t="str">
        <f>B_EOC!O29</f>
        <v>Non-compliant</v>
      </c>
      <c r="G106" s="56" t="str">
        <f>IF(B_EOC!L29="","",B_EOC!L29)</f>
        <v>Write the shift handover form and keep rosters.</v>
      </c>
      <c r="H106" s="57" t="s">
        <v>1257</v>
      </c>
      <c r="I106" s="58" t="s">
        <v>1244</v>
      </c>
      <c r="J106" s="57" t="s">
        <v>1238</v>
      </c>
      <c r="K106" s="56" t="str">
        <f>B_EOC!P29</f>
        <v>EOC Ch.5</v>
      </c>
      <c r="L106" s="58" t="s">
        <v>1242</v>
      </c>
      <c r="M106" s="19"/>
      <c r="N106" s="19"/>
      <c r="O106" s="19"/>
      <c r="P106" s="19"/>
      <c r="Q106" s="19"/>
      <c r="R106" s="19"/>
      <c r="S106" s="19"/>
      <c r="T106" s="19"/>
      <c r="U106" s="19"/>
      <c r="V106" s="19"/>
      <c r="W106" s="19"/>
      <c r="X106" s="19"/>
      <c r="Y106" s="19"/>
      <c r="Z106" s="19"/>
    </row>
    <row r="107" ht="21.75" customHeight="1">
      <c r="A107" s="55" t="str">
        <f>B_EOC!A30</f>
        <v>B4.4</v>
      </c>
      <c r="B107" s="56" t="str">
        <f>B_EOC!C30</f>
        <v>Agency/cluster liaison desks identified (CSWDO, CHO, CEO, PNP, BFP, AFP, DepEd, utilities, Red Cross)</v>
      </c>
      <c r="C107" s="55" t="str">
        <f>B_EOC!E30</f>
        <v>M</v>
      </c>
      <c r="D107" s="55">
        <f>IF(B_EOC!I30="","",B_EOC!I30)</f>
        <v>2</v>
      </c>
      <c r="E107" s="55" t="str">
        <f>B_EOC!N30</f>
        <v>Medium</v>
      </c>
      <c r="F107" s="56" t="str">
        <f>B_EOC!O30</f>
        <v>Non-compliant</v>
      </c>
      <c r="G107" s="56" t="str">
        <f>IF(B_EOC!L30="","",B_EOC!L30)</f>
        <v>List liaison desks (CSWDO, CHO, CEO, PNP, BFP, AFP, DepEd, utilities, Red Cross) with focal persons.</v>
      </c>
      <c r="H107" s="57" t="s">
        <v>1298</v>
      </c>
      <c r="I107" s="58" t="s">
        <v>1244</v>
      </c>
      <c r="J107" s="57" t="s">
        <v>1238</v>
      </c>
      <c r="K107" s="56" t="str">
        <f>B_EOC!P30</f>
        <v>EOC Ch.5</v>
      </c>
      <c r="L107" s="58" t="s">
        <v>1242</v>
      </c>
      <c r="M107" s="19"/>
      <c r="N107" s="19"/>
      <c r="O107" s="19"/>
      <c r="P107" s="19"/>
      <c r="Q107" s="19"/>
      <c r="R107" s="19"/>
      <c r="S107" s="19"/>
      <c r="T107" s="19"/>
      <c r="U107" s="19"/>
      <c r="V107" s="19"/>
      <c r="W107" s="19"/>
      <c r="X107" s="19"/>
      <c r="Y107" s="19"/>
      <c r="Z107" s="19"/>
    </row>
    <row r="108" ht="15.0" customHeight="1">
      <c r="A108" s="55" t="str">
        <f>B_EOC!A31</f>
        <v>B4.5</v>
      </c>
      <c r="B108" s="56" t="str">
        <f>B_EOC!C31</f>
        <v>Position checklists/job action sheets for each EOC role</v>
      </c>
      <c r="C108" s="55" t="str">
        <f>B_EOC!E31</f>
        <v>GP</v>
      </c>
      <c r="D108" s="55">
        <f>IF(B_EOC!I31="","",B_EOC!I31)</f>
        <v>1</v>
      </c>
      <c r="E108" s="55" t="str">
        <f>B_EOC!N31</f>
        <v>Medium</v>
      </c>
      <c r="F108" s="56" t="str">
        <f>B_EOC!O31</f>
        <v>Below GP</v>
      </c>
      <c r="G108" s="56" t="str">
        <f>IF(B_EOC!L31="","",B_EOC!L31)</f>
        <v>Write job action sheets for every EOC role.</v>
      </c>
      <c r="H108" s="57" t="s">
        <v>1298</v>
      </c>
      <c r="I108" s="58" t="s">
        <v>1244</v>
      </c>
      <c r="J108" s="57" t="s">
        <v>1258</v>
      </c>
      <c r="K108" s="56" t="str">
        <f>B_EOC!P31</f>
        <v>EOC Ch.5</v>
      </c>
      <c r="L108" s="58" t="s">
        <v>1242</v>
      </c>
      <c r="M108" s="19"/>
      <c r="N108" s="19"/>
      <c r="O108" s="19"/>
      <c r="P108" s="19"/>
      <c r="Q108" s="19"/>
      <c r="R108" s="19"/>
      <c r="S108" s="19"/>
      <c r="T108" s="19"/>
      <c r="U108" s="19"/>
      <c r="V108" s="19"/>
      <c r="W108" s="19"/>
      <c r="X108" s="19"/>
      <c r="Y108" s="19"/>
      <c r="Z108" s="19"/>
    </row>
    <row r="109" ht="21.75" customHeight="1">
      <c r="A109" s="55" t="str">
        <f>B_EOC!A32</f>
        <v>B4.6</v>
      </c>
      <c r="B109" s="56" t="str">
        <f>B_EOC!C32</f>
        <v>Responder welfare in EOC: rest cycles, meals, MHPSS, family support</v>
      </c>
      <c r="C109" s="55" t="str">
        <f>B_EOC!E32</f>
        <v>GP</v>
      </c>
      <c r="D109" s="55">
        <f>IF(B_EOC!I32="","",B_EOC!I32)</f>
        <v>1</v>
      </c>
      <c r="E109" s="55" t="str">
        <f>B_EOC!N32</f>
        <v>Low</v>
      </c>
      <c r="F109" s="56" t="str">
        <f>B_EOC!O32</f>
        <v>Below GP</v>
      </c>
      <c r="G109" s="56" t="str">
        <f>IF(B_EOC!L32="","",B_EOC!L32)</f>
        <v>Add rest cycles, meals and MHPSS to EOC Manual Ch.5.</v>
      </c>
      <c r="H109" s="57" t="s">
        <v>1324</v>
      </c>
      <c r="I109" s="58" t="s">
        <v>1244</v>
      </c>
      <c r="J109" s="57" t="s">
        <v>1263</v>
      </c>
      <c r="K109" s="56" t="str">
        <f>B_EOC!P32</f>
        <v>EOC Ch.5</v>
      </c>
      <c r="L109" s="58" t="s">
        <v>1242</v>
      </c>
      <c r="M109" s="19"/>
      <c r="N109" s="19"/>
      <c r="O109" s="19"/>
      <c r="P109" s="19"/>
      <c r="Q109" s="19"/>
      <c r="R109" s="19"/>
      <c r="S109" s="19"/>
      <c r="T109" s="19"/>
      <c r="U109" s="19"/>
      <c r="V109" s="19"/>
      <c r="W109" s="19"/>
      <c r="X109" s="19"/>
      <c r="Y109" s="19"/>
      <c r="Z109" s="19"/>
    </row>
    <row r="110" ht="21.75" customHeight="1">
      <c r="A110" s="55" t="str">
        <f>B_EOC!A34</f>
        <v>B5.1</v>
      </c>
      <c r="B110" s="56" t="str">
        <f>B_EOC!C34</f>
        <v>Standard SitRep/ Report templates aligned with NDRRMC/OCD formats and fixed reporting schedule</v>
      </c>
      <c r="C110" s="55" t="str">
        <f>B_EOC!E34</f>
        <v>M</v>
      </c>
      <c r="D110" s="55">
        <f>IF(B_EOC!I34="","",B_EOC!I34)</f>
        <v>2</v>
      </c>
      <c r="E110" s="55" t="str">
        <f>B_EOC!N34</f>
        <v>High</v>
      </c>
      <c r="F110" s="56" t="str">
        <f>B_EOC!O34</f>
        <v>Non-compliant</v>
      </c>
      <c r="G110" s="56" t="str">
        <f>IF(B_EOC!L34="","",B_EOC!L34)</f>
        <v>Adopt the harmonized template and reporting schedule by CDRRMC resolution and put it in EOC Manual Ch.6.</v>
      </c>
      <c r="H110" s="57" t="s">
        <v>1298</v>
      </c>
      <c r="I110" s="58" t="s">
        <v>1237</v>
      </c>
      <c r="J110" s="57" t="s">
        <v>1238</v>
      </c>
      <c r="K110" s="56" t="str">
        <f>B_EOC!P34</f>
        <v>EOC Ch.6 Information Mgmt</v>
      </c>
      <c r="L110" s="58" t="s">
        <v>1242</v>
      </c>
      <c r="M110" s="19"/>
      <c r="N110" s="19"/>
      <c r="O110" s="19"/>
      <c r="P110" s="19"/>
      <c r="Q110" s="19"/>
      <c r="R110" s="19"/>
      <c r="S110" s="19"/>
      <c r="T110" s="19"/>
      <c r="U110" s="19"/>
      <c r="V110" s="19"/>
      <c r="W110" s="19"/>
      <c r="X110" s="19"/>
      <c r="Y110" s="19"/>
      <c r="Z110" s="19"/>
    </row>
    <row r="111" ht="21.75" customHeight="1">
      <c r="A111" s="55" t="str">
        <f>B_EOC!A35</f>
        <v>B5.2</v>
      </c>
      <c r="B111" s="56" t="str">
        <f>B_EOC!C35</f>
        <v>Barangay-to-city reporting flow (BDRRMC -&gt; EOC) with defined timelines and formats</v>
      </c>
      <c r="C111" s="55" t="str">
        <f>B_EOC!E35</f>
        <v>M</v>
      </c>
      <c r="D111" s="55">
        <f>IF(B_EOC!I35="","",B_EOC!I35)</f>
        <v>1</v>
      </c>
      <c r="E111" s="55" t="str">
        <f>B_EOC!N35</f>
        <v>High</v>
      </c>
      <c r="F111" s="56" t="str">
        <f>B_EOC!O35</f>
        <v>Non-compliant</v>
      </c>
      <c r="G111" s="56" t="str">
        <f>IF(B_EOC!L35="","",B_EOC!L35)</f>
        <v>Write the BDRRMC -&gt; EOC reporting flow with times (before the city's 6AM/6PM submission) and formats.</v>
      </c>
      <c r="H111" s="57" t="s">
        <v>1298</v>
      </c>
      <c r="I111" s="58" t="s">
        <v>1244</v>
      </c>
      <c r="J111" s="57" t="s">
        <v>1238</v>
      </c>
      <c r="K111" s="56" t="str">
        <f>B_EOC!P35</f>
        <v>EOC Ch.6</v>
      </c>
      <c r="L111" s="58" t="s">
        <v>1242</v>
      </c>
      <c r="M111" s="19"/>
      <c r="N111" s="19"/>
      <c r="O111" s="19"/>
      <c r="P111" s="19"/>
      <c r="Q111" s="19"/>
      <c r="R111" s="19"/>
      <c r="S111" s="19"/>
      <c r="T111" s="19"/>
      <c r="U111" s="19"/>
      <c r="V111" s="19"/>
      <c r="W111" s="19"/>
      <c r="X111" s="19"/>
      <c r="Y111" s="19"/>
      <c r="Z111" s="19"/>
    </row>
    <row r="112" ht="21.75" customHeight="1">
      <c r="A112" s="55" t="str">
        <f>B_EOC!A36</f>
        <v>B5.3</v>
      </c>
      <c r="B112" s="56" t="str">
        <f>B_EOC!C36</f>
        <v>Common Operating Picture maintained (dashboard/ GIS map of incidents, evacuees, resources)</v>
      </c>
      <c r="C112" s="55" t="str">
        <f>B_EOC!E36</f>
        <v>GP</v>
      </c>
      <c r="D112" s="55">
        <f>IF(B_EOC!I36="","",B_EOC!I36)</f>
        <v>1</v>
      </c>
      <c r="E112" s="55" t="str">
        <f>B_EOC!N36</f>
        <v>Medium</v>
      </c>
      <c r="F112" s="56" t="str">
        <f>B_EOC!O36</f>
        <v>Below GP</v>
      </c>
      <c r="G112" s="56" t="str">
        <f>IF(B_EOC!L36="","",B_EOC!L36)</f>
        <v>Set up a COP map of incidents, evacuees and resources (the DRRM platform can serve).</v>
      </c>
      <c r="H112" s="57" t="s">
        <v>1265</v>
      </c>
      <c r="I112" s="58" t="s">
        <v>1271</v>
      </c>
      <c r="J112" s="57" t="inlineStr">
        <is>
          <t xml:space="preserve">MOP engagement (DRRM platform)</t>
        </is>
      </c>
      <c r="K112" s="56" t="str">
        <f>B_EOC!P36</f>
        <v>EOC Ch.6</v>
      </c>
      <c r="L112" s="58" t="s">
        <v>1235</v>
      </c>
      <c r="M112" s="19"/>
      <c r="N112" s="19"/>
      <c r="O112" s="19"/>
      <c r="P112" s="19"/>
      <c r="Q112" s="19"/>
      <c r="R112" s="19"/>
      <c r="S112" s="19"/>
      <c r="T112" s="19"/>
      <c r="U112" s="19"/>
      <c r="V112" s="19"/>
      <c r="W112" s="19"/>
      <c r="X112" s="19"/>
      <c r="Y112" s="19"/>
      <c r="Z112" s="19"/>
    </row>
    <row r="113" ht="21.75" customHeight="1">
      <c r="A113" s="55" t="str">
        <f>B_EOC!A37</f>
        <v>B5.4</v>
      </c>
      <c r="B113" s="56" t="str">
        <f>B_EOC!C37</f>
        <v>Evacuation center and affected-family tracking (DAFAC/ registration) feeds EOC data</v>
      </c>
      <c r="C113" s="55" t="str">
        <f>B_EOC!E37</f>
        <v>M</v>
      </c>
      <c r="D113" s="55" t="str">
        <f>IF(B_EOC!I37="","",B_EOC!I37)</f>
        <v/>
      </c>
      <c r="E113" s="55" t="str">
        <f>B_EOC!N37</f>
        <v/>
      </c>
      <c r="F113" s="56" t="str">
        <f>B_EOC!O37</f>
        <v>Not scored</v>
      </c>
      <c r="G113" s="56" t="str">
        <f>IF(B_EOC!L37="","",B_EOC!L37)</f>
        <v>Link EC registration (DAFAC) to EOC reports; no names in EOC dashboards.</v>
      </c>
      <c r="H113" s="57" t="s">
        <v>1304</v>
      </c>
      <c r="I113" s="58" t="s">
        <v>1271</v>
      </c>
      <c r="J113" s="57" t="inlineStr">
        <is>
          <t xml:space="preserve">No cost</t>
        </is>
      </c>
      <c r="K113" s="56" t="str">
        <f>B_EOC!P37</f>
        <v>EOC Ch.6</v>
      </c>
      <c r="L113" s="58" t="s">
        <v>1235</v>
      </c>
      <c r="M113" s="19"/>
      <c r="N113" s="19"/>
      <c r="O113" s="19"/>
      <c r="P113" s="19"/>
      <c r="Q113" s="19"/>
      <c r="R113" s="19"/>
      <c r="S113" s="19"/>
      <c r="T113" s="19"/>
      <c r="U113" s="19"/>
      <c r="V113" s="19"/>
      <c r="W113" s="19"/>
      <c r="X113" s="19"/>
      <c r="Y113" s="19"/>
      <c r="Z113" s="19"/>
    </row>
    <row r="114" ht="15.0" customHeight="1">
      <c r="A114" s="55" t="str">
        <f>B_EOC!A38</f>
        <v>B5.5</v>
      </c>
      <c r="B114" s="56" t="str">
        <f>B_EOC!C38</f>
        <v>EOC logbook/ significant events log and document retention</v>
      </c>
      <c r="C114" s="55" t="str">
        <f>B_EOC!E38</f>
        <v>M</v>
      </c>
      <c r="D114" s="55" t="str">
        <f>IF(B_EOC!I38="","",B_EOC!I38)</f>
        <v/>
      </c>
      <c r="E114" s="55" t="str">
        <f>B_EOC!N38</f>
        <v/>
      </c>
      <c r="F114" s="56" t="str">
        <f>B_EOC!O38</f>
        <v>Not scored</v>
      </c>
      <c r="G114" s="56" t="str">
        <f>IF(B_EOC!L38="","",B_EOC!L38)</f>
        <v>Keep an append-only logbook and a retention schedule.</v>
      </c>
      <c r="H114" s="57" t="s">
        <v>1298</v>
      </c>
      <c r="I114" s="58" t="s">
        <v>1244</v>
      </c>
      <c r="J114" s="57" t="s">
        <v>1238</v>
      </c>
      <c r="K114" s="56" t="str">
        <f>B_EOC!P38</f>
        <v>EOC Ch.6</v>
      </c>
      <c r="L114" s="58" t="s">
        <v>1235</v>
      </c>
      <c r="M114" s="19"/>
      <c r="N114" s="19"/>
      <c r="O114" s="19"/>
      <c r="P114" s="19"/>
      <c r="Q114" s="19"/>
      <c r="R114" s="19"/>
      <c r="S114" s="19"/>
      <c r="T114" s="19"/>
      <c r="U114" s="19"/>
      <c r="V114" s="19"/>
      <c r="W114" s="19"/>
      <c r="X114" s="19"/>
      <c r="Y114" s="19"/>
      <c r="Z114" s="19"/>
    </row>
    <row r="115" ht="21.75" customHeight="1">
      <c r="A115" s="55" t="str">
        <f>B_EOC!A39</f>
        <v>B5.6</v>
      </c>
      <c r="B115" s="56" t="str">
        <f>B_EOC!C39</f>
        <v>Weather/hazard monitoring routine (PAGASA, PHIVOLCS feeds) with bulletins logged and disseminated</v>
      </c>
      <c r="C115" s="55" t="str">
        <f>B_EOC!E39</f>
        <v>M</v>
      </c>
      <c r="D115" s="55">
        <f>IF(B_EOC!I39="","",B_EOC!I39)</f>
        <v>2</v>
      </c>
      <c r="E115" s="55" t="str">
        <f>B_EOC!N39</f>
        <v>Medium</v>
      </c>
      <c r="F115" s="56" t="str">
        <f>B_EOC!O39</f>
        <v>Non-compliant</v>
      </c>
      <c r="G115" s="56" t="str">
        <f>IF(B_EOC!L39="","",B_EOC!L39)</f>
        <v>Keep a bulletin log with time received and disseminated.</v>
      </c>
      <c r="H115" s="57" t="s">
        <v>1257</v>
      </c>
      <c r="I115" s="58" t="s">
        <v>1244</v>
      </c>
      <c r="J115" s="57" t="s">
        <v>1238</v>
      </c>
      <c r="K115" s="56" t="str">
        <f>B_EOC!P39</f>
        <v>EOC Ch.6</v>
      </c>
      <c r="L115" s="58" t="s">
        <v>1242</v>
      </c>
      <c r="M115" s="19"/>
      <c r="N115" s="19"/>
      <c r="O115" s="19"/>
      <c r="P115" s="19"/>
      <c r="Q115" s="19"/>
      <c r="R115" s="19"/>
      <c r="S115" s="19"/>
      <c r="T115" s="19"/>
      <c r="U115" s="19"/>
      <c r="V115" s="19"/>
      <c r="W115" s="19"/>
      <c r="X115" s="19"/>
      <c r="Y115" s="19"/>
      <c r="Z115" s="19"/>
    </row>
    <row r="116" ht="21.75" customHeight="1">
      <c r="A116" s="55" t="str">
        <f>B_EOC!A40</f>
        <v>B5.7</v>
      </c>
      <c r="B116" s="56" t="str">
        <f>B_EOC!C40</f>
        <v>Inbound citizen reporting (hotline, SMS, social media) feeds the common operating picture after a verification step</v>
      </c>
      <c r="C116" s="55" t="str">
        <f>B_EOC!E40</f>
        <v>GP</v>
      </c>
      <c r="D116" s="55">
        <f>IF(B_EOC!I40="","",B_EOC!I40)</f>
        <v>1</v>
      </c>
      <c r="E116" s="55" t="str">
        <f>B_EOC!N40</f>
        <v>Low</v>
      </c>
      <c r="F116" s="56" t="str">
        <f>B_EOC!O40</f>
        <v>Below GP</v>
      </c>
      <c r="G116" s="56" t="str">
        <f>IF(B_EOC!L40="","",B_EOC!L40)</f>
        <v>Add an intake and verification step for hotline/SMS/social media reports.</v>
      </c>
      <c r="H116" s="57" t="s">
        <v>1298</v>
      </c>
      <c r="I116" s="58" t="s">
        <v>1244</v>
      </c>
      <c r="J116" s="57" t="s">
        <v>1238</v>
      </c>
      <c r="K116" s="56" t="str">
        <f>B_EOC!P40</f>
        <v>EOC Ch.6</v>
      </c>
      <c r="L116" s="58" t="s">
        <v>1242</v>
      </c>
      <c r="M116" s="19"/>
      <c r="N116" s="19"/>
      <c r="O116" s="19"/>
      <c r="P116" s="19"/>
      <c r="Q116" s="19"/>
      <c r="R116" s="19"/>
      <c r="S116" s="19"/>
      <c r="T116" s="19"/>
      <c r="U116" s="19"/>
      <c r="V116" s="19"/>
      <c r="W116" s="19"/>
      <c r="X116" s="19"/>
      <c r="Y116" s="19"/>
      <c r="Z116" s="19"/>
    </row>
    <row r="117" ht="21.75" customHeight="1">
      <c r="A117" s="55" t="str">
        <f>B_EOC!A42</f>
        <v>B6.1</v>
      </c>
      <c r="B117" s="56" t="str">
        <f>B_EOC!C42</f>
        <v>ICS-EOC interface defined: EOC supports Incident Commander(s); no duplication of command</v>
      </c>
      <c r="C117" s="55" t="str">
        <f>B_EOC!E42</f>
        <v>M</v>
      </c>
      <c r="D117" s="55">
        <f>IF(B_EOC!I42="","",B_EOC!I42)</f>
        <v>1</v>
      </c>
      <c r="E117" s="55" t="str">
        <f>B_EOC!N42</f>
        <v>High</v>
      </c>
      <c r="F117" s="56" t="str">
        <f>B_EOC!O42</f>
        <v>Non-compliant</v>
      </c>
      <c r="G117" s="56" t="str">
        <f>IF(B_EOC!L42="","",B_EOC!L42)</f>
        <v>Define the interface per NDRRMC Memo 131 s.2018: EOC supports the IC; clusters provide resources; no command from the EOC.</v>
      </c>
      <c r="H117" s="57" t="s">
        <v>1298</v>
      </c>
      <c r="I117" s="58" t="s">
        <v>1244</v>
      </c>
      <c r="J117" s="57" t="s">
        <v>1238</v>
      </c>
      <c r="K117" s="56" t="str">
        <f>B_EOC!P42</f>
        <v>EOC Ch.7 Coordination</v>
      </c>
      <c r="L117" s="58" t="s">
        <v>1242</v>
      </c>
      <c r="M117" s="19"/>
      <c r="N117" s="19"/>
      <c r="O117" s="19"/>
      <c r="P117" s="19"/>
      <c r="Q117" s="19"/>
      <c r="R117" s="19"/>
      <c r="S117" s="19"/>
      <c r="T117" s="19"/>
      <c r="U117" s="19"/>
      <c r="V117" s="19"/>
      <c r="W117" s="19"/>
      <c r="X117" s="19"/>
      <c r="Y117" s="19"/>
      <c r="Z117" s="19"/>
    </row>
    <row r="118" ht="21.75" customHeight="1">
      <c r="A118" s="55" t="str">
        <f>B_EOC!A43</f>
        <v>B6.2</v>
      </c>
      <c r="B118" s="56" t="str">
        <f>B_EOC!C43</f>
        <v>Resource management system: request, tracking, mobilization and demobilization of resources</v>
      </c>
      <c r="C118" s="55" t="str">
        <f>B_EOC!E43</f>
        <v>M</v>
      </c>
      <c r="D118" s="55">
        <f>IF(B_EOC!I43="","",B_EOC!I43)</f>
        <v>1</v>
      </c>
      <c r="E118" s="55" t="str">
        <f>B_EOC!N43</f>
        <v>High</v>
      </c>
      <c r="F118" s="56" t="str">
        <f>B_EOC!O43</f>
        <v>Non-compliant</v>
      </c>
      <c r="G118" s="56" t="str">
        <f>IF(B_EOC!L43="","",B_EOC!L43)</f>
        <v>Adopt ICS resource request and tracking forms.</v>
      </c>
      <c r="H118" s="57" t="s">
        <v>1298</v>
      </c>
      <c r="I118" s="58" t="s">
        <v>1244</v>
      </c>
      <c r="J118" s="57" t="s">
        <v>1238</v>
      </c>
      <c r="K118" s="56" t="str">
        <f>B_EOC!P43</f>
        <v>EOC Ch.7</v>
      </c>
      <c r="L118" s="58" t="s">
        <v>1242</v>
      </c>
      <c r="M118" s="19"/>
      <c r="N118" s="19"/>
      <c r="O118" s="19"/>
      <c r="P118" s="19"/>
      <c r="Q118" s="19"/>
      <c r="R118" s="19"/>
      <c r="S118" s="19"/>
      <c r="T118" s="19"/>
      <c r="U118" s="19"/>
      <c r="V118" s="19"/>
      <c r="W118" s="19"/>
      <c r="X118" s="19"/>
      <c r="Y118" s="19"/>
      <c r="Z118" s="19"/>
    </row>
    <row r="119" ht="21.75" customHeight="1">
      <c r="A119" s="55" t="str">
        <f>B_EOC!A44</f>
        <v>B6.3</v>
      </c>
      <c r="B119" s="56" t="str">
        <f>B_EOC!C44</f>
        <v>Resource inventory (city, barangays, partners, private sector) accessible from EOC</v>
      </c>
      <c r="C119" s="55" t="str">
        <f>B_EOC!E44</f>
        <v>M</v>
      </c>
      <c r="D119" s="55">
        <f>IF(B_EOC!I44="","",B_EOC!I44)</f>
        <v>2</v>
      </c>
      <c r="E119" s="55" t="str">
        <f>B_EOC!N44</f>
        <v>Medium</v>
      </c>
      <c r="F119" s="56" t="str">
        <f>B_EOC!O44</f>
        <v>Non-compliant</v>
      </c>
      <c r="G119" s="56" t="str">
        <f>IF(B_EOC!L44="","",B_EOC!L44)</f>
        <v>Extend the inventory to barangays, partners and suppliers.</v>
      </c>
      <c r="H119" s="57" t="s">
        <v>1310</v>
      </c>
      <c r="I119" s="58" t="s">
        <v>1271</v>
      </c>
      <c r="J119" s="57" t="inlineStr">
        <is>
          <t xml:space="preserve">No cost</t>
        </is>
      </c>
      <c r="K119" s="56" t="str">
        <f>B_EOC!P44</f>
        <v>EOC Ch.7</v>
      </c>
      <c r="L119" s="58" t="s">
        <v>1235</v>
      </c>
      <c r="M119" s="19"/>
      <c r="N119" s="19"/>
      <c r="O119" s="19"/>
      <c r="P119" s="19"/>
      <c r="Q119" s="19"/>
      <c r="R119" s="19"/>
      <c r="S119" s="19"/>
      <c r="T119" s="19"/>
      <c r="U119" s="19"/>
      <c r="V119" s="19"/>
      <c r="W119" s="19"/>
      <c r="X119" s="19"/>
      <c r="Y119" s="19"/>
      <c r="Z119" s="19"/>
    </row>
    <row r="120" ht="21.75" customHeight="1">
      <c r="A120" s="55" t="str">
        <f>B_EOC!A45</f>
        <v>B6.4</v>
      </c>
      <c r="B120" s="56" t="str">
        <f>B_EOC!C45</f>
        <v>Procedures for receiving and managing external assistance/ donations and volunteers</v>
      </c>
      <c r="C120" s="55" t="str">
        <f>B_EOC!E45</f>
        <v>GP</v>
      </c>
      <c r="D120" s="55">
        <f>IF(B_EOC!I45="","",B_EOC!I45)</f>
        <v>2</v>
      </c>
      <c r="E120" s="55" t="str">
        <f>B_EOC!N45</f>
        <v>Low</v>
      </c>
      <c r="F120" s="56" t="str">
        <f>B_EOC!O45</f>
        <v>Below GP</v>
      </c>
      <c r="G120" s="56" t="str">
        <f>IF(B_EOC!L45="","",B_EOC!L45)</f>
        <v>Write the donations and volunteer SOP.</v>
      </c>
      <c r="H120" s="57" t="s">
        <v>1325</v>
      </c>
      <c r="I120" s="58" t="s">
        <v>1244</v>
      </c>
      <c r="J120" s="57" t="s">
        <v>1238</v>
      </c>
      <c r="K120" s="56" t="str">
        <f>B_EOC!P45</f>
        <v>EOC Ch.7</v>
      </c>
      <c r="L120" s="58" t="s">
        <v>1242</v>
      </c>
      <c r="M120" s="19"/>
      <c r="N120" s="19"/>
      <c r="O120" s="19"/>
      <c r="P120" s="19"/>
      <c r="Q120" s="19"/>
      <c r="R120" s="19"/>
      <c r="S120" s="19"/>
      <c r="T120" s="19"/>
      <c r="U120" s="19"/>
      <c r="V120" s="19"/>
      <c r="W120" s="19"/>
      <c r="X120" s="19"/>
      <c r="Y120" s="19"/>
      <c r="Z120" s="19"/>
    </row>
    <row r="121" ht="21.75" customHeight="1">
      <c r="A121" s="55" t="str">
        <f>B_EOC!A46</f>
        <v>B6.5</v>
      </c>
      <c r="B121" s="56" t="str">
        <f>B_EOC!C46</f>
        <v>Decision-support briefings to CDRRMC/Mayor at fixed intervals during activation</v>
      </c>
      <c r="C121" s="55" t="str">
        <f>B_EOC!E46</f>
        <v>GP</v>
      </c>
      <c r="D121" s="55" t="str">
        <f>IF(B_EOC!I46="","",B_EOC!I46)</f>
        <v/>
      </c>
      <c r="E121" s="55" t="str">
        <f>B_EOC!N46</f>
        <v/>
      </c>
      <c r="F121" s="56" t="str">
        <f>B_EOC!O46</f>
        <v>Not scored</v>
      </c>
      <c r="G121" s="56" t="str">
        <f>IF(B_EOC!L46="","",B_EOC!L46)</f>
        <v>Set fixed briefing intervals to the Mayor/CDRRMC by alert level.</v>
      </c>
      <c r="H121" s="57" t="s">
        <v>1298</v>
      </c>
      <c r="I121" s="58" t="s">
        <v>1244</v>
      </c>
      <c r="J121" s="57" t="s">
        <v>1238</v>
      </c>
      <c r="K121" s="56" t="str">
        <f>B_EOC!P46</f>
        <v>EOC Ch.7</v>
      </c>
      <c r="L121" s="58" t="s">
        <v>1235</v>
      </c>
      <c r="M121" s="19"/>
      <c r="N121" s="19"/>
      <c r="O121" s="19"/>
      <c r="P121" s="19"/>
      <c r="Q121" s="19"/>
      <c r="R121" s="19"/>
      <c r="S121" s="19"/>
      <c r="T121" s="19"/>
      <c r="U121" s="19"/>
      <c r="V121" s="19"/>
      <c r="W121" s="19"/>
      <c r="X121" s="19"/>
      <c r="Y121" s="19"/>
      <c r="Z121" s="19"/>
    </row>
    <row r="122" ht="42.75" customHeight="1">
      <c r="A122" s="55" t="str">
        <f>B_EOC!A47</f>
        <v>B6.6</v>
      </c>
      <c r="B122" s="56" t="str">
        <f>B_EOC!C47</f>
        <v>Pre-arranged resource commitments from partners and suppliers set out by item, quantity, activation trigger and contact in signed agreements (incl. supplier agreements tapped for anticipatory action)</v>
      </c>
      <c r="C122" s="55" t="str">
        <f>B_EOC!E47</f>
        <v>GP</v>
      </c>
      <c r="D122" s="55">
        <f>IF(B_EOC!I47="","",B_EOC!I47)</f>
        <v>1</v>
      </c>
      <c r="E122" s="55" t="str">
        <f>B_EOC!N47</f>
        <v>Medium</v>
      </c>
      <c r="F122" s="56" t="str">
        <f>B_EOC!O47</f>
        <v>Below GP</v>
      </c>
      <c r="G122" s="56" t="str">
        <f>IF(B_EOC!L47="","",B_EOC!L47)</f>
        <v>Sign agreements listing item, quantity, trigger and contact, usable for AA (IRR Rule IV Sec. 6).</v>
      </c>
      <c r="H122" s="57" t="s">
        <v>1326</v>
      </c>
      <c r="I122" s="58" t="s">
        <v>1271</v>
      </c>
      <c r="J122" s="57" t="inlineStr">
        <is>
          <t xml:space="preserve">No cost (agreements); LDRRMF 70% AA line when used</t>
        </is>
      </c>
      <c r="K122" s="56" t="str">
        <f>B_EOC!P47</f>
        <v>EOC Ch.7</v>
      </c>
      <c r="L122" s="58" t="s">
        <v>1235</v>
      </c>
      <c r="M122" s="19"/>
      <c r="N122" s="19"/>
      <c r="O122" s="19"/>
      <c r="P122" s="19"/>
      <c r="Q122" s="19"/>
      <c r="R122" s="19"/>
      <c r="S122" s="19"/>
      <c r="T122" s="19"/>
      <c r="U122" s="19"/>
      <c r="V122" s="19"/>
      <c r="W122" s="19"/>
      <c r="X122" s="19"/>
      <c r="Y122" s="19"/>
      <c r="Z122" s="19"/>
    </row>
    <row r="123" ht="21.75" customHeight="1">
      <c r="A123" s="55" t="str">
        <f>B_EOC!A49</f>
        <v>B7.1</v>
      </c>
      <c r="B123" s="56" t="str">
        <f>B_EOC!C49</f>
        <v>Written EOC SOPs/ Manual approved and disseminated to all EOC staff</v>
      </c>
      <c r="C123" s="55" t="str">
        <f>B_EOC!E49</f>
        <v>M</v>
      </c>
      <c r="D123" s="55">
        <f>IF(B_EOC!I49="","",B_EOC!I49)</f>
        <v>2</v>
      </c>
      <c r="E123" s="55" t="str">
        <f>B_EOC!N49</f>
        <v>High</v>
      </c>
      <c r="F123" s="56" t="str">
        <f>B_EOC!O49</f>
        <v>Non-compliant</v>
      </c>
      <c r="G123" s="56" t="str">
        <f>IF(B_EOC!L49="","",B_EOC!L49)</f>
        <v>Complete, approve and distribute the EOC Manual.</v>
      </c>
      <c r="H123" s="57" t="s">
        <v>1327</v>
      </c>
      <c r="I123" s="58" t="s">
        <v>1244</v>
      </c>
      <c r="J123" s="57" t="s">
        <v>1258</v>
      </c>
      <c r="K123" s="56" t="str">
        <f>B_EOC!P49</f>
        <v>EOC Manual (whole)</v>
      </c>
      <c r="L123" s="58" t="s">
        <v>1242</v>
      </c>
      <c r="M123" s="19"/>
      <c r="N123" s="19"/>
      <c r="O123" s="19"/>
      <c r="P123" s="19"/>
      <c r="Q123" s="19"/>
      <c r="R123" s="19"/>
      <c r="S123" s="19"/>
      <c r="T123" s="19"/>
      <c r="U123" s="19"/>
      <c r="V123" s="19"/>
      <c r="W123" s="19"/>
      <c r="X123" s="19"/>
      <c r="Y123" s="19"/>
      <c r="Z123" s="19"/>
    </row>
    <row r="124" ht="21.75" customHeight="1">
      <c r="A124" s="55" t="str">
        <f>B_EOC!A50</f>
        <v>B7.2</v>
      </c>
      <c r="B124" s="56" t="str">
        <f>B_EOC!C50</f>
        <v>EOC staff trained (EOC operations course, ICS, IM) with records</v>
      </c>
      <c r="C124" s="55" t="str">
        <f>B_EOC!E50</f>
        <v>M</v>
      </c>
      <c r="D124" s="55">
        <f>IF(B_EOC!I50="","",B_EOC!I50)</f>
        <v>2</v>
      </c>
      <c r="E124" s="55" t="str">
        <f>B_EOC!N50</f>
        <v>Medium</v>
      </c>
      <c r="F124" s="56" t="str">
        <f>B_EOC!O50</f>
        <v>Non-compliant</v>
      </c>
      <c r="G124" s="56" t="str">
        <f>IF(B_EOC!L50="","",B_EOC!L50)</f>
        <v>Complete EOC Management and ICS courses for all EOC staff.</v>
      </c>
      <c r="H124" s="57" t="s">
        <v>1243</v>
      </c>
      <c r="I124" s="58" t="s">
        <v>1271</v>
      </c>
      <c r="J124" s="57" t="s">
        <v>1293</v>
      </c>
      <c r="K124" s="56" t="str">
        <f>B_EOC!P50</f>
        <v>EOC Ch.8 Training &amp; Exercises</v>
      </c>
      <c r="L124" s="58" t="s">
        <v>1235</v>
      </c>
      <c r="M124" s="19"/>
      <c r="N124" s="19"/>
      <c r="O124" s="19"/>
      <c r="P124" s="19"/>
      <c r="Q124" s="19"/>
      <c r="R124" s="19"/>
      <c r="S124" s="19"/>
      <c r="T124" s="19"/>
      <c r="U124" s="19"/>
      <c r="V124" s="19"/>
      <c r="W124" s="19"/>
      <c r="X124" s="19"/>
      <c r="Y124" s="19"/>
      <c r="Z124" s="19"/>
    </row>
    <row r="125" ht="21.75" customHeight="1">
      <c r="A125" s="55" t="str">
        <f>B_EOC!A51</f>
        <v>B7.3</v>
      </c>
      <c r="B125" s="56" t="str">
        <f>B_EOC!C51</f>
        <v>Annual exercise program (tabletop, functional, full-scale) testing EOC activation</v>
      </c>
      <c r="C125" s="55" t="str">
        <f>B_EOC!E51</f>
        <v>M</v>
      </c>
      <c r="D125" s="55">
        <f>IF(B_EOC!I51="","",B_EOC!I51)</f>
        <v>2</v>
      </c>
      <c r="E125" s="55" t="str">
        <f>B_EOC!N51</f>
        <v>Medium</v>
      </c>
      <c r="F125" s="56" t="str">
        <f>B_EOC!O51</f>
        <v>Non-compliant</v>
      </c>
      <c r="G125" s="56" t="str">
        <f>IF(B_EOC!L51="","",B_EOC!L51)</f>
        <v>Add an annual EOC functional exercise.</v>
      </c>
      <c r="H125" s="57" t="s">
        <v>1298</v>
      </c>
      <c r="I125" s="58" t="s">
        <v>1271</v>
      </c>
      <c r="J125" s="57" t="s">
        <v>1263</v>
      </c>
      <c r="K125" s="56" t="str">
        <f>B_EOC!P51</f>
        <v>EOC Ch.8</v>
      </c>
      <c r="L125" s="58" t="s">
        <v>1235</v>
      </c>
      <c r="M125" s="19"/>
      <c r="N125" s="19"/>
      <c r="O125" s="19"/>
      <c r="P125" s="19"/>
      <c r="Q125" s="19"/>
      <c r="R125" s="19"/>
      <c r="S125" s="19"/>
      <c r="T125" s="19"/>
      <c r="U125" s="19"/>
      <c r="V125" s="19"/>
      <c r="W125" s="19"/>
      <c r="X125" s="19"/>
      <c r="Y125" s="19"/>
      <c r="Z125" s="19"/>
    </row>
    <row r="126" ht="21.75" customHeight="1">
      <c r="A126" s="55" t="str">
        <f>B_EOC!A52</f>
        <v>B7.4</v>
      </c>
      <c r="B126" s="56" t="str">
        <f>B_EOC!C52</f>
        <v>After-action review after each activation with improvement plan tracked</v>
      </c>
      <c r="C126" s="55" t="str">
        <f>B_EOC!E52</f>
        <v>GP</v>
      </c>
      <c r="D126" s="55">
        <f>IF(B_EOC!I52="","",B_EOC!I52)</f>
        <v>2</v>
      </c>
      <c r="E126" s="55" t="str">
        <f>B_EOC!N52</f>
        <v>Medium</v>
      </c>
      <c r="F126" s="56" t="str">
        <f>B_EOC!O52</f>
        <v>Below GP</v>
      </c>
      <c r="G126" s="56" t="str">
        <f>IF(B_EOC!L52="","",B_EOC!L52)</f>
        <v>Track AAR actions in an improvement plan.</v>
      </c>
      <c r="H126" s="57" t="s">
        <v>1298</v>
      </c>
      <c r="I126" s="58" t="s">
        <v>1328</v>
      </c>
      <c r="J126" s="57" t="inlineStr">
        <is>
          <t xml:space="preserve">No cost</t>
        </is>
      </c>
      <c r="K126" s="56" t="str">
        <f>B_EOC!P52</f>
        <v>EOC Ch.8</v>
      </c>
      <c r="L126" s="58" t="s">
        <v>1242</v>
      </c>
      <c r="M126" s="19"/>
      <c r="N126" s="19"/>
      <c r="O126" s="19"/>
      <c r="P126" s="19"/>
      <c r="Q126" s="19"/>
      <c r="R126" s="19"/>
      <c r="S126" s="19"/>
      <c r="T126" s="19"/>
      <c r="U126" s="19"/>
      <c r="V126" s="19"/>
      <c r="W126" s="19"/>
      <c r="X126" s="19"/>
      <c r="Y126" s="19"/>
      <c r="Z126" s="19"/>
    </row>
    <row r="127" ht="21.75" customHeight="1">
      <c r="A127" s="55" t="str">
        <f>B_EOC!A53</f>
        <v>B7.5</v>
      </c>
      <c r="B127" s="56" t="str">
        <f>B_EOC!C53</f>
        <v>Dedicated EOC budget for operations, maintenance and upgrades in LDRRMFIP</v>
      </c>
      <c r="C127" s="55" t="str">
        <f>B_EOC!E53</f>
        <v>M</v>
      </c>
      <c r="D127" s="55">
        <f>IF(B_EOC!I53="","",B_EOC!I53)</f>
        <v>3</v>
      </c>
      <c r="E127" s="55" t="str">
        <f>B_EOC!N53</f>
        <v>Low</v>
      </c>
      <c r="F127" s="56" t="str">
        <f>B_EOC!O53</f>
        <v>Compliant</v>
      </c>
      <c r="G127" s="56" t="str">
        <f>IF(B_EOC!L53="","",B_EOC!L53)</f>
        <v>Keep the line in each LDRRMFIP.</v>
      </c>
      <c r="H127" s="57" t="s">
        <v>1273</v>
      </c>
      <c r="I127" s="58" t="s">
        <v>1277</v>
      </c>
      <c r="J127" s="57" t="s">
        <v>1263</v>
      </c>
      <c r="K127" s="56" t="str">
        <f>B_EOC!P53</f>
        <v>EOC Ch.9 Sustainability</v>
      </c>
      <c r="L127" s="58" t="s">
        <v>1242</v>
      </c>
      <c r="M127" s="19"/>
      <c r="N127" s="19"/>
      <c r="O127" s="19"/>
      <c r="P127" s="19"/>
      <c r="Q127" s="19"/>
      <c r="R127" s="19"/>
      <c r="S127" s="19"/>
      <c r="T127" s="19"/>
      <c r="U127" s="19"/>
      <c r="V127" s="19"/>
      <c r="W127" s="19"/>
      <c r="X127" s="19"/>
      <c r="Y127" s="19"/>
      <c r="Z127" s="19"/>
    </row>
    <row r="128" ht="21.75" customHeight="1">
      <c r="A128" s="55" t="str">
        <f>B_EOC!A54</f>
        <v>B7.6</v>
      </c>
      <c r="B128" s="56" t="str">
        <f>B_EOC!C54</f>
        <v>Equipment maintenance schedule and annual EOC readiness self-check</v>
      </c>
      <c r="C128" s="55" t="str">
        <f>B_EOC!E54</f>
        <v>GP</v>
      </c>
      <c r="D128" s="55">
        <f>IF(B_EOC!I54="","",B_EOC!I54)</f>
        <v>1</v>
      </c>
      <c r="E128" s="55" t="str">
        <f>B_EOC!N54</f>
        <v>Low</v>
      </c>
      <c r="F128" s="56" t="str">
        <f>B_EOC!O54</f>
        <v>Below GP</v>
      </c>
      <c r="G128" s="56" t="str">
        <f>IF(B_EOC!L54="","",B_EOC!L54)</f>
        <v>Set a PM schedule and an annual EOC readiness self-check (EOC Capability Assessment Checklist).</v>
      </c>
      <c r="H128" s="57" t="s">
        <v>1298</v>
      </c>
      <c r="I128" s="58" t="s">
        <v>1271</v>
      </c>
      <c r="J128" s="57" t="inlineStr">
        <is>
          <t xml:space="preserve">LDRRMF 70% (OpCen Program, maintenance)</t>
        </is>
      </c>
      <c r="K128" s="56" t="str">
        <f>B_EOC!P54</f>
        <v>EOC Ch.9</v>
      </c>
      <c r="L128" s="58" t="s">
        <v>1235</v>
      </c>
      <c r="M128" s="19"/>
      <c r="N128" s="19"/>
      <c r="O128" s="19"/>
      <c r="P128" s="19"/>
      <c r="Q128" s="19"/>
      <c r="R128" s="19"/>
      <c r="S128" s="19"/>
      <c r="T128" s="19"/>
      <c r="U128" s="19"/>
      <c r="V128" s="19"/>
      <c r="W128" s="19"/>
      <c r="X128" s="19"/>
      <c r="Y128" s="19"/>
      <c r="Z128" s="19"/>
    </row>
    <row r="129" ht="21.75" customHeight="1">
      <c r="A129" s="55" t="str">
        <f>C_Interface!A6</f>
        <v>C1.1</v>
      </c>
      <c r="B129" s="56" t="str">
        <f>C_Interface!C6</f>
        <v>Most-probable and most-severe risk scenarios inform CDP/CLUP priorities and the location of major investments</v>
      </c>
      <c r="C129" s="55" t="s">
        <v>1329</v>
      </c>
      <c r="D129" s="55">
        <f>IF(C_Interface!I6="","",C_Interface!I6)</f>
        <v>2</v>
      </c>
      <c r="E129" s="55" t="str">
        <f>C_Interface!N6</f>
        <v>Medium</v>
      </c>
      <c r="F129" s="56" t="str">
        <f>C_Interface!O6</f>
        <v>Below</v>
      </c>
      <c r="G129" s="56" t="str">
        <f>IF(C_Interface!L6="","",C_Interface!L6)</f>
        <v>Check during the CLUP update that most-probable and most-severe scenarios set CDP/CLUP priorities.</v>
      </c>
      <c r="H129" s="57" t="str">
        <f>C_Interface!E6</f>
        <v>CPDO</v>
      </c>
      <c r="I129" s="58" t="s">
        <v>1268</v>
      </c>
      <c r="J129" s="57" t="s">
        <v>1269</v>
      </c>
      <c r="K129" s="56" t="str">
        <f>C_Interface!P6</f>
        <v>MOO Ch.3</v>
      </c>
      <c r="L129" s="58" t="s">
        <v>1242</v>
      </c>
      <c r="M129" s="19"/>
      <c r="N129" s="19"/>
      <c r="O129" s="19"/>
      <c r="P129" s="19"/>
      <c r="Q129" s="19"/>
      <c r="R129" s="19"/>
      <c r="S129" s="19"/>
      <c r="T129" s="19"/>
      <c r="U129" s="19"/>
      <c r="V129" s="19"/>
      <c r="W129" s="19"/>
      <c r="X129" s="19"/>
      <c r="Y129" s="19"/>
      <c r="Z129" s="19"/>
    </row>
    <row r="130" ht="21.75" customHeight="1">
      <c r="A130" s="55" t="str">
        <f>C_Interface!A7</f>
        <v>C1.2</v>
      </c>
      <c r="B130" s="56" t="str">
        <f>C_Interface!C7</f>
        <v>DRR/CCA screening step in project and budget approval (LDC, LFC)</v>
      </c>
      <c r="C130" s="55" t="s">
        <v>1329</v>
      </c>
      <c r="D130" s="55" t="str">
        <f>IF(C_Interface!I7="","",C_Interface!I7)</f>
        <v/>
      </c>
      <c r="E130" s="55" t="str">
        <f>C_Interface!N7</f>
        <v/>
      </c>
      <c r="F130" s="56" t="str">
        <f>C_Interface!O7</f>
        <v>Not scored</v>
      </c>
      <c r="G130" s="56" t="str">
        <f>IF(C_Interface!L7="","",C_Interface!L7)</f>
        <v>Add a DRR/CCA screening step to project approval.</v>
      </c>
      <c r="H130" s="57" t="str">
        <f>C_Interface!E7</f>
        <v>CPDO; City Budget Office</v>
      </c>
      <c r="I130" s="58" t="inlineStr">
        <is>
          <t xml:space="preserve">Q2 2027 (before FY2028 LDC/LFC review)</t>
        </is>
      </c>
      <c r="J130" s="57" t="inlineStr">
        <is>
          <t xml:space="preserve">No cost</t>
        </is>
      </c>
      <c r="K130" s="56" t="str">
        <f>C_Interface!P7</f>
        <v>MOO Ch.3 / Ch.5</v>
      </c>
      <c r="L130" s="58" t="s">
        <v>1235</v>
      </c>
      <c r="M130" s="19"/>
      <c r="N130" s="19"/>
      <c r="O130" s="19"/>
      <c r="P130" s="19"/>
      <c r="Q130" s="19"/>
      <c r="R130" s="19"/>
      <c r="S130" s="19"/>
      <c r="T130" s="19"/>
      <c r="U130" s="19"/>
      <c r="V130" s="19"/>
      <c r="W130" s="19"/>
      <c r="X130" s="19"/>
      <c r="Y130" s="19"/>
      <c r="Z130" s="19"/>
    </row>
    <row r="131" ht="32.25" customHeight="1">
      <c r="A131" s="55" t="str">
        <f>C_Interface!A8</f>
        <v>C1.3</v>
      </c>
      <c r="B131" s="56" t="str">
        <f>C_Interface!C8</f>
        <v>CDRA estimates losses beyond physical assets: livelihoods and jobs, housing and displacement, agriculture, ecosystems, cultural heritage</v>
      </c>
      <c r="C131" s="55" t="s">
        <v>1329</v>
      </c>
      <c r="D131" s="55" t="str">
        <f>IF(C_Interface!I8="","",C_Interface!I8)</f>
        <v/>
      </c>
      <c r="E131" s="55" t="str">
        <f>C_Interface!N8</f>
        <v/>
      </c>
      <c r="F131" s="56" t="str">
        <f>C_Interface!O8</f>
        <v>Not scored</v>
      </c>
      <c r="G131" s="56" t="str">
        <f>IF(C_Interface!L8="","",C_Interface!L8)</f>
        <v>Include livelihood, housing, agriculture and ecosystem losses in the CDRA update.</v>
      </c>
      <c r="H131" s="57" t="str">
        <f>C_Interface!E8</f>
        <v>CPDO</v>
      </c>
      <c r="I131" s="58" t="s">
        <v>1268</v>
      </c>
      <c r="J131" s="57" t="inlineStr">
        <is>
          <t xml:space="preserve">General Fund (CPDO, CDRA update)</t>
        </is>
      </c>
      <c r="K131" s="56" t="str">
        <f>C_Interface!P8</f>
        <v>MOO Ch.3</v>
      </c>
      <c r="L131" s="58" t="s">
        <v>1235</v>
      </c>
      <c r="M131" s="19"/>
      <c r="N131" s="19"/>
      <c r="O131" s="19"/>
      <c r="P131" s="19"/>
      <c r="Q131" s="19"/>
      <c r="R131" s="19"/>
      <c r="S131" s="19"/>
      <c r="T131" s="19"/>
      <c r="U131" s="19"/>
      <c r="V131" s="19"/>
      <c r="W131" s="19"/>
      <c r="X131" s="19"/>
      <c r="Y131" s="19"/>
      <c r="Z131" s="19"/>
    </row>
    <row r="132" ht="21.75" customHeight="1">
      <c r="A132" s="55" t="str">
        <f>C_Interface!A9</f>
        <v>C1.4</v>
      </c>
      <c r="B132" s="56" t="str">
        <f>C_Interface!C9</f>
        <v>Risk-sensitive development guidelines applied in zoning and building permits, based on hazard maps</v>
      </c>
      <c r="C132" s="55" t="s">
        <v>1329</v>
      </c>
      <c r="D132" s="55">
        <f>IF(C_Interface!I9="","",C_Interface!I9)</f>
        <v>2</v>
      </c>
      <c r="E132" s="55" t="str">
        <f>C_Interface!N9</f>
        <v>Medium</v>
      </c>
      <c r="F132" s="56" t="str">
        <f>C_Interface!O9</f>
        <v>Below</v>
      </c>
      <c r="G132" s="56" t="str">
        <f>IF(C_Interface!L9="","",C_Interface!L9)</f>
        <v>Apply hazard-based guidelines in building permits.</v>
      </c>
      <c r="H132" s="57" t="str">
        <f>C_Interface!E9</f>
        <v>CPDO; Zoning Administrator</v>
      </c>
      <c r="I132" s="58" t="inlineStr">
        <is>
          <t xml:space="preserve">With ZO update (2027)</t>
        </is>
      </c>
      <c r="J132" s="57" t="inlineStr">
        <is>
          <t xml:space="preserve">No cost</t>
        </is>
      </c>
      <c r="K132" s="56" t="str">
        <f>C_Interface!P9</f>
        <v>MOO Ch.3</v>
      </c>
      <c r="L132" s="58" t="s">
        <v>1242</v>
      </c>
      <c r="M132" s="19"/>
      <c r="N132" s="19"/>
      <c r="O132" s="19"/>
      <c r="P132" s="19"/>
      <c r="Q132" s="19"/>
      <c r="R132" s="19"/>
      <c r="S132" s="19"/>
      <c r="T132" s="19"/>
      <c r="U132" s="19"/>
      <c r="V132" s="19"/>
      <c r="W132" s="19"/>
      <c r="X132" s="19"/>
      <c r="Y132" s="19"/>
      <c r="Z132" s="19"/>
    </row>
    <row r="133" ht="32.25" customHeight="1">
      <c r="A133" s="55" t="str">
        <f>C_Interface!A11</f>
        <v>C2.1</v>
      </c>
      <c r="B133" s="56" t="str">
        <f>C_Interface!C11</f>
        <v>Structural safety of the EOC, evacuation centers and critical public facilities assessed by the Building Official, with a rapid safety inspection procedure before forecast impact</v>
      </c>
      <c r="C133" s="55" t="s">
        <v>1329</v>
      </c>
      <c r="D133" s="55" t="str">
        <f>IF(C_Interface!I11="","",C_Interface!I11)</f>
        <v/>
      </c>
      <c r="E133" s="55" t="str">
        <f>C_Interface!N11</f>
        <v/>
      </c>
      <c r="F133" s="56" t="str">
        <f>C_Interface!O11</f>
        <v>Not scored</v>
      </c>
      <c r="G133" s="56" t="str">
        <f>IF(C_Interface!L11="","",C_Interface!L11)</f>
        <v>Assess EOC, ECs and critical facilities; write a rapid pre-impact inspection checklist.</v>
      </c>
      <c r="H133" s="57" t="str">
        <f>C_Interface!E11</f>
        <v>City Engineer / Building Official</v>
      </c>
      <c r="I133" s="58" t="s">
        <v>1259</v>
      </c>
      <c r="J133" s="57" t="s">
        <v>1320</v>
      </c>
      <c r="K133" s="56" t="str">
        <f>C_Interface!P11</f>
        <v>EOC Ch.3 / MOO Ch.4</v>
      </c>
      <c r="L133" s="58" t="s">
        <v>1235</v>
      </c>
      <c r="M133" s="19"/>
      <c r="N133" s="19"/>
      <c r="O133" s="19"/>
      <c r="P133" s="19"/>
      <c r="Q133" s="19"/>
      <c r="R133" s="19"/>
      <c r="S133" s="19"/>
      <c r="T133" s="19"/>
      <c r="U133" s="19"/>
      <c r="V133" s="19"/>
      <c r="W133" s="19"/>
      <c r="X133" s="19"/>
      <c r="Y133" s="19"/>
      <c r="Z133" s="19"/>
    </row>
    <row r="134" ht="32.25" customHeight="1">
      <c r="A134" s="55" t="str">
        <f>C_Interface!A12</f>
        <v>C2.2</v>
      </c>
      <c r="B134" s="56" t="str">
        <f>C_Interface!C12</f>
        <v>Pre-crisis and priority-restoration arrangements with power, water and telecom providers (load-shedding and water-rationing plans, cell-on-wheels, restoration priority list)</v>
      </c>
      <c r="C134" s="55" t="s">
        <v>1329</v>
      </c>
      <c r="D134" s="55">
        <f>IF(C_Interface!I12="","",C_Interface!I12)</f>
        <v>1</v>
      </c>
      <c r="E134" s="55" t="str">
        <f>C_Interface!N12</f>
        <v>Medium</v>
      </c>
      <c r="F134" s="56" t="str">
        <f>C_Interface!O12</f>
        <v>Below</v>
      </c>
      <c r="G134" s="56" t="str">
        <f>IF(C_Interface!L12="","",C_Interface!L12)</f>
        <v>Sign restoration-priority arrangements with power, water and telecom providers.</v>
      </c>
      <c r="H134" s="57" t="str">
        <f>C_Interface!E12</f>
        <v>CDRRMO with utility providers</v>
      </c>
      <c r="I134" s="58" t="inlineStr">
        <is>
          <t xml:space="preserve">Q2 2027 (before typhoon season)</t>
        </is>
      </c>
      <c r="J134" s="57" t="inlineStr">
        <is>
          <t xml:space="preserve">No cost (MOAs)</t>
        </is>
      </c>
      <c r="K134" s="56" t="str">
        <f>C_Interface!P12</f>
        <v>MOO Ch.9 / EOC Ch.7</v>
      </c>
      <c r="L134" s="58" t="s">
        <v>1235</v>
      </c>
      <c r="M134" s="19"/>
      <c r="N134" s="19"/>
      <c r="O134" s="19"/>
      <c r="P134" s="19"/>
      <c r="Q134" s="19"/>
      <c r="R134" s="19"/>
      <c r="S134" s="19"/>
      <c r="T134" s="19"/>
      <c r="U134" s="19"/>
      <c r="V134" s="19"/>
      <c r="W134" s="19"/>
      <c r="X134" s="19"/>
      <c r="Y134" s="19"/>
      <c r="Z134" s="19"/>
    </row>
    <row r="135" ht="32.25" customHeight="1">
      <c r="A135" s="55" t="str">
        <f>C_Interface!A13</f>
        <v>C2.3</v>
      </c>
      <c r="B135" s="56" t="str">
        <f>C_Interface!C13</f>
        <v>Transport anticipatory actions: pre-inspection of bridges, alternate routes and traffic teams, coordination with seaport and terminal operators</v>
      </c>
      <c r="C135" s="55" t="s">
        <v>1329</v>
      </c>
      <c r="D135" s="55" t="str">
        <f>IF(C_Interface!I13="","",C_Interface!I13)</f>
        <v/>
      </c>
      <c r="E135" s="55" t="str">
        <f>C_Interface!N13</f>
        <v/>
      </c>
      <c r="F135" s="56" t="str">
        <f>C_Interface!O13</f>
        <v>Not scored</v>
      </c>
      <c r="G135" s="56" t="str">
        <f>IF(C_Interface!L13="","",C_Interface!L13)</f>
        <v>Write transport AA steps with DPWH and the port.</v>
      </c>
      <c r="H135" s="57" t="str">
        <f>C_Interface!E13</f>
        <v>City Engineer; traffic office; DPWH; port operator</v>
      </c>
      <c r="I135" s="58" t="inlineStr">
        <is>
          <t xml:space="preserve">Q2 2027</t>
        </is>
      </c>
      <c r="J135" s="57" t="inlineStr">
        <is>
          <t xml:space="preserve">No cost</t>
        </is>
      </c>
      <c r="K135" s="56" t="str">
        <f>C_Interface!P13</f>
        <v>EOC Ch.7</v>
      </c>
      <c r="L135" s="58" t="s">
        <v>1235</v>
      </c>
      <c r="M135" s="19"/>
      <c r="N135" s="19"/>
      <c r="O135" s="19"/>
      <c r="P135" s="19"/>
      <c r="Q135" s="19"/>
      <c r="R135" s="19"/>
      <c r="S135" s="19"/>
      <c r="T135" s="19"/>
      <c r="U135" s="19"/>
      <c r="V135" s="19"/>
      <c r="W135" s="19"/>
      <c r="X135" s="19"/>
      <c r="Y135" s="19"/>
      <c r="Z135" s="19"/>
    </row>
    <row r="136" ht="32.25" customHeight="1">
      <c r="A136" s="55" t="str">
        <f>C_Interface!A15</f>
        <v>C3.1</v>
      </c>
      <c r="B136" s="56" t="str">
        <f>C_Interface!C15</f>
        <v>Critical protective ecosystems (upper Anilao-Malbasag watershed, upland forest cover, coastal mangroves) identified and monitored as risk-reduction assets</v>
      </c>
      <c r="C136" s="55" t="s">
        <v>1329</v>
      </c>
      <c r="D136" s="55">
        <f>IF(C_Interface!I15="","",C_Interface!I15)</f>
        <v>1</v>
      </c>
      <c r="E136" s="55" t="str">
        <f>C_Interface!N15</f>
        <v>Medium</v>
      </c>
      <c r="F136" s="56" t="str">
        <f>C_Interface!O15</f>
        <v>Below</v>
      </c>
      <c r="G136" s="56" t="str">
        <f>IF(C_Interface!L15="","",C_Interface!L15)</f>
        <v>Complete the watershed study and monitor protective ecosystems.</v>
      </c>
      <c r="H136" s="57" t="str">
        <f>C_Interface!E15</f>
        <v>CENRO; DENR CENRO</v>
      </c>
      <c r="I136" s="58" t="inlineStr">
        <is>
          <t xml:space="preserve">2027-2028</t>
        </is>
      </c>
      <c r="J136" s="57" t="inlineStr">
        <is>
          <t xml:space="preserve">General Fund (CENRO); LDRRMF 70% (watershed study)</t>
        </is>
      </c>
      <c r="K136" s="56" t="str">
        <f>C_Interface!P15</f>
        <v>MOO Ch.3</v>
      </c>
      <c r="L136" s="58" t="s">
        <v>1235</v>
      </c>
      <c r="M136" s="19"/>
      <c r="N136" s="19"/>
      <c r="O136" s="19"/>
      <c r="P136" s="19"/>
      <c r="Q136" s="19"/>
      <c r="R136" s="19"/>
      <c r="S136" s="19"/>
      <c r="T136" s="19"/>
      <c r="U136" s="19"/>
      <c r="V136" s="19"/>
      <c r="W136" s="19"/>
      <c r="X136" s="19"/>
      <c r="Y136" s="19"/>
      <c r="Z136" s="19"/>
    </row>
    <row r="137" ht="21.75" customHeight="1">
      <c r="A137" s="55" t="str">
        <f>C_Interface!A16</f>
        <v>C3.2</v>
      </c>
      <c r="B137" s="56" t="str">
        <f>C_Interface!C16</f>
        <v>Arrangements with neighbouring LGUs and DENR where watersheds or protective ecosystems extend beyond city limits</v>
      </c>
      <c r="C137" s="55" t="s">
        <v>1329</v>
      </c>
      <c r="D137" s="55">
        <f>IF(C_Interface!I16="","",C_Interface!I16)</f>
        <v>1</v>
      </c>
      <c r="E137" s="55" t="str">
        <f>C_Interface!N16</f>
        <v>Low</v>
      </c>
      <c r="F137" s="56" t="str">
        <f>C_Interface!O16</f>
        <v>Below</v>
      </c>
      <c r="G137" s="56" t="str">
        <f>IF(C_Interface!L16="","",C_Interface!L16)</f>
        <v>Formalise watershed arrangements with DENR, EDC and neighbouring LGUs.</v>
      </c>
      <c r="H137" s="57" t="str">
        <f>C_Interface!E16</f>
        <v>CENRO</v>
      </c>
      <c r="I137" s="58" t="inlineStr">
        <is>
          <t xml:space="preserve">2028</t>
        </is>
      </c>
      <c r="J137" s="57" t="inlineStr">
        <is>
          <t xml:space="preserve">No cost (MOA)</t>
        </is>
      </c>
      <c r="K137" s="56" t="str">
        <f>C_Interface!P16</f>
        <v>MOO Ch.9</v>
      </c>
      <c r="L137" s="58" t="s">
        <v>1235</v>
      </c>
      <c r="M137" s="19"/>
      <c r="N137" s="19"/>
      <c r="O137" s="19"/>
      <c r="P137" s="19"/>
      <c r="Q137" s="19"/>
      <c r="R137" s="19"/>
      <c r="S137" s="19"/>
      <c r="T137" s="19"/>
      <c r="U137" s="19"/>
      <c r="V137" s="19"/>
      <c r="W137" s="19"/>
      <c r="X137" s="19"/>
      <c r="Y137" s="19"/>
      <c r="Z137" s="19"/>
    </row>
    <row r="138" ht="21.75" customHeight="1">
      <c r="A138" s="55" t="str">
        <f>C_Interface!A17</f>
        <v>C3.3</v>
      </c>
      <c r="B138" s="56" t="str">
        <f>C_Interface!C17</f>
        <v>Environmental anticipatory actions: declogging of waterways and drainage, slope stabilization, safe debris and carcass disposal</v>
      </c>
      <c r="C138" s="55" t="s">
        <v>1329</v>
      </c>
      <c r="D138" s="55">
        <f>IF(C_Interface!I17="","",C_Interface!I17)</f>
        <v>1</v>
      </c>
      <c r="E138" s="55" t="str">
        <f>C_Interface!N17</f>
        <v>Medium</v>
      </c>
      <c r="F138" s="56" t="str">
        <f>C_Interface!O17</f>
        <v>Below</v>
      </c>
      <c r="G138" s="56" t="str">
        <f>IF(C_Interface!L17="","",C_Interface!L17)</f>
        <v>Write the declogging and debris protocol.</v>
      </c>
      <c r="H138" s="57" t="str">
        <f>C_Interface!E17</f>
        <v>CENRO; City Engineer; GSO</v>
      </c>
      <c r="I138" s="58" t="inlineStr">
        <is>
          <t xml:space="preserve">Before typhoon season each year</t>
        </is>
      </c>
      <c r="J138" s="57" t="inlineStr">
        <is>
          <t xml:space="preserve">General Fund (CEO/GSO maintenance)</t>
        </is>
      </c>
      <c r="K138" s="56" t="str">
        <f>C_Interface!P17</f>
        <v>EOC Ch.2</v>
      </c>
      <c r="L138" s="58" t="s">
        <v>1235</v>
      </c>
      <c r="M138" s="19"/>
      <c r="N138" s="19"/>
      <c r="O138" s="19"/>
      <c r="P138" s="19"/>
      <c r="Q138" s="19"/>
      <c r="R138" s="19"/>
      <c r="S138" s="19"/>
      <c r="T138" s="19"/>
      <c r="U138" s="19"/>
      <c r="V138" s="19"/>
      <c r="W138" s="19"/>
      <c r="X138" s="19"/>
      <c r="Y138" s="19"/>
      <c r="Z138" s="19"/>
    </row>
    <row r="139" ht="32.25" customHeight="1">
      <c r="A139" s="55" t="str">
        <f>C_Interface!A19</f>
        <v>C4.1</v>
      </c>
      <c r="B139" s="56" t="str">
        <f>C_Interface!C19</f>
        <v>Health anticipatory action: Health Cluster activation, facility service-continuity and surge plans, prepositioned commodities, health emergency response teams on standby</v>
      </c>
      <c r="C139" s="55" t="s">
        <v>1329</v>
      </c>
      <c r="D139" s="55">
        <f>IF(C_Interface!I19="","",C_Interface!I19)</f>
        <v>1</v>
      </c>
      <c r="E139" s="55" t="str">
        <f>C_Interface!N19</f>
        <v>High</v>
      </c>
      <c r="F139" s="56" t="str">
        <f>C_Interface!O19</f>
        <v>Below</v>
      </c>
      <c r="G139" s="56" t="str">
        <f>IF(C_Interface!L19="","",C_Interface!L19)</f>
        <v>Prepare the health AA plan with CHO and hospitals.</v>
      </c>
      <c r="H139" s="57" t="str">
        <f>C_Interface!E19</f>
        <v>City Health Office; hospitals</v>
      </c>
      <c r="I139" s="58" t="inlineStr">
        <is>
          <t xml:space="preserve">Q3 2027</t>
        </is>
      </c>
      <c r="J139" s="57" t="inlineStr">
        <is>
          <t xml:space="preserve">General Fund (CHO); DOH support</t>
        </is>
      </c>
      <c r="K139" s="56" t="str">
        <f>C_Interface!P19</f>
        <v>EOC Ch.4</v>
      </c>
      <c r="L139" s="58" t="s">
        <v>1235</v>
      </c>
      <c r="M139" s="19"/>
      <c r="N139" s="19"/>
      <c r="O139" s="19"/>
      <c r="P139" s="19"/>
      <c r="Q139" s="19"/>
      <c r="R139" s="19"/>
      <c r="S139" s="19"/>
      <c r="T139" s="19"/>
      <c r="U139" s="19"/>
      <c r="V139" s="19"/>
      <c r="W139" s="19"/>
      <c r="X139" s="19"/>
      <c r="Y139" s="19"/>
      <c r="Z139" s="19"/>
    </row>
    <row r="140" ht="21.75" customHeight="1">
      <c r="A140" s="55" t="str">
        <f>C_Interface!A20</f>
        <v>C4.2</v>
      </c>
      <c r="B140" s="56" t="str">
        <f>C_Interface!C20</f>
        <v>Education anticipatory action: schools' AA plans and learning-continuity modalities</v>
      </c>
      <c r="C140" s="55" t="s">
        <v>1329</v>
      </c>
      <c r="D140" s="55" t="str">
        <f>IF(C_Interface!I20="","",C_Interface!I20)</f>
        <v/>
      </c>
      <c r="E140" s="55" t="str">
        <f>C_Interface!N20</f>
        <v/>
      </c>
      <c r="F140" s="56" t="str">
        <f>C_Interface!O20</f>
        <v>Not scored</v>
      </c>
      <c r="G140" s="56" t="str">
        <f>IF(C_Interface!L20="","",C_Interface!L20)</f>
        <v>Ask DepEd SDO for school AA plans.</v>
      </c>
      <c r="H140" s="57" t="str">
        <f>C_Interface!E20</f>
        <v>DepEd Schools Division of Ormoc City</v>
      </c>
      <c r="I140" s="58" t="inlineStr">
        <is>
          <t xml:space="preserve">Q1 2027 (KII)</t>
        </is>
      </c>
      <c r="J140" s="57" t="inlineStr">
        <is>
          <t xml:space="preserve">No cost</t>
        </is>
      </c>
      <c r="K140" s="56" t="str">
        <f>C_Interface!P20</f>
        <v>EOC Ch.4</v>
      </c>
      <c r="L140" s="58" t="s">
        <v>1235</v>
      </c>
      <c r="M140" s="19"/>
      <c r="N140" s="19"/>
      <c r="O140" s="19"/>
      <c r="P140" s="19"/>
      <c r="Q140" s="19"/>
      <c r="R140" s="19"/>
      <c r="S140" s="19"/>
      <c r="T140" s="19"/>
      <c r="U140" s="19"/>
      <c r="V140" s="19"/>
      <c r="W140" s="19"/>
      <c r="X140" s="19"/>
      <c r="Y140" s="19"/>
      <c r="Z140" s="19"/>
    </row>
    <row r="141" ht="32.25" customHeight="1">
      <c r="A141" s="55" t="str">
        <f>C_Interface!A21</f>
        <v>C4.3</v>
      </c>
      <c r="B141" s="56" t="str">
        <f>C_Interface!C21</f>
        <v>Agri-fisheries anticipatory action using RSBSA, FishR and livestock registries; early action guidelines on storage, inputs and animal health</v>
      </c>
      <c r="C141" s="55" t="s">
        <v>1329</v>
      </c>
      <c r="D141" s="55" t="str">
        <f>IF(C_Interface!I21="","",C_Interface!I21)</f>
        <v/>
      </c>
      <c r="E141" s="55" t="str">
        <f>C_Interface!N21</f>
        <v/>
      </c>
      <c r="F141" s="56" t="str">
        <f>C_Interface!O21</f>
        <v>Not scored</v>
      </c>
      <c r="G141" s="56" t="str">
        <f>IF(C_Interface!L21="","",C_Interface!L21)</f>
        <v>Draft agri-fisheries early action guidelines.</v>
      </c>
      <c r="H141" s="57" t="str">
        <f>C_Interface!E21</f>
        <v>City Agriculture Office; City Veterinary Office</v>
      </c>
      <c r="I141" s="58" t="inlineStr">
        <is>
          <t xml:space="preserve">Q3 2027</t>
        </is>
      </c>
      <c r="J141" s="57" t="inlineStr">
        <is>
          <t xml:space="preserve">General Fund (CAO/CVO)</t>
        </is>
      </c>
      <c r="K141" s="56" t="str">
        <f>C_Interface!P21</f>
        <v>EOC Ch.4</v>
      </c>
      <c r="L141" s="58" t="s">
        <v>1235</v>
      </c>
      <c r="M141" s="19"/>
      <c r="N141" s="19"/>
      <c r="O141" s="19"/>
      <c r="P141" s="19"/>
      <c r="Q141" s="19"/>
      <c r="R141" s="19"/>
      <c r="S141" s="19"/>
      <c r="T141" s="19"/>
      <c r="U141" s="19"/>
      <c r="V141" s="19"/>
      <c r="W141" s="19"/>
      <c r="X141" s="19"/>
      <c r="Y141" s="19"/>
      <c r="Z141" s="19"/>
    </row>
    <row r="142" ht="21.75" customHeight="1">
      <c r="A142" s="55" t="str">
        <f>C_Interface!A22</f>
        <v>C4.4</v>
      </c>
      <c r="B142" s="56" t="str">
        <f>C_Interface!C22</f>
        <v>Pre-impact price monitoring and anti-profiteering of basic goods</v>
      </c>
      <c r="C142" s="55" t="s">
        <v>1329</v>
      </c>
      <c r="D142" s="55" t="str">
        <f>IF(C_Interface!I22="","",C_Interface!I22)</f>
        <v/>
      </c>
      <c r="E142" s="55" t="str">
        <f>C_Interface!N22</f>
        <v/>
      </c>
      <c r="F142" s="56" t="str">
        <f>C_Interface!O22</f>
        <v>Not scored</v>
      </c>
      <c r="G142" s="56" t="str">
        <f>IF(C_Interface!L22="","",C_Interface!L22)</f>
        <v>Agree pre-impact price monitoring with DTI.</v>
      </c>
      <c r="H142" s="57" t="str">
        <f>C_Interface!E22</f>
        <v>DTI Leyte; city market office</v>
      </c>
      <c r="I142" s="58" t="inlineStr">
        <is>
          <t xml:space="preserve">Q1 2027</t>
        </is>
      </c>
      <c r="J142" s="57" t="inlineStr">
        <is>
          <t xml:space="preserve">No cost</t>
        </is>
      </c>
      <c r="K142" s="56" t="str">
        <f>C_Interface!P22</f>
        <v>EOC Ch.4</v>
      </c>
      <c r="L142" s="58" t="s">
        <v>1235</v>
      </c>
      <c r="M142" s="19"/>
      <c r="N142" s="19"/>
      <c r="O142" s="19"/>
      <c r="P142" s="19"/>
      <c r="Q142" s="19"/>
      <c r="R142" s="19"/>
      <c r="S142" s="19"/>
      <c r="T142" s="19"/>
      <c r="U142" s="19"/>
      <c r="V142" s="19"/>
      <c r="W142" s="19"/>
      <c r="X142" s="19"/>
      <c r="Y142" s="19"/>
      <c r="Z142" s="19"/>
    </row>
    <row r="143" ht="21.75" customHeight="1">
      <c r="A143" s="55" t="str">
        <f>C_Interface!A24</f>
        <v>C5.1</v>
      </c>
      <c r="B143" s="56" t="str">
        <f>C_Interface!C24</f>
        <v>Business continuity outreach to local businesses based on shared hazard scenarios (outreach only; no mandate implied)</v>
      </c>
      <c r="C143" s="55" t="s">
        <v>1329</v>
      </c>
      <c r="D143" s="55" t="str">
        <f>IF(C_Interface!I24="","",C_Interface!I24)</f>
        <v/>
      </c>
      <c r="E143" s="55" t="str">
        <f>C_Interface!N24</f>
        <v/>
      </c>
      <c r="F143" s="56" t="str">
        <f>C_Interface!O24</f>
        <v>Not scored</v>
      </c>
      <c r="G143" s="56" t="str">
        <f>IF(C_Interface!L24="","",C_Interface!L24)</f>
        <v>Run business continuity outreach with the Chamber.</v>
      </c>
      <c r="H143" s="57" t="str">
        <f>C_Interface!E24</f>
        <v>CDRRMO with Chamber of Commerce</v>
      </c>
      <c r="I143" s="58" t="inlineStr">
        <is>
          <t xml:space="preserve">Q4 2027</t>
        </is>
      </c>
      <c r="J143" s="57" t="inlineStr">
        <is>
          <t xml:space="preserve">No cost</t>
        </is>
      </c>
      <c r="K143" s="56" t="str">
        <f>C_Interface!P24</f>
        <v>MOO Ch.9</v>
      </c>
      <c r="L143" s="58" t="s">
        <v>1235</v>
      </c>
      <c r="M143" s="19"/>
      <c r="N143" s="19"/>
      <c r="O143" s="19"/>
      <c r="P143" s="19"/>
      <c r="Q143" s="19"/>
      <c r="R143" s="19"/>
      <c r="S143" s="19"/>
      <c r="T143" s="19"/>
      <c r="U143" s="19"/>
      <c r="V143" s="19"/>
      <c r="W143" s="19"/>
      <c r="X143" s="19"/>
      <c r="Y143" s="19"/>
      <c r="Z143" s="19"/>
    </row>
    <row r="144" ht="15.0" customHeight="1">
      <c r="A144" s="19"/>
      <c r="B144" s="19"/>
      <c r="C144" s="19"/>
      <c r="D144" s="19"/>
      <c r="E144" s="19"/>
      <c r="F144" s="19"/>
      <c r="G144" s="53"/>
      <c r="H144" s="19"/>
      <c r="I144" s="19"/>
      <c r="J144" s="19"/>
      <c r="K144" s="19"/>
      <c r="L144" s="19"/>
      <c r="M144" s="19"/>
      <c r="N144" s="19"/>
      <c r="O144" s="19"/>
      <c r="P144" s="19"/>
      <c r="Q144" s="19"/>
      <c r="R144" s="19"/>
      <c r="S144" s="19"/>
      <c r="T144" s="19"/>
      <c r="U144" s="19"/>
      <c r="V144" s="19"/>
      <c r="W144" s="19"/>
      <c r="X144" s="19"/>
      <c r="Y144" s="19"/>
      <c r="Z144" s="19"/>
    </row>
    <row r="145" ht="15.0" customHeight="1">
      <c r="A145" s="19"/>
      <c r="B145" s="19"/>
      <c r="C145" s="19"/>
      <c r="D145" s="19"/>
      <c r="E145" s="19"/>
      <c r="F145" s="19"/>
      <c r="G145" s="53"/>
      <c r="H145" s="19"/>
      <c r="I145" s="19"/>
      <c r="J145" s="19"/>
      <c r="K145" s="19"/>
      <c r="L145" s="19"/>
      <c r="M145" s="19"/>
      <c r="N145" s="19"/>
      <c r="O145" s="19"/>
      <c r="P145" s="19"/>
      <c r="Q145" s="19"/>
      <c r="R145" s="19"/>
      <c r="S145" s="19"/>
      <c r="T145" s="19"/>
      <c r="U145" s="19"/>
      <c r="V145" s="19"/>
      <c r="W145" s="19"/>
      <c r="X145" s="19"/>
      <c r="Y145" s="19"/>
      <c r="Z145" s="19"/>
    </row>
    <row r="146" ht="15.0" customHeight="1">
      <c r="A146" s="19"/>
      <c r="B146" s="19"/>
      <c r="C146" s="19"/>
      <c r="D146" s="19"/>
      <c r="E146" s="19"/>
      <c r="F146" s="19"/>
      <c r="G146" s="53"/>
      <c r="H146" s="19"/>
      <c r="I146" s="19"/>
      <c r="J146" s="19"/>
      <c r="K146" s="19"/>
      <c r="L146" s="19"/>
      <c r="M146" s="19"/>
      <c r="N146" s="19"/>
      <c r="O146" s="19"/>
      <c r="P146" s="19"/>
      <c r="Q146" s="19"/>
      <c r="R146" s="19"/>
      <c r="S146" s="19"/>
      <c r="T146" s="19"/>
      <c r="U146" s="19"/>
      <c r="V146" s="19"/>
      <c r="W146" s="19"/>
      <c r="X146" s="19"/>
      <c r="Y146" s="19"/>
      <c r="Z146" s="19"/>
    </row>
    <row r="147" ht="15.0" customHeight="1">
      <c r="A147" s="19"/>
      <c r="B147" s="19"/>
      <c r="C147" s="19"/>
      <c r="D147" s="19"/>
      <c r="E147" s="19"/>
      <c r="F147" s="19"/>
      <c r="G147" s="53"/>
      <c r="H147" s="19"/>
      <c r="I147" s="19"/>
      <c r="J147" s="19"/>
      <c r="K147" s="19"/>
      <c r="L147" s="19"/>
      <c r="M147" s="19"/>
      <c r="N147" s="19"/>
      <c r="O147" s="19"/>
      <c r="P147" s="19"/>
      <c r="Q147" s="19"/>
      <c r="R147" s="19"/>
      <c r="S147" s="19"/>
      <c r="T147" s="19"/>
      <c r="U147" s="19"/>
      <c r="V147" s="19"/>
      <c r="W147" s="19"/>
      <c r="X147" s="19"/>
      <c r="Y147" s="19"/>
      <c r="Z147" s="19"/>
    </row>
    <row r="148" ht="15.0" customHeight="1">
      <c r="A148" s="19"/>
      <c r="B148" s="19"/>
      <c r="C148" s="19"/>
      <c r="D148" s="19"/>
      <c r="E148" s="19"/>
      <c r="F148" s="19"/>
      <c r="G148" s="53"/>
      <c r="H148" s="19"/>
      <c r="I148" s="19"/>
      <c r="J148" s="19"/>
      <c r="K148" s="19"/>
      <c r="L148" s="19"/>
      <c r="M148" s="19"/>
      <c r="N148" s="19"/>
      <c r="O148" s="19"/>
      <c r="P148" s="19"/>
      <c r="Q148" s="19"/>
      <c r="R148" s="19"/>
      <c r="S148" s="19"/>
      <c r="T148" s="19"/>
      <c r="U148" s="19"/>
      <c r="V148" s="19"/>
      <c r="W148" s="19"/>
      <c r="X148" s="19"/>
      <c r="Y148" s="19"/>
      <c r="Z148" s="19"/>
    </row>
    <row r="149" ht="15.0" customHeight="1">
      <c r="A149" s="19"/>
      <c r="B149" s="19"/>
      <c r="C149" s="19"/>
      <c r="D149" s="19"/>
      <c r="E149" s="19"/>
      <c r="F149" s="19"/>
      <c r="G149" s="53"/>
      <c r="H149" s="19"/>
      <c r="I149" s="19"/>
      <c r="J149" s="19"/>
      <c r="K149" s="19"/>
      <c r="L149" s="19"/>
      <c r="M149" s="19"/>
      <c r="N149" s="19"/>
      <c r="O149" s="19"/>
      <c r="P149" s="19"/>
      <c r="Q149" s="19"/>
      <c r="R149" s="19"/>
      <c r="S149" s="19"/>
      <c r="T149" s="19"/>
      <c r="U149" s="19"/>
      <c r="V149" s="19"/>
      <c r="W149" s="19"/>
      <c r="X149" s="19"/>
      <c r="Y149" s="19"/>
      <c r="Z149" s="19"/>
    </row>
    <row r="150" ht="15.0" customHeight="1">
      <c r="A150" s="19"/>
      <c r="B150" s="19"/>
      <c r="C150" s="19"/>
      <c r="D150" s="19"/>
      <c r="E150" s="19"/>
      <c r="F150" s="19"/>
      <c r="G150" s="53"/>
      <c r="H150" s="19"/>
      <c r="I150" s="19"/>
      <c r="J150" s="19"/>
      <c r="K150" s="19"/>
      <c r="L150" s="19"/>
      <c r="M150" s="19"/>
      <c r="N150" s="19"/>
      <c r="O150" s="19"/>
      <c r="P150" s="19"/>
      <c r="Q150" s="19"/>
      <c r="R150" s="19"/>
      <c r="S150" s="19"/>
      <c r="T150" s="19"/>
      <c r="U150" s="19"/>
      <c r="V150" s="19"/>
      <c r="W150" s="19"/>
      <c r="X150" s="19"/>
      <c r="Y150" s="19"/>
      <c r="Z150" s="19"/>
    </row>
    <row r="151" ht="15.0" customHeight="1">
      <c r="A151" s="19"/>
      <c r="B151" s="19"/>
      <c r="C151" s="19"/>
      <c r="D151" s="19"/>
      <c r="E151" s="19"/>
      <c r="F151" s="19"/>
      <c r="G151" s="53"/>
      <c r="H151" s="19"/>
      <c r="I151" s="19"/>
      <c r="J151" s="19"/>
      <c r="K151" s="19"/>
      <c r="L151" s="19"/>
      <c r="M151" s="19"/>
      <c r="N151" s="19"/>
      <c r="O151" s="19"/>
      <c r="P151" s="19"/>
      <c r="Q151" s="19"/>
      <c r="R151" s="19"/>
      <c r="S151" s="19"/>
      <c r="T151" s="19"/>
      <c r="U151" s="19"/>
      <c r="V151" s="19"/>
      <c r="W151" s="19"/>
      <c r="X151" s="19"/>
      <c r="Y151" s="19"/>
      <c r="Z151" s="19"/>
    </row>
    <row r="152" ht="15.0" customHeight="1">
      <c r="A152" s="19"/>
      <c r="B152" s="19"/>
      <c r="C152" s="19"/>
      <c r="D152" s="19"/>
      <c r="E152" s="19"/>
      <c r="F152" s="19"/>
      <c r="G152" s="53"/>
      <c r="H152" s="19"/>
      <c r="I152" s="19"/>
      <c r="J152" s="19"/>
      <c r="K152" s="19"/>
      <c r="L152" s="19"/>
      <c r="M152" s="19"/>
      <c r="N152" s="19"/>
      <c r="O152" s="19"/>
      <c r="P152" s="19"/>
      <c r="Q152" s="19"/>
      <c r="R152" s="19"/>
      <c r="S152" s="19"/>
      <c r="T152" s="19"/>
      <c r="U152" s="19"/>
      <c r="V152" s="19"/>
      <c r="W152" s="19"/>
      <c r="X152" s="19"/>
      <c r="Y152" s="19"/>
      <c r="Z152" s="19"/>
    </row>
    <row r="153" ht="15.0" customHeight="1">
      <c r="A153" s="19"/>
      <c r="B153" s="19"/>
      <c r="C153" s="19"/>
      <c r="D153" s="19"/>
      <c r="E153" s="19"/>
      <c r="F153" s="19"/>
      <c r="G153" s="53"/>
      <c r="H153" s="19"/>
      <c r="I153" s="19"/>
      <c r="J153" s="19"/>
      <c r="K153" s="19"/>
      <c r="L153" s="19"/>
      <c r="M153" s="19"/>
      <c r="N153" s="19"/>
      <c r="O153" s="19"/>
      <c r="P153" s="19"/>
      <c r="Q153" s="19"/>
      <c r="R153" s="19"/>
      <c r="S153" s="19"/>
      <c r="T153" s="19"/>
      <c r="U153" s="19"/>
      <c r="V153" s="19"/>
      <c r="W153" s="19"/>
      <c r="X153" s="19"/>
      <c r="Y153" s="19"/>
      <c r="Z153" s="19"/>
    </row>
    <row r="154" ht="15.0" customHeight="1">
      <c r="A154" s="19"/>
      <c r="B154" s="19"/>
      <c r="C154" s="19"/>
      <c r="D154" s="19"/>
      <c r="E154" s="19"/>
      <c r="F154" s="19"/>
      <c r="G154" s="53"/>
      <c r="H154" s="19"/>
      <c r="I154" s="19"/>
      <c r="J154" s="19"/>
      <c r="K154" s="19"/>
      <c r="L154" s="19"/>
      <c r="M154" s="19"/>
      <c r="N154" s="19"/>
      <c r="O154" s="19"/>
      <c r="P154" s="19"/>
      <c r="Q154" s="19"/>
      <c r="R154" s="19"/>
      <c r="S154" s="19"/>
      <c r="T154" s="19"/>
      <c r="U154" s="19"/>
      <c r="V154" s="19"/>
      <c r="W154" s="19"/>
      <c r="X154" s="19"/>
      <c r="Y154" s="19"/>
      <c r="Z154" s="19"/>
    </row>
    <row r="155" ht="15.0" customHeight="1">
      <c r="A155" s="19"/>
      <c r="B155" s="19"/>
      <c r="C155" s="19"/>
      <c r="D155" s="19"/>
      <c r="E155" s="19"/>
      <c r="F155" s="19"/>
      <c r="G155" s="53"/>
      <c r="H155" s="19"/>
      <c r="I155" s="19"/>
      <c r="J155" s="19"/>
      <c r="K155" s="19"/>
      <c r="L155" s="19"/>
      <c r="M155" s="19"/>
      <c r="N155" s="19"/>
      <c r="O155" s="19"/>
      <c r="P155" s="19"/>
      <c r="Q155" s="19"/>
      <c r="R155" s="19"/>
      <c r="S155" s="19"/>
      <c r="T155" s="19"/>
      <c r="U155" s="19"/>
      <c r="V155" s="19"/>
      <c r="W155" s="19"/>
      <c r="X155" s="19"/>
      <c r="Y155" s="19"/>
      <c r="Z155" s="19"/>
    </row>
    <row r="156" ht="15.0" customHeight="1">
      <c r="A156" s="19"/>
      <c r="B156" s="19"/>
      <c r="C156" s="19"/>
      <c r="D156" s="19"/>
      <c r="E156" s="19"/>
      <c r="F156" s="19"/>
      <c r="G156" s="53"/>
      <c r="H156" s="19"/>
      <c r="I156" s="19"/>
      <c r="J156" s="19"/>
      <c r="K156" s="19"/>
      <c r="L156" s="19"/>
      <c r="M156" s="19"/>
      <c r="N156" s="19"/>
      <c r="O156" s="19"/>
      <c r="P156" s="19"/>
      <c r="Q156" s="19"/>
      <c r="R156" s="19"/>
      <c r="S156" s="19"/>
      <c r="T156" s="19"/>
      <c r="U156" s="19"/>
      <c r="V156" s="19"/>
      <c r="W156" s="19"/>
      <c r="X156" s="19"/>
      <c r="Y156" s="19"/>
      <c r="Z156" s="19"/>
    </row>
    <row r="157" ht="15.0" customHeight="1">
      <c r="A157" s="19"/>
      <c r="B157" s="19"/>
      <c r="C157" s="19"/>
      <c r="D157" s="19"/>
      <c r="E157" s="19"/>
      <c r="F157" s="19"/>
      <c r="G157" s="53"/>
      <c r="H157" s="19"/>
      <c r="I157" s="19"/>
      <c r="J157" s="19"/>
      <c r="K157" s="19"/>
      <c r="L157" s="19"/>
      <c r="M157" s="19"/>
      <c r="N157" s="19"/>
      <c r="O157" s="19"/>
      <c r="P157" s="19"/>
      <c r="Q157" s="19"/>
      <c r="R157" s="19"/>
      <c r="S157" s="19"/>
      <c r="T157" s="19"/>
      <c r="U157" s="19"/>
      <c r="V157" s="19"/>
      <c r="W157" s="19"/>
      <c r="X157" s="19"/>
      <c r="Y157" s="19"/>
      <c r="Z157" s="19"/>
    </row>
    <row r="158" ht="15.0" customHeight="1">
      <c r="A158" s="19"/>
      <c r="B158" s="19"/>
      <c r="C158" s="19"/>
      <c r="D158" s="19"/>
      <c r="E158" s="19"/>
      <c r="F158" s="19"/>
      <c r="G158" s="53"/>
      <c r="H158" s="19"/>
      <c r="I158" s="19"/>
      <c r="J158" s="19"/>
      <c r="K158" s="19"/>
      <c r="L158" s="19"/>
      <c r="M158" s="19"/>
      <c r="N158" s="19"/>
      <c r="O158" s="19"/>
      <c r="P158" s="19"/>
      <c r="Q158" s="19"/>
      <c r="R158" s="19"/>
      <c r="S158" s="19"/>
      <c r="T158" s="19"/>
      <c r="U158" s="19"/>
      <c r="V158" s="19"/>
      <c r="W158" s="19"/>
      <c r="X158" s="19"/>
      <c r="Y158" s="19"/>
      <c r="Z158" s="19"/>
    </row>
    <row r="159" ht="15.0" customHeight="1">
      <c r="A159" s="19"/>
      <c r="B159" s="19"/>
      <c r="C159" s="19"/>
      <c r="D159" s="19"/>
      <c r="E159" s="19"/>
      <c r="F159" s="19"/>
      <c r="G159" s="53"/>
      <c r="H159" s="19"/>
      <c r="I159" s="19"/>
      <c r="J159" s="19"/>
      <c r="K159" s="19"/>
      <c r="L159" s="19"/>
      <c r="M159" s="19"/>
      <c r="N159" s="19"/>
      <c r="O159" s="19"/>
      <c r="P159" s="19"/>
      <c r="Q159" s="19"/>
      <c r="R159" s="19"/>
      <c r="S159" s="19"/>
      <c r="T159" s="19"/>
      <c r="U159" s="19"/>
      <c r="V159" s="19"/>
      <c r="W159" s="19"/>
      <c r="X159" s="19"/>
      <c r="Y159" s="19"/>
      <c r="Z159" s="19"/>
    </row>
    <row r="160" ht="15.0" customHeight="1">
      <c r="A160" s="19"/>
      <c r="B160" s="19"/>
      <c r="C160" s="19"/>
      <c r="D160" s="19"/>
      <c r="E160" s="19"/>
      <c r="F160" s="19"/>
      <c r="G160" s="53"/>
      <c r="H160" s="19"/>
      <c r="I160" s="19"/>
      <c r="J160" s="19"/>
      <c r="K160" s="19"/>
      <c r="L160" s="19"/>
      <c r="M160" s="19"/>
      <c r="N160" s="19"/>
      <c r="O160" s="19"/>
      <c r="P160" s="19"/>
      <c r="Q160" s="19"/>
      <c r="R160" s="19"/>
      <c r="S160" s="19"/>
      <c r="T160" s="19"/>
      <c r="U160" s="19"/>
      <c r="V160" s="19"/>
      <c r="W160" s="19"/>
      <c r="X160" s="19"/>
      <c r="Y160" s="19"/>
      <c r="Z160" s="19"/>
    </row>
    <row r="161" ht="15.0" customHeight="1">
      <c r="A161" s="19"/>
      <c r="B161" s="19"/>
      <c r="C161" s="19"/>
      <c r="D161" s="19"/>
      <c r="E161" s="19"/>
      <c r="F161" s="19"/>
      <c r="G161" s="53"/>
      <c r="H161" s="19"/>
      <c r="I161" s="19"/>
      <c r="J161" s="19"/>
      <c r="K161" s="19"/>
      <c r="L161" s="19"/>
      <c r="M161" s="19"/>
      <c r="N161" s="19"/>
      <c r="O161" s="19"/>
      <c r="P161" s="19"/>
      <c r="Q161" s="19"/>
      <c r="R161" s="19"/>
      <c r="S161" s="19"/>
      <c r="T161" s="19"/>
      <c r="U161" s="19"/>
      <c r="V161" s="19"/>
      <c r="W161" s="19"/>
      <c r="X161" s="19"/>
      <c r="Y161" s="19"/>
      <c r="Z161" s="19"/>
    </row>
    <row r="162" ht="15.0" customHeight="1">
      <c r="A162" s="19"/>
      <c r="B162" s="19"/>
      <c r="C162" s="19"/>
      <c r="D162" s="19"/>
      <c r="E162" s="19"/>
      <c r="F162" s="19"/>
      <c r="G162" s="53"/>
      <c r="H162" s="19"/>
      <c r="I162" s="19"/>
      <c r="J162" s="19"/>
      <c r="K162" s="19"/>
      <c r="L162" s="19"/>
      <c r="M162" s="19"/>
      <c r="N162" s="19"/>
      <c r="O162" s="19"/>
      <c r="P162" s="19"/>
      <c r="Q162" s="19"/>
      <c r="R162" s="19"/>
      <c r="S162" s="19"/>
      <c r="T162" s="19"/>
      <c r="U162" s="19"/>
      <c r="V162" s="19"/>
      <c r="W162" s="19"/>
      <c r="X162" s="19"/>
      <c r="Y162" s="19"/>
      <c r="Z162" s="19"/>
    </row>
    <row r="163" ht="15.0" customHeight="1">
      <c r="A163" s="19"/>
      <c r="B163" s="19"/>
      <c r="C163" s="19"/>
      <c r="D163" s="19"/>
      <c r="E163" s="19"/>
      <c r="F163" s="19"/>
      <c r="G163" s="53"/>
      <c r="H163" s="19"/>
      <c r="I163" s="19"/>
      <c r="J163" s="19"/>
      <c r="K163" s="19"/>
      <c r="L163" s="19"/>
      <c r="M163" s="19"/>
      <c r="N163" s="19"/>
      <c r="O163" s="19"/>
      <c r="P163" s="19"/>
      <c r="Q163" s="19"/>
      <c r="R163" s="19"/>
      <c r="S163" s="19"/>
      <c r="T163" s="19"/>
      <c r="U163" s="19"/>
      <c r="V163" s="19"/>
      <c r="W163" s="19"/>
      <c r="X163" s="19"/>
      <c r="Y163" s="19"/>
      <c r="Z163" s="19"/>
    </row>
    <row r="164" ht="15.0" customHeight="1">
      <c r="A164" s="19"/>
      <c r="B164" s="19"/>
      <c r="C164" s="19"/>
      <c r="D164" s="19"/>
      <c r="E164" s="19"/>
      <c r="F164" s="19"/>
      <c r="G164" s="53"/>
      <c r="H164" s="19"/>
      <c r="I164" s="19"/>
      <c r="J164" s="19"/>
      <c r="K164" s="19"/>
      <c r="L164" s="19"/>
      <c r="M164" s="19"/>
      <c r="N164" s="19"/>
      <c r="O164" s="19"/>
      <c r="P164" s="19"/>
      <c r="Q164" s="19"/>
      <c r="R164" s="19"/>
      <c r="S164" s="19"/>
      <c r="T164" s="19"/>
      <c r="U164" s="19"/>
      <c r="V164" s="19"/>
      <c r="W164" s="19"/>
      <c r="X164" s="19"/>
      <c r="Y164" s="19"/>
      <c r="Z164" s="19"/>
    </row>
    <row r="165" ht="15.0" customHeight="1">
      <c r="A165" s="19"/>
      <c r="B165" s="19"/>
      <c r="C165" s="19"/>
      <c r="D165" s="19"/>
      <c r="E165" s="19"/>
      <c r="F165" s="19"/>
      <c r="G165" s="53"/>
      <c r="H165" s="19"/>
      <c r="I165" s="19"/>
      <c r="J165" s="19"/>
      <c r="K165" s="19"/>
      <c r="L165" s="19"/>
      <c r="M165" s="19"/>
      <c r="N165" s="19"/>
      <c r="O165" s="19"/>
      <c r="P165" s="19"/>
      <c r="Q165" s="19"/>
      <c r="R165" s="19"/>
      <c r="S165" s="19"/>
      <c r="T165" s="19"/>
      <c r="U165" s="19"/>
      <c r="V165" s="19"/>
      <c r="W165" s="19"/>
      <c r="X165" s="19"/>
      <c r="Y165" s="19"/>
      <c r="Z165" s="19"/>
    </row>
    <row r="166" ht="15.0" customHeight="1">
      <c r="A166" s="19"/>
      <c r="B166" s="19"/>
      <c r="C166" s="19"/>
      <c r="D166" s="19"/>
      <c r="E166" s="19"/>
      <c r="F166" s="19"/>
      <c r="G166" s="53"/>
      <c r="H166" s="19"/>
      <c r="I166" s="19"/>
      <c r="J166" s="19"/>
      <c r="K166" s="19"/>
      <c r="L166" s="19"/>
      <c r="M166" s="19"/>
      <c r="N166" s="19"/>
      <c r="O166" s="19"/>
      <c r="P166" s="19"/>
      <c r="Q166" s="19"/>
      <c r="R166" s="19"/>
      <c r="S166" s="19"/>
      <c r="T166" s="19"/>
      <c r="U166" s="19"/>
      <c r="V166" s="19"/>
      <c r="W166" s="19"/>
      <c r="X166" s="19"/>
      <c r="Y166" s="19"/>
      <c r="Z166" s="19"/>
    </row>
    <row r="167" ht="15.0" customHeight="1">
      <c r="A167" s="19"/>
      <c r="B167" s="19"/>
      <c r="C167" s="19"/>
      <c r="D167" s="19"/>
      <c r="E167" s="19"/>
      <c r="F167" s="19"/>
      <c r="G167" s="53"/>
      <c r="H167" s="19"/>
      <c r="I167" s="19"/>
      <c r="J167" s="19"/>
      <c r="K167" s="19"/>
      <c r="L167" s="19"/>
      <c r="M167" s="19"/>
      <c r="N167" s="19"/>
      <c r="O167" s="19"/>
      <c r="P167" s="19"/>
      <c r="Q167" s="19"/>
      <c r="R167" s="19"/>
      <c r="S167" s="19"/>
      <c r="T167" s="19"/>
      <c r="U167" s="19"/>
      <c r="V167" s="19"/>
      <c r="W167" s="19"/>
      <c r="X167" s="19"/>
      <c r="Y167" s="19"/>
      <c r="Z167" s="19"/>
    </row>
    <row r="168" ht="15.0" customHeight="1">
      <c r="A168" s="19"/>
      <c r="B168" s="19"/>
      <c r="C168" s="19"/>
      <c r="D168" s="19"/>
      <c r="E168" s="19"/>
      <c r="F168" s="19"/>
      <c r="G168" s="53"/>
      <c r="H168" s="19"/>
      <c r="I168" s="19"/>
      <c r="J168" s="19"/>
      <c r="K168" s="19"/>
      <c r="L168" s="19"/>
      <c r="M168" s="19"/>
      <c r="N168" s="19"/>
      <c r="O168" s="19"/>
      <c r="P168" s="19"/>
      <c r="Q168" s="19"/>
      <c r="R168" s="19"/>
      <c r="S168" s="19"/>
      <c r="T168" s="19"/>
      <c r="U168" s="19"/>
      <c r="V168" s="19"/>
      <c r="W168" s="19"/>
      <c r="X168" s="19"/>
      <c r="Y168" s="19"/>
      <c r="Z168" s="19"/>
    </row>
    <row r="169" ht="15.0" customHeight="1">
      <c r="A169" s="19"/>
      <c r="B169" s="19"/>
      <c r="C169" s="19"/>
      <c r="D169" s="19"/>
      <c r="E169" s="19"/>
      <c r="F169" s="19"/>
      <c r="G169" s="53"/>
      <c r="H169" s="19"/>
      <c r="I169" s="19"/>
      <c r="J169" s="19"/>
      <c r="K169" s="19"/>
      <c r="L169" s="19"/>
      <c r="M169" s="19"/>
      <c r="N169" s="19"/>
      <c r="O169" s="19"/>
      <c r="P169" s="19"/>
      <c r="Q169" s="19"/>
      <c r="R169" s="19"/>
      <c r="S169" s="19"/>
      <c r="T169" s="19"/>
      <c r="U169" s="19"/>
      <c r="V169" s="19"/>
      <c r="W169" s="19"/>
      <c r="X169" s="19"/>
      <c r="Y169" s="19"/>
      <c r="Z169" s="19"/>
    </row>
    <row r="170" ht="15.0" customHeight="1">
      <c r="A170" s="19"/>
      <c r="B170" s="19"/>
      <c r="C170" s="19"/>
      <c r="D170" s="19"/>
      <c r="E170" s="19"/>
      <c r="F170" s="19"/>
      <c r="G170" s="53"/>
      <c r="H170" s="19"/>
      <c r="I170" s="19"/>
      <c r="J170" s="19"/>
      <c r="K170" s="19"/>
      <c r="L170" s="19"/>
      <c r="M170" s="19"/>
      <c r="N170" s="19"/>
      <c r="O170" s="19"/>
      <c r="P170" s="19"/>
      <c r="Q170" s="19"/>
      <c r="R170" s="19"/>
      <c r="S170" s="19"/>
      <c r="T170" s="19"/>
      <c r="U170" s="19"/>
      <c r="V170" s="19"/>
      <c r="W170" s="19"/>
      <c r="X170" s="19"/>
      <c r="Y170" s="19"/>
      <c r="Z170" s="19"/>
    </row>
    <row r="171" ht="15.0" customHeight="1">
      <c r="A171" s="19"/>
      <c r="B171" s="19"/>
      <c r="C171" s="19"/>
      <c r="D171" s="19"/>
      <c r="E171" s="19"/>
      <c r="F171" s="19"/>
      <c r="G171" s="53"/>
      <c r="H171" s="19"/>
      <c r="I171" s="19"/>
      <c r="J171" s="19"/>
      <c r="K171" s="19"/>
      <c r="L171" s="19"/>
      <c r="M171" s="19"/>
      <c r="N171" s="19"/>
      <c r="O171" s="19"/>
      <c r="P171" s="19"/>
      <c r="Q171" s="19"/>
      <c r="R171" s="19"/>
      <c r="S171" s="19"/>
      <c r="T171" s="19"/>
      <c r="U171" s="19"/>
      <c r="V171" s="19"/>
      <c r="W171" s="19"/>
      <c r="X171" s="19"/>
      <c r="Y171" s="19"/>
      <c r="Z171" s="19"/>
    </row>
    <row r="172" ht="15.0" customHeight="1">
      <c r="A172" s="19"/>
      <c r="B172" s="19"/>
      <c r="C172" s="19"/>
      <c r="D172" s="19"/>
      <c r="E172" s="19"/>
      <c r="F172" s="19"/>
      <c r="G172" s="53"/>
      <c r="H172" s="19"/>
      <c r="I172" s="19"/>
      <c r="J172" s="19"/>
      <c r="K172" s="19"/>
      <c r="L172" s="19"/>
      <c r="M172" s="19"/>
      <c r="N172" s="19"/>
      <c r="O172" s="19"/>
      <c r="P172" s="19"/>
      <c r="Q172" s="19"/>
      <c r="R172" s="19"/>
      <c r="S172" s="19"/>
      <c r="T172" s="19"/>
      <c r="U172" s="19"/>
      <c r="V172" s="19"/>
      <c r="W172" s="19"/>
      <c r="X172" s="19"/>
      <c r="Y172" s="19"/>
      <c r="Z172" s="19"/>
    </row>
    <row r="173" ht="15.0" customHeight="1">
      <c r="A173" s="19"/>
      <c r="B173" s="19"/>
      <c r="C173" s="19"/>
      <c r="D173" s="19"/>
      <c r="E173" s="19"/>
      <c r="F173" s="19"/>
      <c r="G173" s="53"/>
      <c r="H173" s="19"/>
      <c r="I173" s="19"/>
      <c r="J173" s="19"/>
      <c r="K173" s="19"/>
      <c r="L173" s="19"/>
      <c r="M173" s="19"/>
      <c r="N173" s="19"/>
      <c r="O173" s="19"/>
      <c r="P173" s="19"/>
      <c r="Q173" s="19"/>
      <c r="R173" s="19"/>
      <c r="S173" s="19"/>
      <c r="T173" s="19"/>
      <c r="U173" s="19"/>
      <c r="V173" s="19"/>
      <c r="W173" s="19"/>
      <c r="X173" s="19"/>
      <c r="Y173" s="19"/>
      <c r="Z173" s="19"/>
    </row>
    <row r="174" ht="15.0" customHeight="1">
      <c r="A174" s="19"/>
      <c r="B174" s="19"/>
      <c r="C174" s="19"/>
      <c r="D174" s="19"/>
      <c r="E174" s="19"/>
      <c r="F174" s="19"/>
      <c r="G174" s="53"/>
      <c r="H174" s="19"/>
      <c r="I174" s="19"/>
      <c r="J174" s="19"/>
      <c r="K174" s="19"/>
      <c r="L174" s="19"/>
      <c r="M174" s="19"/>
      <c r="N174" s="19"/>
      <c r="O174" s="19"/>
      <c r="P174" s="19"/>
      <c r="Q174" s="19"/>
      <c r="R174" s="19"/>
      <c r="S174" s="19"/>
      <c r="T174" s="19"/>
      <c r="U174" s="19"/>
      <c r="V174" s="19"/>
      <c r="W174" s="19"/>
      <c r="X174" s="19"/>
      <c r="Y174" s="19"/>
      <c r="Z174" s="19"/>
    </row>
    <row r="175" ht="15.0" customHeight="1">
      <c r="A175" s="19"/>
      <c r="B175" s="19"/>
      <c r="C175" s="19"/>
      <c r="D175" s="19"/>
      <c r="E175" s="19"/>
      <c r="F175" s="19"/>
      <c r="G175" s="53"/>
      <c r="H175" s="19"/>
      <c r="I175" s="19"/>
      <c r="J175" s="19"/>
      <c r="K175" s="19"/>
      <c r="L175" s="19"/>
      <c r="M175" s="19"/>
      <c r="N175" s="19"/>
      <c r="O175" s="19"/>
      <c r="P175" s="19"/>
      <c r="Q175" s="19"/>
      <c r="R175" s="19"/>
      <c r="S175" s="19"/>
      <c r="T175" s="19"/>
      <c r="U175" s="19"/>
      <c r="V175" s="19"/>
      <c r="W175" s="19"/>
      <c r="X175" s="19"/>
      <c r="Y175" s="19"/>
      <c r="Z175" s="19"/>
    </row>
    <row r="176" ht="15.0" customHeight="1">
      <c r="A176" s="19"/>
      <c r="B176" s="19"/>
      <c r="C176" s="19"/>
      <c r="D176" s="19"/>
      <c r="E176" s="19"/>
      <c r="F176" s="19"/>
      <c r="G176" s="53"/>
      <c r="H176" s="19"/>
      <c r="I176" s="19"/>
      <c r="J176" s="19"/>
      <c r="K176" s="19"/>
      <c r="L176" s="19"/>
      <c r="M176" s="19"/>
      <c r="N176" s="19"/>
      <c r="O176" s="19"/>
      <c r="P176" s="19"/>
      <c r="Q176" s="19"/>
      <c r="R176" s="19"/>
      <c r="S176" s="19"/>
      <c r="T176" s="19"/>
      <c r="U176" s="19"/>
      <c r="V176" s="19"/>
      <c r="W176" s="19"/>
      <c r="X176" s="19"/>
      <c r="Y176" s="19"/>
      <c r="Z176" s="19"/>
    </row>
    <row r="177" ht="15.0" customHeight="1">
      <c r="A177" s="19"/>
      <c r="B177" s="19"/>
      <c r="C177" s="19"/>
      <c r="D177" s="19"/>
      <c r="E177" s="19"/>
      <c r="F177" s="19"/>
      <c r="G177" s="53"/>
      <c r="H177" s="19"/>
      <c r="I177" s="19"/>
      <c r="J177" s="19"/>
      <c r="K177" s="19"/>
      <c r="L177" s="19"/>
      <c r="M177" s="19"/>
      <c r="N177" s="19"/>
      <c r="O177" s="19"/>
      <c r="P177" s="19"/>
      <c r="Q177" s="19"/>
      <c r="R177" s="19"/>
      <c r="S177" s="19"/>
      <c r="T177" s="19"/>
      <c r="U177" s="19"/>
      <c r="V177" s="19"/>
      <c r="W177" s="19"/>
      <c r="X177" s="19"/>
      <c r="Y177" s="19"/>
      <c r="Z177" s="19"/>
    </row>
    <row r="178" ht="15.0" customHeight="1">
      <c r="A178" s="19"/>
      <c r="B178" s="19"/>
      <c r="C178" s="19"/>
      <c r="D178" s="19"/>
      <c r="E178" s="19"/>
      <c r="F178" s="19"/>
      <c r="G178" s="53"/>
      <c r="H178" s="19"/>
      <c r="I178" s="19"/>
      <c r="J178" s="19"/>
      <c r="K178" s="19"/>
      <c r="L178" s="19"/>
      <c r="M178" s="19"/>
      <c r="N178" s="19"/>
      <c r="O178" s="19"/>
      <c r="P178" s="19"/>
      <c r="Q178" s="19"/>
      <c r="R178" s="19"/>
      <c r="S178" s="19"/>
      <c r="T178" s="19"/>
      <c r="U178" s="19"/>
      <c r="V178" s="19"/>
      <c r="W178" s="19"/>
      <c r="X178" s="19"/>
      <c r="Y178" s="19"/>
      <c r="Z178" s="19"/>
    </row>
    <row r="179" ht="15.0" customHeight="1">
      <c r="A179" s="19"/>
      <c r="B179" s="19"/>
      <c r="C179" s="19"/>
      <c r="D179" s="19"/>
      <c r="E179" s="19"/>
      <c r="F179" s="19"/>
      <c r="G179" s="53"/>
      <c r="H179" s="19"/>
      <c r="I179" s="19"/>
      <c r="J179" s="19"/>
      <c r="K179" s="19"/>
      <c r="L179" s="19"/>
      <c r="M179" s="19"/>
      <c r="N179" s="19"/>
      <c r="O179" s="19"/>
      <c r="P179" s="19"/>
      <c r="Q179" s="19"/>
      <c r="R179" s="19"/>
      <c r="S179" s="19"/>
      <c r="T179" s="19"/>
      <c r="U179" s="19"/>
      <c r="V179" s="19"/>
      <c r="W179" s="19"/>
      <c r="X179" s="19"/>
      <c r="Y179" s="19"/>
      <c r="Z179" s="19"/>
    </row>
    <row r="180" ht="15.0" customHeight="1">
      <c r="A180" s="19"/>
      <c r="B180" s="19"/>
      <c r="C180" s="19"/>
      <c r="D180" s="19"/>
      <c r="E180" s="19"/>
      <c r="F180" s="19"/>
      <c r="G180" s="53"/>
      <c r="H180" s="19"/>
      <c r="I180" s="19"/>
      <c r="J180" s="19"/>
      <c r="K180" s="19"/>
      <c r="L180" s="19"/>
      <c r="M180" s="19"/>
      <c r="N180" s="19"/>
      <c r="O180" s="19"/>
      <c r="P180" s="19"/>
      <c r="Q180" s="19"/>
      <c r="R180" s="19"/>
      <c r="S180" s="19"/>
      <c r="T180" s="19"/>
      <c r="U180" s="19"/>
      <c r="V180" s="19"/>
      <c r="W180" s="19"/>
      <c r="X180" s="19"/>
      <c r="Y180" s="19"/>
      <c r="Z180" s="19"/>
    </row>
    <row r="181" ht="15.0" customHeight="1">
      <c r="A181" s="19"/>
      <c r="B181" s="19"/>
      <c r="C181" s="19"/>
      <c r="D181" s="19"/>
      <c r="E181" s="19"/>
      <c r="F181" s="19"/>
      <c r="G181" s="53"/>
      <c r="H181" s="19"/>
      <c r="I181" s="19"/>
      <c r="J181" s="19"/>
      <c r="K181" s="19"/>
      <c r="L181" s="19"/>
      <c r="M181" s="19"/>
      <c r="N181" s="19"/>
      <c r="O181" s="19"/>
      <c r="P181" s="19"/>
      <c r="Q181" s="19"/>
      <c r="R181" s="19"/>
      <c r="S181" s="19"/>
      <c r="T181" s="19"/>
      <c r="U181" s="19"/>
      <c r="V181" s="19"/>
      <c r="W181" s="19"/>
      <c r="X181" s="19"/>
      <c r="Y181" s="19"/>
      <c r="Z181" s="19"/>
    </row>
    <row r="182" ht="15.0" customHeight="1">
      <c r="A182" s="19"/>
      <c r="B182" s="19"/>
      <c r="C182" s="19"/>
      <c r="D182" s="19"/>
      <c r="E182" s="19"/>
      <c r="F182" s="19"/>
      <c r="G182" s="53"/>
      <c r="H182" s="19"/>
      <c r="I182" s="19"/>
      <c r="J182" s="19"/>
      <c r="K182" s="19"/>
      <c r="L182" s="19"/>
      <c r="M182" s="19"/>
      <c r="N182" s="19"/>
      <c r="O182" s="19"/>
      <c r="P182" s="19"/>
      <c r="Q182" s="19"/>
      <c r="R182" s="19"/>
      <c r="S182" s="19"/>
      <c r="T182" s="19"/>
      <c r="U182" s="19"/>
      <c r="V182" s="19"/>
      <c r="W182" s="19"/>
      <c r="X182" s="19"/>
      <c r="Y182" s="19"/>
      <c r="Z182" s="19"/>
    </row>
    <row r="183" ht="15.0" customHeight="1">
      <c r="A183" s="19"/>
      <c r="B183" s="19"/>
      <c r="C183" s="19"/>
      <c r="D183" s="19"/>
      <c r="E183" s="19"/>
      <c r="F183" s="19"/>
      <c r="G183" s="53"/>
      <c r="H183" s="19"/>
      <c r="I183" s="19"/>
      <c r="J183" s="19"/>
      <c r="K183" s="19"/>
      <c r="L183" s="19"/>
      <c r="M183" s="19"/>
      <c r="N183" s="19"/>
      <c r="O183" s="19"/>
      <c r="P183" s="19"/>
      <c r="Q183" s="19"/>
      <c r="R183" s="19"/>
      <c r="S183" s="19"/>
      <c r="T183" s="19"/>
      <c r="U183" s="19"/>
      <c r="V183" s="19"/>
      <c r="W183" s="19"/>
      <c r="X183" s="19"/>
      <c r="Y183" s="19"/>
      <c r="Z183" s="19"/>
    </row>
    <row r="184" ht="15.0" customHeight="1">
      <c r="A184" s="19"/>
      <c r="B184" s="19"/>
      <c r="C184" s="19"/>
      <c r="D184" s="19"/>
      <c r="E184" s="19"/>
      <c r="F184" s="19"/>
      <c r="G184" s="53"/>
      <c r="H184" s="19"/>
      <c r="I184" s="19"/>
      <c r="J184" s="19"/>
      <c r="K184" s="19"/>
      <c r="L184" s="19"/>
      <c r="M184" s="19"/>
      <c r="N184" s="19"/>
      <c r="O184" s="19"/>
      <c r="P184" s="19"/>
      <c r="Q184" s="19"/>
      <c r="R184" s="19"/>
      <c r="S184" s="19"/>
      <c r="T184" s="19"/>
      <c r="U184" s="19"/>
      <c r="V184" s="19"/>
      <c r="W184" s="19"/>
      <c r="X184" s="19"/>
      <c r="Y184" s="19"/>
      <c r="Z184" s="19"/>
    </row>
    <row r="185" ht="15.0" customHeight="1">
      <c r="A185" s="19"/>
      <c r="B185" s="19"/>
      <c r="C185" s="19"/>
      <c r="D185" s="19"/>
      <c r="E185" s="19"/>
      <c r="F185" s="19"/>
      <c r="G185" s="53"/>
      <c r="H185" s="19"/>
      <c r="I185" s="19"/>
      <c r="J185" s="19"/>
      <c r="K185" s="19"/>
      <c r="L185" s="19"/>
      <c r="M185" s="19"/>
      <c r="N185" s="19"/>
      <c r="O185" s="19"/>
      <c r="P185" s="19"/>
      <c r="Q185" s="19"/>
      <c r="R185" s="19"/>
      <c r="S185" s="19"/>
      <c r="T185" s="19"/>
      <c r="U185" s="19"/>
      <c r="V185" s="19"/>
      <c r="W185" s="19"/>
      <c r="X185" s="19"/>
      <c r="Y185" s="19"/>
      <c r="Z185" s="19"/>
    </row>
    <row r="186" ht="15.0" customHeight="1">
      <c r="A186" s="19"/>
      <c r="B186" s="19"/>
      <c r="C186" s="19"/>
      <c r="D186" s="19"/>
      <c r="E186" s="19"/>
      <c r="F186" s="19"/>
      <c r="G186" s="53"/>
      <c r="H186" s="19"/>
      <c r="I186" s="19"/>
      <c r="J186" s="19"/>
      <c r="K186" s="19"/>
      <c r="L186" s="19"/>
      <c r="M186" s="19"/>
      <c r="N186" s="19"/>
      <c r="O186" s="19"/>
      <c r="P186" s="19"/>
      <c r="Q186" s="19"/>
      <c r="R186" s="19"/>
      <c r="S186" s="19"/>
      <c r="T186" s="19"/>
      <c r="U186" s="19"/>
      <c r="V186" s="19"/>
      <c r="W186" s="19"/>
      <c r="X186" s="19"/>
      <c r="Y186" s="19"/>
      <c r="Z186" s="19"/>
    </row>
    <row r="187" ht="15.0" customHeight="1">
      <c r="A187" s="19"/>
      <c r="B187" s="19"/>
      <c r="C187" s="19"/>
      <c r="D187" s="19"/>
      <c r="E187" s="19"/>
      <c r="F187" s="19"/>
      <c r="G187" s="53"/>
      <c r="H187" s="19"/>
      <c r="I187" s="19"/>
      <c r="J187" s="19"/>
      <c r="K187" s="19"/>
      <c r="L187" s="19"/>
      <c r="M187" s="19"/>
      <c r="N187" s="19"/>
      <c r="O187" s="19"/>
      <c r="P187" s="19"/>
      <c r="Q187" s="19"/>
      <c r="R187" s="19"/>
      <c r="S187" s="19"/>
      <c r="T187" s="19"/>
      <c r="U187" s="19"/>
      <c r="V187" s="19"/>
      <c r="W187" s="19"/>
      <c r="X187" s="19"/>
      <c r="Y187" s="19"/>
      <c r="Z187" s="19"/>
    </row>
    <row r="188" ht="15.0" customHeight="1">
      <c r="A188" s="19"/>
      <c r="B188" s="19"/>
      <c r="C188" s="19"/>
      <c r="D188" s="19"/>
      <c r="E188" s="19"/>
      <c r="F188" s="19"/>
      <c r="G188" s="53"/>
      <c r="H188" s="19"/>
      <c r="I188" s="19"/>
      <c r="J188" s="19"/>
      <c r="K188" s="19"/>
      <c r="L188" s="19"/>
      <c r="M188" s="19"/>
      <c r="N188" s="19"/>
      <c r="O188" s="19"/>
      <c r="P188" s="19"/>
      <c r="Q188" s="19"/>
      <c r="R188" s="19"/>
      <c r="S188" s="19"/>
      <c r="T188" s="19"/>
      <c r="U188" s="19"/>
      <c r="V188" s="19"/>
      <c r="W188" s="19"/>
      <c r="X188" s="19"/>
      <c r="Y188" s="19"/>
      <c r="Z188" s="19"/>
    </row>
    <row r="189" ht="15.0" customHeight="1">
      <c r="A189" s="19"/>
      <c r="B189" s="19"/>
      <c r="C189" s="19"/>
      <c r="D189" s="19"/>
      <c r="E189" s="19"/>
      <c r="F189" s="19"/>
      <c r="G189" s="53"/>
      <c r="H189" s="19"/>
      <c r="I189" s="19"/>
      <c r="J189" s="19"/>
      <c r="K189" s="19"/>
      <c r="L189" s="19"/>
      <c r="M189" s="19"/>
      <c r="N189" s="19"/>
      <c r="O189" s="19"/>
      <c r="P189" s="19"/>
      <c r="Q189" s="19"/>
      <c r="R189" s="19"/>
      <c r="S189" s="19"/>
      <c r="T189" s="19"/>
      <c r="U189" s="19"/>
      <c r="V189" s="19"/>
      <c r="W189" s="19"/>
      <c r="X189" s="19"/>
      <c r="Y189" s="19"/>
      <c r="Z189" s="19"/>
    </row>
    <row r="190" ht="15.0" customHeight="1">
      <c r="A190" s="19"/>
      <c r="B190" s="19"/>
      <c r="C190" s="19"/>
      <c r="D190" s="19"/>
      <c r="E190" s="19"/>
      <c r="F190" s="19"/>
      <c r="G190" s="53"/>
      <c r="H190" s="19"/>
      <c r="I190" s="19"/>
      <c r="J190" s="19"/>
      <c r="K190" s="19"/>
      <c r="L190" s="19"/>
      <c r="M190" s="19"/>
      <c r="N190" s="19"/>
      <c r="O190" s="19"/>
      <c r="P190" s="19"/>
      <c r="Q190" s="19"/>
      <c r="R190" s="19"/>
      <c r="S190" s="19"/>
      <c r="T190" s="19"/>
      <c r="U190" s="19"/>
      <c r="V190" s="19"/>
      <c r="W190" s="19"/>
      <c r="X190" s="19"/>
      <c r="Y190" s="19"/>
      <c r="Z190" s="19"/>
    </row>
    <row r="191" ht="15.0" customHeight="1">
      <c r="A191" s="19"/>
      <c r="B191" s="19"/>
      <c r="C191" s="19"/>
      <c r="D191" s="19"/>
      <c r="E191" s="19"/>
      <c r="F191" s="19"/>
      <c r="G191" s="53"/>
      <c r="H191" s="19"/>
      <c r="I191" s="19"/>
      <c r="J191" s="19"/>
      <c r="K191" s="19"/>
      <c r="L191" s="19"/>
      <c r="M191" s="19"/>
      <c r="N191" s="19"/>
      <c r="O191" s="19"/>
      <c r="P191" s="19"/>
      <c r="Q191" s="19"/>
      <c r="R191" s="19"/>
      <c r="S191" s="19"/>
      <c r="T191" s="19"/>
      <c r="U191" s="19"/>
      <c r="V191" s="19"/>
      <c r="W191" s="19"/>
      <c r="X191" s="19"/>
      <c r="Y191" s="19"/>
      <c r="Z191" s="19"/>
    </row>
    <row r="192" ht="15.0" customHeight="1">
      <c r="A192" s="19"/>
      <c r="B192" s="19"/>
      <c r="C192" s="19"/>
      <c r="D192" s="19"/>
      <c r="E192" s="19"/>
      <c r="F192" s="19"/>
      <c r="G192" s="53"/>
      <c r="H192" s="19"/>
      <c r="I192" s="19"/>
      <c r="J192" s="19"/>
      <c r="K192" s="19"/>
      <c r="L192" s="19"/>
      <c r="M192" s="19"/>
      <c r="N192" s="19"/>
      <c r="O192" s="19"/>
      <c r="P192" s="19"/>
      <c r="Q192" s="19"/>
      <c r="R192" s="19"/>
      <c r="S192" s="19"/>
      <c r="T192" s="19"/>
      <c r="U192" s="19"/>
      <c r="V192" s="19"/>
      <c r="W192" s="19"/>
      <c r="X192" s="19"/>
      <c r="Y192" s="19"/>
      <c r="Z192" s="19"/>
    </row>
    <row r="193" ht="15.0" customHeight="1">
      <c r="A193" s="19"/>
      <c r="B193" s="19"/>
      <c r="C193" s="19"/>
      <c r="D193" s="19"/>
      <c r="E193" s="19"/>
      <c r="F193" s="19"/>
      <c r="G193" s="53"/>
      <c r="H193" s="19"/>
      <c r="I193" s="19"/>
      <c r="J193" s="19"/>
      <c r="K193" s="19"/>
      <c r="L193" s="19"/>
      <c r="M193" s="19"/>
      <c r="N193" s="19"/>
      <c r="O193" s="19"/>
      <c r="P193" s="19"/>
      <c r="Q193" s="19"/>
      <c r="R193" s="19"/>
      <c r="S193" s="19"/>
      <c r="T193" s="19"/>
      <c r="U193" s="19"/>
      <c r="V193" s="19"/>
      <c r="W193" s="19"/>
      <c r="X193" s="19"/>
      <c r="Y193" s="19"/>
      <c r="Z193" s="19"/>
    </row>
    <row r="194" ht="15.0" customHeight="1">
      <c r="A194" s="19"/>
      <c r="B194" s="19"/>
      <c r="C194" s="19"/>
      <c r="D194" s="19"/>
      <c r="E194" s="19"/>
      <c r="F194" s="19"/>
      <c r="G194" s="53"/>
      <c r="H194" s="19"/>
      <c r="I194" s="19"/>
      <c r="J194" s="19"/>
      <c r="K194" s="19"/>
      <c r="L194" s="19"/>
      <c r="M194" s="19"/>
      <c r="N194" s="19"/>
      <c r="O194" s="19"/>
      <c r="P194" s="19"/>
      <c r="Q194" s="19"/>
      <c r="R194" s="19"/>
      <c r="S194" s="19"/>
      <c r="T194" s="19"/>
      <c r="U194" s="19"/>
      <c r="V194" s="19"/>
      <c r="W194" s="19"/>
      <c r="X194" s="19"/>
      <c r="Y194" s="19"/>
      <c r="Z194" s="19"/>
    </row>
    <row r="195" ht="15.0" customHeight="1">
      <c r="A195" s="19"/>
      <c r="B195" s="19"/>
      <c r="C195" s="19"/>
      <c r="D195" s="19"/>
      <c r="E195" s="19"/>
      <c r="F195" s="19"/>
      <c r="G195" s="53"/>
      <c r="H195" s="19"/>
      <c r="I195" s="19"/>
      <c r="J195" s="19"/>
      <c r="K195" s="19"/>
      <c r="L195" s="19"/>
      <c r="M195" s="19"/>
      <c r="N195" s="19"/>
      <c r="O195" s="19"/>
      <c r="P195" s="19"/>
      <c r="Q195" s="19"/>
      <c r="R195" s="19"/>
      <c r="S195" s="19"/>
      <c r="T195" s="19"/>
      <c r="U195" s="19"/>
      <c r="V195" s="19"/>
      <c r="W195" s="19"/>
      <c r="X195" s="19"/>
      <c r="Y195" s="19"/>
      <c r="Z195" s="19"/>
    </row>
    <row r="196" ht="15.0" customHeight="1">
      <c r="A196" s="19"/>
      <c r="B196" s="19"/>
      <c r="C196" s="19"/>
      <c r="D196" s="19"/>
      <c r="E196" s="19"/>
      <c r="F196" s="19"/>
      <c r="G196" s="53"/>
      <c r="H196" s="19"/>
      <c r="I196" s="19"/>
      <c r="J196" s="19"/>
      <c r="K196" s="19"/>
      <c r="L196" s="19"/>
      <c r="M196" s="19"/>
      <c r="N196" s="19"/>
      <c r="O196" s="19"/>
      <c r="P196" s="19"/>
      <c r="Q196" s="19"/>
      <c r="R196" s="19"/>
      <c r="S196" s="19"/>
      <c r="T196" s="19"/>
      <c r="U196" s="19"/>
      <c r="V196" s="19"/>
      <c r="W196" s="19"/>
      <c r="X196" s="19"/>
      <c r="Y196" s="19"/>
      <c r="Z196" s="19"/>
    </row>
    <row r="197" ht="15.0" customHeight="1">
      <c r="A197" s="19"/>
      <c r="B197" s="19"/>
      <c r="C197" s="19"/>
      <c r="D197" s="19"/>
      <c r="E197" s="19"/>
      <c r="F197" s="19"/>
      <c r="G197" s="53"/>
      <c r="H197" s="19"/>
      <c r="I197" s="19"/>
      <c r="J197" s="19"/>
      <c r="K197" s="19"/>
      <c r="L197" s="19"/>
      <c r="M197" s="19"/>
      <c r="N197" s="19"/>
      <c r="O197" s="19"/>
      <c r="P197" s="19"/>
      <c r="Q197" s="19"/>
      <c r="R197" s="19"/>
      <c r="S197" s="19"/>
      <c r="T197" s="19"/>
      <c r="U197" s="19"/>
      <c r="V197" s="19"/>
      <c r="W197" s="19"/>
      <c r="X197" s="19"/>
      <c r="Y197" s="19"/>
      <c r="Z197" s="19"/>
    </row>
    <row r="198" ht="15.0" customHeight="1">
      <c r="A198" s="19"/>
      <c r="B198" s="19"/>
      <c r="C198" s="19"/>
      <c r="D198" s="19"/>
      <c r="E198" s="19"/>
      <c r="F198" s="19"/>
      <c r="G198" s="53"/>
      <c r="H198" s="19"/>
      <c r="I198" s="19"/>
      <c r="J198" s="19"/>
      <c r="K198" s="19"/>
      <c r="L198" s="19"/>
      <c r="M198" s="19"/>
      <c r="N198" s="19"/>
      <c r="O198" s="19"/>
      <c r="P198" s="19"/>
      <c r="Q198" s="19"/>
      <c r="R198" s="19"/>
      <c r="S198" s="19"/>
      <c r="T198" s="19"/>
      <c r="U198" s="19"/>
      <c r="V198" s="19"/>
      <c r="W198" s="19"/>
      <c r="X198" s="19"/>
      <c r="Y198" s="19"/>
      <c r="Z198" s="19"/>
    </row>
    <row r="199" ht="15.0" customHeight="1">
      <c r="A199" s="19"/>
      <c r="B199" s="19"/>
      <c r="C199" s="19"/>
      <c r="D199" s="19"/>
      <c r="E199" s="19"/>
      <c r="F199" s="19"/>
      <c r="G199" s="53"/>
      <c r="H199" s="19"/>
      <c r="I199" s="19"/>
      <c r="J199" s="19"/>
      <c r="K199" s="19"/>
      <c r="L199" s="19"/>
      <c r="M199" s="19"/>
      <c r="N199" s="19"/>
      <c r="O199" s="19"/>
      <c r="P199" s="19"/>
      <c r="Q199" s="19"/>
      <c r="R199" s="19"/>
      <c r="S199" s="19"/>
      <c r="T199" s="19"/>
      <c r="U199" s="19"/>
      <c r="V199" s="19"/>
      <c r="W199" s="19"/>
      <c r="X199" s="19"/>
      <c r="Y199" s="19"/>
      <c r="Z199" s="19"/>
    </row>
    <row r="200" ht="15.0" customHeight="1">
      <c r="A200" s="19"/>
      <c r="B200" s="19"/>
      <c r="C200" s="19"/>
      <c r="D200" s="19"/>
      <c r="E200" s="19"/>
      <c r="F200" s="19"/>
      <c r="G200" s="53"/>
      <c r="H200" s="19"/>
      <c r="I200" s="19"/>
      <c r="J200" s="19"/>
      <c r="K200" s="19"/>
      <c r="L200" s="19"/>
      <c r="M200" s="19"/>
      <c r="N200" s="19"/>
      <c r="O200" s="19"/>
      <c r="P200" s="19"/>
      <c r="Q200" s="19"/>
      <c r="R200" s="19"/>
      <c r="S200" s="19"/>
      <c r="T200" s="19"/>
      <c r="U200" s="19"/>
      <c r="V200" s="19"/>
      <c r="W200" s="19"/>
      <c r="X200" s="19"/>
      <c r="Y200" s="19"/>
      <c r="Z200" s="19"/>
    </row>
    <row r="201" ht="15.0" customHeight="1">
      <c r="A201" s="19"/>
      <c r="B201" s="19"/>
      <c r="C201" s="19"/>
      <c r="D201" s="19"/>
      <c r="E201" s="19"/>
      <c r="F201" s="19"/>
      <c r="G201" s="53"/>
      <c r="H201" s="19"/>
      <c r="I201" s="19"/>
      <c r="J201" s="19"/>
      <c r="K201" s="19"/>
      <c r="L201" s="19"/>
      <c r="M201" s="19"/>
      <c r="N201" s="19"/>
      <c r="O201" s="19"/>
      <c r="P201" s="19"/>
      <c r="Q201" s="19"/>
      <c r="R201" s="19"/>
      <c r="S201" s="19"/>
      <c r="T201" s="19"/>
      <c r="U201" s="19"/>
      <c r="V201" s="19"/>
      <c r="W201" s="19"/>
      <c r="X201" s="19"/>
      <c r="Y201" s="19"/>
      <c r="Z201" s="19"/>
    </row>
    <row r="202" ht="15.0" customHeight="1">
      <c r="A202" s="19"/>
      <c r="B202" s="19"/>
      <c r="C202" s="19"/>
      <c r="D202" s="19"/>
      <c r="E202" s="19"/>
      <c r="F202" s="19"/>
      <c r="G202" s="53"/>
      <c r="H202" s="19"/>
      <c r="I202" s="19"/>
      <c r="J202" s="19"/>
      <c r="K202" s="19"/>
      <c r="L202" s="19"/>
      <c r="M202" s="19"/>
      <c r="N202" s="19"/>
      <c r="O202" s="19"/>
      <c r="P202" s="19"/>
      <c r="Q202" s="19"/>
      <c r="R202" s="19"/>
      <c r="S202" s="19"/>
      <c r="T202" s="19"/>
      <c r="U202" s="19"/>
      <c r="V202" s="19"/>
      <c r="W202" s="19"/>
      <c r="X202" s="19"/>
      <c r="Y202" s="19"/>
      <c r="Z202" s="19"/>
    </row>
    <row r="203" ht="15.0" customHeight="1">
      <c r="A203" s="19"/>
      <c r="B203" s="19"/>
      <c r="C203" s="19"/>
      <c r="D203" s="19"/>
      <c r="E203" s="19"/>
      <c r="F203" s="19"/>
      <c r="G203" s="53"/>
      <c r="H203" s="19"/>
      <c r="I203" s="19"/>
      <c r="J203" s="19"/>
      <c r="K203" s="19"/>
      <c r="L203" s="19"/>
      <c r="M203" s="19"/>
      <c r="N203" s="19"/>
      <c r="O203" s="19"/>
      <c r="P203" s="19"/>
      <c r="Q203" s="19"/>
      <c r="R203" s="19"/>
      <c r="S203" s="19"/>
      <c r="T203" s="19"/>
      <c r="U203" s="19"/>
      <c r="V203" s="19"/>
      <c r="W203" s="19"/>
      <c r="X203" s="19"/>
      <c r="Y203" s="19"/>
      <c r="Z203" s="19"/>
    </row>
    <row r="204" ht="15.0" customHeight="1">
      <c r="A204" s="19"/>
      <c r="B204" s="19"/>
      <c r="C204" s="19"/>
      <c r="D204" s="19"/>
      <c r="E204" s="19"/>
      <c r="F204" s="19"/>
      <c r="G204" s="53"/>
      <c r="H204" s="19"/>
      <c r="I204" s="19"/>
      <c r="J204" s="19"/>
      <c r="K204" s="19"/>
      <c r="L204" s="19"/>
      <c r="M204" s="19"/>
      <c r="N204" s="19"/>
      <c r="O204" s="19"/>
      <c r="P204" s="19"/>
      <c r="Q204" s="19"/>
      <c r="R204" s="19"/>
      <c r="S204" s="19"/>
      <c r="T204" s="19"/>
      <c r="U204" s="19"/>
      <c r="V204" s="19"/>
      <c r="W204" s="19"/>
      <c r="X204" s="19"/>
      <c r="Y204" s="19"/>
      <c r="Z204" s="19"/>
    </row>
    <row r="205" ht="15.0" customHeight="1">
      <c r="A205" s="19"/>
      <c r="B205" s="19"/>
      <c r="C205" s="19"/>
      <c r="D205" s="19"/>
      <c r="E205" s="19"/>
      <c r="F205" s="19"/>
      <c r="G205" s="53"/>
      <c r="H205" s="19"/>
      <c r="I205" s="19"/>
      <c r="J205" s="19"/>
      <c r="K205" s="19"/>
      <c r="L205" s="19"/>
      <c r="M205" s="19"/>
      <c r="N205" s="19"/>
      <c r="O205" s="19"/>
      <c r="P205" s="19"/>
      <c r="Q205" s="19"/>
      <c r="R205" s="19"/>
      <c r="S205" s="19"/>
      <c r="T205" s="19"/>
      <c r="U205" s="19"/>
      <c r="V205" s="19"/>
      <c r="W205" s="19"/>
      <c r="X205" s="19"/>
      <c r="Y205" s="19"/>
      <c r="Z205" s="19"/>
    </row>
    <row r="206" ht="15.0" customHeight="1">
      <c r="A206" s="19"/>
      <c r="B206" s="19"/>
      <c r="C206" s="19"/>
      <c r="D206" s="19"/>
      <c r="E206" s="19"/>
      <c r="F206" s="19"/>
      <c r="G206" s="53"/>
      <c r="H206" s="19"/>
      <c r="I206" s="19"/>
      <c r="J206" s="19"/>
      <c r="K206" s="19"/>
      <c r="L206" s="19"/>
      <c r="M206" s="19"/>
      <c r="N206" s="19"/>
      <c r="O206" s="19"/>
      <c r="P206" s="19"/>
      <c r="Q206" s="19"/>
      <c r="R206" s="19"/>
      <c r="S206" s="19"/>
      <c r="T206" s="19"/>
      <c r="U206" s="19"/>
      <c r="V206" s="19"/>
      <c r="W206" s="19"/>
      <c r="X206" s="19"/>
      <c r="Y206" s="19"/>
      <c r="Z206" s="19"/>
    </row>
    <row r="207" ht="15.0" customHeight="1">
      <c r="A207" s="19"/>
      <c r="B207" s="19"/>
      <c r="C207" s="19"/>
      <c r="D207" s="19"/>
      <c r="E207" s="19"/>
      <c r="F207" s="19"/>
      <c r="G207" s="53"/>
      <c r="H207" s="19"/>
      <c r="I207" s="19"/>
      <c r="J207" s="19"/>
      <c r="K207" s="19"/>
      <c r="L207" s="19"/>
      <c r="M207" s="19"/>
      <c r="N207" s="19"/>
      <c r="O207" s="19"/>
      <c r="P207" s="19"/>
      <c r="Q207" s="19"/>
      <c r="R207" s="19"/>
      <c r="S207" s="19"/>
      <c r="T207" s="19"/>
      <c r="U207" s="19"/>
      <c r="V207" s="19"/>
      <c r="W207" s="19"/>
      <c r="X207" s="19"/>
      <c r="Y207" s="19"/>
      <c r="Z207" s="19"/>
    </row>
    <row r="208" ht="15.0" customHeight="1">
      <c r="A208" s="19"/>
      <c r="B208" s="19"/>
      <c r="C208" s="19"/>
      <c r="D208" s="19"/>
      <c r="E208" s="19"/>
      <c r="F208" s="19"/>
      <c r="G208" s="53"/>
      <c r="H208" s="19"/>
      <c r="I208" s="19"/>
      <c r="J208" s="19"/>
      <c r="K208" s="19"/>
      <c r="L208" s="19"/>
      <c r="M208" s="19"/>
      <c r="N208" s="19"/>
      <c r="O208" s="19"/>
      <c r="P208" s="19"/>
      <c r="Q208" s="19"/>
      <c r="R208" s="19"/>
      <c r="S208" s="19"/>
      <c r="T208" s="19"/>
      <c r="U208" s="19"/>
      <c r="V208" s="19"/>
      <c r="W208" s="19"/>
      <c r="X208" s="19"/>
      <c r="Y208" s="19"/>
      <c r="Z208" s="19"/>
    </row>
    <row r="209" ht="15.0" customHeight="1">
      <c r="A209" s="19"/>
      <c r="B209" s="19"/>
      <c r="C209" s="19"/>
      <c r="D209" s="19"/>
      <c r="E209" s="19"/>
      <c r="F209" s="19"/>
      <c r="G209" s="53"/>
      <c r="H209" s="19"/>
      <c r="I209" s="19"/>
      <c r="J209" s="19"/>
      <c r="K209" s="19"/>
      <c r="L209" s="19"/>
      <c r="M209" s="19"/>
      <c r="N209" s="19"/>
      <c r="O209" s="19"/>
      <c r="P209" s="19"/>
      <c r="Q209" s="19"/>
      <c r="R209" s="19"/>
      <c r="S209" s="19"/>
      <c r="T209" s="19"/>
      <c r="U209" s="19"/>
      <c r="V209" s="19"/>
      <c r="W209" s="19"/>
      <c r="X209" s="19"/>
      <c r="Y209" s="19"/>
      <c r="Z209" s="19"/>
    </row>
    <row r="210" ht="15.0" customHeight="1">
      <c r="A210" s="19"/>
      <c r="B210" s="19"/>
      <c r="C210" s="19"/>
      <c r="D210" s="19"/>
      <c r="E210" s="19"/>
      <c r="F210" s="19"/>
      <c r="G210" s="53"/>
      <c r="H210" s="19"/>
      <c r="I210" s="19"/>
      <c r="J210" s="19"/>
      <c r="K210" s="19"/>
      <c r="L210" s="19"/>
      <c r="M210" s="19"/>
      <c r="N210" s="19"/>
      <c r="O210" s="19"/>
      <c r="P210" s="19"/>
      <c r="Q210" s="19"/>
      <c r="R210" s="19"/>
      <c r="S210" s="19"/>
      <c r="T210" s="19"/>
      <c r="U210" s="19"/>
      <c r="V210" s="19"/>
      <c r="W210" s="19"/>
      <c r="X210" s="19"/>
      <c r="Y210" s="19"/>
      <c r="Z210" s="19"/>
    </row>
    <row r="211" ht="15.0" customHeight="1">
      <c r="A211" s="19"/>
      <c r="B211" s="19"/>
      <c r="C211" s="19"/>
      <c r="D211" s="19"/>
      <c r="E211" s="19"/>
      <c r="F211" s="19"/>
      <c r="G211" s="53"/>
      <c r="H211" s="19"/>
      <c r="I211" s="19"/>
      <c r="J211" s="19"/>
      <c r="K211" s="19"/>
      <c r="L211" s="19"/>
      <c r="M211" s="19"/>
      <c r="N211" s="19"/>
      <c r="O211" s="19"/>
      <c r="P211" s="19"/>
      <c r="Q211" s="19"/>
      <c r="R211" s="19"/>
      <c r="S211" s="19"/>
      <c r="T211" s="19"/>
      <c r="U211" s="19"/>
      <c r="V211" s="19"/>
      <c r="W211" s="19"/>
      <c r="X211" s="19"/>
      <c r="Y211" s="19"/>
      <c r="Z211" s="19"/>
    </row>
    <row r="212" ht="15.0" customHeight="1">
      <c r="A212" s="19"/>
      <c r="B212" s="19"/>
      <c r="C212" s="19"/>
      <c r="D212" s="19"/>
      <c r="E212" s="19"/>
      <c r="F212" s="19"/>
      <c r="G212" s="53"/>
      <c r="H212" s="19"/>
      <c r="I212" s="19"/>
      <c r="J212" s="19"/>
      <c r="K212" s="19"/>
      <c r="L212" s="19"/>
      <c r="M212" s="19"/>
      <c r="N212" s="19"/>
      <c r="O212" s="19"/>
      <c r="P212" s="19"/>
      <c r="Q212" s="19"/>
      <c r="R212" s="19"/>
      <c r="S212" s="19"/>
      <c r="T212" s="19"/>
      <c r="U212" s="19"/>
      <c r="V212" s="19"/>
      <c r="W212" s="19"/>
      <c r="X212" s="19"/>
      <c r="Y212" s="19"/>
      <c r="Z212" s="19"/>
    </row>
    <row r="213" ht="15.0" customHeight="1">
      <c r="A213" s="19"/>
      <c r="B213" s="19"/>
      <c r="C213" s="19"/>
      <c r="D213" s="19"/>
      <c r="E213" s="19"/>
      <c r="F213" s="19"/>
      <c r="G213" s="53"/>
      <c r="H213" s="19"/>
      <c r="I213" s="19"/>
      <c r="J213" s="19"/>
      <c r="K213" s="19"/>
      <c r="L213" s="19"/>
      <c r="M213" s="19"/>
      <c r="N213" s="19"/>
      <c r="O213" s="19"/>
      <c r="P213" s="19"/>
      <c r="Q213" s="19"/>
      <c r="R213" s="19"/>
      <c r="S213" s="19"/>
      <c r="T213" s="19"/>
      <c r="U213" s="19"/>
      <c r="V213" s="19"/>
      <c r="W213" s="19"/>
      <c r="X213" s="19"/>
      <c r="Y213" s="19"/>
      <c r="Z213" s="19"/>
    </row>
    <row r="214" ht="15.0" customHeight="1">
      <c r="A214" s="19"/>
      <c r="B214" s="19"/>
      <c r="C214" s="19"/>
      <c r="D214" s="19"/>
      <c r="E214" s="19"/>
      <c r="F214" s="19"/>
      <c r="G214" s="53"/>
      <c r="H214" s="19"/>
      <c r="I214" s="19"/>
      <c r="J214" s="19"/>
      <c r="K214" s="19"/>
      <c r="L214" s="19"/>
      <c r="M214" s="19"/>
      <c r="N214" s="19"/>
      <c r="O214" s="19"/>
      <c r="P214" s="19"/>
      <c r="Q214" s="19"/>
      <c r="R214" s="19"/>
      <c r="S214" s="19"/>
      <c r="T214" s="19"/>
      <c r="U214" s="19"/>
      <c r="V214" s="19"/>
      <c r="W214" s="19"/>
      <c r="X214" s="19"/>
      <c r="Y214" s="19"/>
      <c r="Z214" s="19"/>
    </row>
    <row r="215" ht="15.0" customHeight="1">
      <c r="A215" s="19"/>
      <c r="B215" s="19"/>
      <c r="C215" s="19"/>
      <c r="D215" s="19"/>
      <c r="E215" s="19"/>
      <c r="F215" s="19"/>
      <c r="G215" s="53"/>
      <c r="H215" s="19"/>
      <c r="I215" s="19"/>
      <c r="J215" s="19"/>
      <c r="K215" s="19"/>
      <c r="L215" s="19"/>
      <c r="M215" s="19"/>
      <c r="N215" s="19"/>
      <c r="O215" s="19"/>
      <c r="P215" s="19"/>
      <c r="Q215" s="19"/>
      <c r="R215" s="19"/>
      <c r="S215" s="19"/>
      <c r="T215" s="19"/>
      <c r="U215" s="19"/>
      <c r="V215" s="19"/>
      <c r="W215" s="19"/>
      <c r="X215" s="19"/>
      <c r="Y215" s="19"/>
      <c r="Z215" s="19"/>
    </row>
    <row r="216" ht="15.0" customHeight="1">
      <c r="A216" s="19"/>
      <c r="B216" s="19"/>
      <c r="C216" s="19"/>
      <c r="D216" s="19"/>
      <c r="E216" s="19"/>
      <c r="F216" s="19"/>
      <c r="G216" s="53"/>
      <c r="H216" s="19"/>
      <c r="I216" s="19"/>
      <c r="J216" s="19"/>
      <c r="K216" s="19"/>
      <c r="L216" s="19"/>
      <c r="M216" s="19"/>
      <c r="N216" s="19"/>
      <c r="O216" s="19"/>
      <c r="P216" s="19"/>
      <c r="Q216" s="19"/>
      <c r="R216" s="19"/>
      <c r="S216" s="19"/>
      <c r="T216" s="19"/>
      <c r="U216" s="19"/>
      <c r="V216" s="19"/>
      <c r="W216" s="19"/>
      <c r="X216" s="19"/>
      <c r="Y216" s="19"/>
      <c r="Z216" s="19"/>
    </row>
    <row r="217" ht="15.0" customHeight="1">
      <c r="A217" s="19"/>
      <c r="B217" s="19"/>
      <c r="C217" s="19"/>
      <c r="D217" s="19"/>
      <c r="E217" s="19"/>
      <c r="F217" s="19"/>
      <c r="G217" s="53"/>
      <c r="H217" s="19"/>
      <c r="I217" s="19"/>
      <c r="J217" s="19"/>
      <c r="K217" s="19"/>
      <c r="L217" s="19"/>
      <c r="M217" s="19"/>
      <c r="N217" s="19"/>
      <c r="O217" s="19"/>
      <c r="P217" s="19"/>
      <c r="Q217" s="19"/>
      <c r="R217" s="19"/>
      <c r="S217" s="19"/>
      <c r="T217" s="19"/>
      <c r="U217" s="19"/>
      <c r="V217" s="19"/>
      <c r="W217" s="19"/>
      <c r="X217" s="19"/>
      <c r="Y217" s="19"/>
      <c r="Z217" s="19"/>
    </row>
    <row r="218" ht="15.0" customHeight="1">
      <c r="A218" s="19"/>
      <c r="B218" s="19"/>
      <c r="C218" s="19"/>
      <c r="D218" s="19"/>
      <c r="E218" s="19"/>
      <c r="F218" s="19"/>
      <c r="G218" s="53"/>
      <c r="H218" s="19"/>
      <c r="I218" s="19"/>
      <c r="J218" s="19"/>
      <c r="K218" s="19"/>
      <c r="L218" s="19"/>
      <c r="M218" s="19"/>
      <c r="N218" s="19"/>
      <c r="O218" s="19"/>
      <c r="P218" s="19"/>
      <c r="Q218" s="19"/>
      <c r="R218" s="19"/>
      <c r="S218" s="19"/>
      <c r="T218" s="19"/>
      <c r="U218" s="19"/>
      <c r="V218" s="19"/>
      <c r="W218" s="19"/>
      <c r="X218" s="19"/>
      <c r="Y218" s="19"/>
      <c r="Z218" s="19"/>
    </row>
    <row r="219" ht="15.0" customHeight="1">
      <c r="A219" s="19"/>
      <c r="B219" s="19"/>
      <c r="C219" s="19"/>
      <c r="D219" s="19"/>
      <c r="E219" s="19"/>
      <c r="F219" s="19"/>
      <c r="G219" s="53"/>
      <c r="H219" s="19"/>
      <c r="I219" s="19"/>
      <c r="J219" s="19"/>
      <c r="K219" s="19"/>
      <c r="L219" s="19"/>
      <c r="M219" s="19"/>
      <c r="N219" s="19"/>
      <c r="O219" s="19"/>
      <c r="P219" s="19"/>
      <c r="Q219" s="19"/>
      <c r="R219" s="19"/>
      <c r="S219" s="19"/>
      <c r="T219" s="19"/>
      <c r="U219" s="19"/>
      <c r="V219" s="19"/>
      <c r="W219" s="19"/>
      <c r="X219" s="19"/>
      <c r="Y219" s="19"/>
      <c r="Z219" s="19"/>
    </row>
    <row r="220" ht="15.0" customHeight="1">
      <c r="A220" s="19"/>
      <c r="B220" s="19"/>
      <c r="C220" s="19"/>
      <c r="D220" s="19"/>
      <c r="E220" s="19"/>
      <c r="F220" s="19"/>
      <c r="G220" s="53"/>
      <c r="H220" s="19"/>
      <c r="I220" s="19"/>
      <c r="J220" s="19"/>
      <c r="K220" s="19"/>
      <c r="L220" s="19"/>
      <c r="M220" s="19"/>
      <c r="N220" s="19"/>
      <c r="O220" s="19"/>
      <c r="P220" s="19"/>
      <c r="Q220" s="19"/>
      <c r="R220" s="19"/>
      <c r="S220" s="19"/>
      <c r="T220" s="19"/>
      <c r="U220" s="19"/>
      <c r="V220" s="19"/>
      <c r="W220" s="19"/>
      <c r="X220" s="19"/>
      <c r="Y220" s="19"/>
      <c r="Z220" s="19"/>
    </row>
    <row r="221" ht="15.0" customHeight="1">
      <c r="A221" s="19"/>
      <c r="B221" s="19"/>
      <c r="C221" s="19"/>
      <c r="D221" s="19"/>
      <c r="E221" s="19"/>
      <c r="F221" s="19"/>
      <c r="G221" s="53"/>
      <c r="H221" s="19"/>
      <c r="I221" s="19"/>
      <c r="J221" s="19"/>
      <c r="K221" s="19"/>
      <c r="L221" s="19"/>
      <c r="M221" s="19"/>
      <c r="N221" s="19"/>
      <c r="O221" s="19"/>
      <c r="P221" s="19"/>
      <c r="Q221" s="19"/>
      <c r="R221" s="19"/>
      <c r="S221" s="19"/>
      <c r="T221" s="19"/>
      <c r="U221" s="19"/>
      <c r="V221" s="19"/>
      <c r="W221" s="19"/>
      <c r="X221" s="19"/>
      <c r="Y221" s="19"/>
      <c r="Z221" s="19"/>
    </row>
    <row r="222" ht="15.0" customHeight="1">
      <c r="A222" s="19"/>
      <c r="B222" s="19"/>
      <c r="C222" s="19"/>
      <c r="D222" s="19"/>
      <c r="E222" s="19"/>
      <c r="F222" s="19"/>
      <c r="G222" s="53"/>
      <c r="H222" s="19"/>
      <c r="I222" s="19"/>
      <c r="J222" s="19"/>
      <c r="K222" s="19"/>
      <c r="L222" s="19"/>
      <c r="M222" s="19"/>
      <c r="N222" s="19"/>
      <c r="O222" s="19"/>
      <c r="P222" s="19"/>
      <c r="Q222" s="19"/>
      <c r="R222" s="19"/>
      <c r="S222" s="19"/>
      <c r="T222" s="19"/>
      <c r="U222" s="19"/>
      <c r="V222" s="19"/>
      <c r="W222" s="19"/>
      <c r="X222" s="19"/>
      <c r="Y222" s="19"/>
      <c r="Z222" s="19"/>
    </row>
    <row r="223" ht="15.0" customHeight="1">
      <c r="A223" s="19"/>
      <c r="B223" s="19"/>
      <c r="C223" s="19"/>
      <c r="D223" s="19"/>
      <c r="E223" s="19"/>
      <c r="F223" s="19"/>
      <c r="G223" s="53"/>
      <c r="H223" s="19"/>
      <c r="I223" s="19"/>
      <c r="J223" s="19"/>
      <c r="K223" s="19"/>
      <c r="L223" s="19"/>
      <c r="M223" s="19"/>
      <c r="N223" s="19"/>
      <c r="O223" s="19"/>
      <c r="P223" s="19"/>
      <c r="Q223" s="19"/>
      <c r="R223" s="19"/>
      <c r="S223" s="19"/>
      <c r="T223" s="19"/>
      <c r="U223" s="19"/>
      <c r="V223" s="19"/>
      <c r="W223" s="19"/>
      <c r="X223" s="19"/>
      <c r="Y223" s="19"/>
      <c r="Z223" s="19"/>
    </row>
    <row r="224" ht="15.0" customHeight="1">
      <c r="A224" s="19"/>
      <c r="B224" s="19"/>
      <c r="C224" s="19"/>
      <c r="D224" s="19"/>
      <c r="E224" s="19"/>
      <c r="F224" s="19"/>
      <c r="G224" s="53"/>
      <c r="H224" s="19"/>
      <c r="I224" s="19"/>
      <c r="J224" s="19"/>
      <c r="K224" s="19"/>
      <c r="L224" s="19"/>
      <c r="M224" s="19"/>
      <c r="N224" s="19"/>
      <c r="O224" s="19"/>
      <c r="P224" s="19"/>
      <c r="Q224" s="19"/>
      <c r="R224" s="19"/>
      <c r="S224" s="19"/>
      <c r="T224" s="19"/>
      <c r="U224" s="19"/>
      <c r="V224" s="19"/>
      <c r="W224" s="19"/>
      <c r="X224" s="19"/>
      <c r="Y224" s="19"/>
      <c r="Z224" s="19"/>
    </row>
    <row r="225" ht="15.0" customHeight="1">
      <c r="A225" s="19"/>
      <c r="B225" s="19"/>
      <c r="C225" s="19"/>
      <c r="D225" s="19"/>
      <c r="E225" s="19"/>
      <c r="F225" s="19"/>
      <c r="G225" s="53"/>
      <c r="H225" s="19"/>
      <c r="I225" s="19"/>
      <c r="J225" s="19"/>
      <c r="K225" s="19"/>
      <c r="L225" s="19"/>
      <c r="M225" s="19"/>
      <c r="N225" s="19"/>
      <c r="O225" s="19"/>
      <c r="P225" s="19"/>
      <c r="Q225" s="19"/>
      <c r="R225" s="19"/>
      <c r="S225" s="19"/>
      <c r="T225" s="19"/>
      <c r="U225" s="19"/>
      <c r="V225" s="19"/>
      <c r="W225" s="19"/>
      <c r="X225" s="19"/>
      <c r="Y225" s="19"/>
      <c r="Z225" s="19"/>
    </row>
    <row r="226" ht="15.0" customHeight="1">
      <c r="A226" s="19"/>
      <c r="B226" s="19"/>
      <c r="C226" s="19"/>
      <c r="D226" s="19"/>
      <c r="E226" s="19"/>
      <c r="F226" s="19"/>
      <c r="G226" s="53"/>
      <c r="H226" s="19"/>
      <c r="I226" s="19"/>
      <c r="J226" s="19"/>
      <c r="K226" s="19"/>
      <c r="L226" s="19"/>
      <c r="M226" s="19"/>
      <c r="N226" s="19"/>
      <c r="O226" s="19"/>
      <c r="P226" s="19"/>
      <c r="Q226" s="19"/>
      <c r="R226" s="19"/>
      <c r="S226" s="19"/>
      <c r="T226" s="19"/>
      <c r="U226" s="19"/>
      <c r="V226" s="19"/>
      <c r="W226" s="19"/>
      <c r="X226" s="19"/>
      <c r="Y226" s="19"/>
      <c r="Z226" s="19"/>
    </row>
    <row r="227" ht="15.0" customHeight="1">
      <c r="A227" s="19"/>
      <c r="B227" s="19"/>
      <c r="C227" s="19"/>
      <c r="D227" s="19"/>
      <c r="E227" s="19"/>
      <c r="F227" s="19"/>
      <c r="G227" s="53"/>
      <c r="H227" s="19"/>
      <c r="I227" s="19"/>
      <c r="J227" s="19"/>
      <c r="K227" s="19"/>
      <c r="L227" s="19"/>
      <c r="M227" s="19"/>
      <c r="N227" s="19"/>
      <c r="O227" s="19"/>
      <c r="P227" s="19"/>
      <c r="Q227" s="19"/>
      <c r="R227" s="19"/>
      <c r="S227" s="19"/>
      <c r="T227" s="19"/>
      <c r="U227" s="19"/>
      <c r="V227" s="19"/>
      <c r="W227" s="19"/>
      <c r="X227" s="19"/>
      <c r="Y227" s="19"/>
      <c r="Z227" s="19"/>
    </row>
    <row r="228" ht="15.0" customHeight="1">
      <c r="A228" s="19"/>
      <c r="B228" s="19"/>
      <c r="C228" s="19"/>
      <c r="D228" s="19"/>
      <c r="E228" s="19"/>
      <c r="F228" s="19"/>
      <c r="G228" s="53"/>
      <c r="H228" s="19"/>
      <c r="I228" s="19"/>
      <c r="J228" s="19"/>
      <c r="K228" s="19"/>
      <c r="L228" s="19"/>
      <c r="M228" s="19"/>
      <c r="N228" s="19"/>
      <c r="O228" s="19"/>
      <c r="P228" s="19"/>
      <c r="Q228" s="19"/>
      <c r="R228" s="19"/>
      <c r="S228" s="19"/>
      <c r="T228" s="19"/>
      <c r="U228" s="19"/>
      <c r="V228" s="19"/>
      <c r="W228" s="19"/>
      <c r="X228" s="19"/>
      <c r="Y228" s="19"/>
      <c r="Z228" s="19"/>
    </row>
    <row r="229" ht="15.0" customHeight="1">
      <c r="A229" s="19"/>
      <c r="B229" s="19"/>
      <c r="C229" s="19"/>
      <c r="D229" s="19"/>
      <c r="E229" s="19"/>
      <c r="F229" s="19"/>
      <c r="G229" s="53"/>
      <c r="H229" s="19"/>
      <c r="I229" s="19"/>
      <c r="J229" s="19"/>
      <c r="K229" s="19"/>
      <c r="L229" s="19"/>
      <c r="M229" s="19"/>
      <c r="N229" s="19"/>
      <c r="O229" s="19"/>
      <c r="P229" s="19"/>
      <c r="Q229" s="19"/>
      <c r="R229" s="19"/>
      <c r="S229" s="19"/>
      <c r="T229" s="19"/>
      <c r="U229" s="19"/>
      <c r="V229" s="19"/>
      <c r="W229" s="19"/>
      <c r="X229" s="19"/>
      <c r="Y229" s="19"/>
      <c r="Z229" s="19"/>
    </row>
    <row r="230" ht="15.0" customHeight="1">
      <c r="A230" s="19"/>
      <c r="B230" s="19"/>
      <c r="C230" s="19"/>
      <c r="D230" s="19"/>
      <c r="E230" s="19"/>
      <c r="F230" s="19"/>
      <c r="G230" s="53"/>
      <c r="H230" s="19"/>
      <c r="I230" s="19"/>
      <c r="J230" s="19"/>
      <c r="K230" s="19"/>
      <c r="L230" s="19"/>
      <c r="M230" s="19"/>
      <c r="N230" s="19"/>
      <c r="O230" s="19"/>
      <c r="P230" s="19"/>
      <c r="Q230" s="19"/>
      <c r="R230" s="19"/>
      <c r="S230" s="19"/>
      <c r="T230" s="19"/>
      <c r="U230" s="19"/>
      <c r="V230" s="19"/>
      <c r="W230" s="19"/>
      <c r="X230" s="19"/>
      <c r="Y230" s="19"/>
      <c r="Z230" s="19"/>
    </row>
    <row r="231" ht="15.0" customHeight="1">
      <c r="A231" s="19"/>
      <c r="B231" s="19"/>
      <c r="C231" s="19"/>
      <c r="D231" s="19"/>
      <c r="E231" s="19"/>
      <c r="F231" s="19"/>
      <c r="G231" s="53"/>
      <c r="H231" s="19"/>
      <c r="I231" s="19"/>
      <c r="J231" s="19"/>
      <c r="K231" s="19"/>
      <c r="L231" s="19"/>
      <c r="M231" s="19"/>
      <c r="N231" s="19"/>
      <c r="O231" s="19"/>
      <c r="P231" s="19"/>
      <c r="Q231" s="19"/>
      <c r="R231" s="19"/>
      <c r="S231" s="19"/>
      <c r="T231" s="19"/>
      <c r="U231" s="19"/>
      <c r="V231" s="19"/>
      <c r="W231" s="19"/>
      <c r="X231" s="19"/>
      <c r="Y231" s="19"/>
      <c r="Z231" s="19"/>
    </row>
    <row r="232" ht="15.0" customHeight="1">
      <c r="A232" s="19"/>
      <c r="B232" s="19"/>
      <c r="C232" s="19"/>
      <c r="D232" s="19"/>
      <c r="E232" s="19"/>
      <c r="F232" s="19"/>
      <c r="G232" s="53"/>
      <c r="H232" s="19"/>
      <c r="I232" s="19"/>
      <c r="J232" s="19"/>
      <c r="K232" s="19"/>
      <c r="L232" s="19"/>
      <c r="M232" s="19"/>
      <c r="N232" s="19"/>
      <c r="O232" s="19"/>
      <c r="P232" s="19"/>
      <c r="Q232" s="19"/>
      <c r="R232" s="19"/>
      <c r="S232" s="19"/>
      <c r="T232" s="19"/>
      <c r="U232" s="19"/>
      <c r="V232" s="19"/>
      <c r="W232" s="19"/>
      <c r="X232" s="19"/>
      <c r="Y232" s="19"/>
      <c r="Z232" s="19"/>
    </row>
    <row r="233" ht="15.0" customHeight="1">
      <c r="A233" s="19"/>
      <c r="B233" s="19"/>
      <c r="C233" s="19"/>
      <c r="D233" s="19"/>
      <c r="E233" s="19"/>
      <c r="F233" s="19"/>
      <c r="G233" s="53"/>
      <c r="H233" s="19"/>
      <c r="I233" s="19"/>
      <c r="J233" s="19"/>
      <c r="K233" s="19"/>
      <c r="L233" s="19"/>
      <c r="M233" s="19"/>
      <c r="N233" s="19"/>
      <c r="O233" s="19"/>
      <c r="P233" s="19"/>
      <c r="Q233" s="19"/>
      <c r="R233" s="19"/>
      <c r="S233" s="19"/>
      <c r="T233" s="19"/>
      <c r="U233" s="19"/>
      <c r="V233" s="19"/>
      <c r="W233" s="19"/>
      <c r="X233" s="19"/>
      <c r="Y233" s="19"/>
      <c r="Z233" s="19"/>
    </row>
    <row r="234" ht="15.0" customHeight="1">
      <c r="A234" s="19"/>
      <c r="B234" s="19"/>
      <c r="C234" s="19"/>
      <c r="D234" s="19"/>
      <c r="E234" s="19"/>
      <c r="F234" s="19"/>
      <c r="G234" s="53"/>
      <c r="H234" s="19"/>
      <c r="I234" s="19"/>
      <c r="J234" s="19"/>
      <c r="K234" s="19"/>
      <c r="L234" s="19"/>
      <c r="M234" s="19"/>
      <c r="N234" s="19"/>
      <c r="O234" s="19"/>
      <c r="P234" s="19"/>
      <c r="Q234" s="19"/>
      <c r="R234" s="19"/>
      <c r="S234" s="19"/>
      <c r="T234" s="19"/>
      <c r="U234" s="19"/>
      <c r="V234" s="19"/>
      <c r="W234" s="19"/>
      <c r="X234" s="19"/>
      <c r="Y234" s="19"/>
      <c r="Z234" s="19"/>
    </row>
    <row r="235" ht="15.0" customHeight="1">
      <c r="A235" s="19"/>
      <c r="B235" s="19"/>
      <c r="C235" s="19"/>
      <c r="D235" s="19"/>
      <c r="E235" s="19"/>
      <c r="F235" s="19"/>
      <c r="G235" s="53"/>
      <c r="H235" s="19"/>
      <c r="I235" s="19"/>
      <c r="J235" s="19"/>
      <c r="K235" s="19"/>
      <c r="L235" s="19"/>
      <c r="M235" s="19"/>
      <c r="N235" s="19"/>
      <c r="O235" s="19"/>
      <c r="P235" s="19"/>
      <c r="Q235" s="19"/>
      <c r="R235" s="19"/>
      <c r="S235" s="19"/>
      <c r="T235" s="19"/>
      <c r="U235" s="19"/>
      <c r="V235" s="19"/>
      <c r="W235" s="19"/>
      <c r="X235" s="19"/>
      <c r="Y235" s="19"/>
      <c r="Z235" s="19"/>
    </row>
    <row r="236" ht="15.0" customHeight="1">
      <c r="A236" s="19"/>
      <c r="B236" s="19"/>
      <c r="C236" s="19"/>
      <c r="D236" s="19"/>
      <c r="E236" s="19"/>
      <c r="F236" s="19"/>
      <c r="G236" s="53"/>
      <c r="H236" s="19"/>
      <c r="I236" s="19"/>
      <c r="J236" s="19"/>
      <c r="K236" s="19"/>
      <c r="L236" s="19"/>
      <c r="M236" s="19"/>
      <c r="N236" s="19"/>
      <c r="O236" s="19"/>
      <c r="P236" s="19"/>
      <c r="Q236" s="19"/>
      <c r="R236" s="19"/>
      <c r="S236" s="19"/>
      <c r="T236" s="19"/>
      <c r="U236" s="19"/>
      <c r="V236" s="19"/>
      <c r="W236" s="19"/>
      <c r="X236" s="19"/>
      <c r="Y236" s="19"/>
      <c r="Z236" s="19"/>
    </row>
    <row r="237" ht="15.0" customHeight="1">
      <c r="A237" s="19"/>
      <c r="B237" s="19"/>
      <c r="C237" s="19"/>
      <c r="D237" s="19"/>
      <c r="E237" s="19"/>
      <c r="F237" s="19"/>
      <c r="G237" s="53"/>
      <c r="H237" s="19"/>
      <c r="I237" s="19"/>
      <c r="J237" s="19"/>
      <c r="K237" s="19"/>
      <c r="L237" s="19"/>
      <c r="M237" s="19"/>
      <c r="N237" s="19"/>
      <c r="O237" s="19"/>
      <c r="P237" s="19"/>
      <c r="Q237" s="19"/>
      <c r="R237" s="19"/>
      <c r="S237" s="19"/>
      <c r="T237" s="19"/>
      <c r="U237" s="19"/>
      <c r="V237" s="19"/>
      <c r="W237" s="19"/>
      <c r="X237" s="19"/>
      <c r="Y237" s="19"/>
      <c r="Z237" s="19"/>
    </row>
    <row r="238" ht="15.0" customHeight="1">
      <c r="A238" s="19"/>
      <c r="B238" s="19"/>
      <c r="C238" s="19"/>
      <c r="D238" s="19"/>
      <c r="E238" s="19"/>
      <c r="F238" s="19"/>
      <c r="G238" s="53"/>
      <c r="H238" s="19"/>
      <c r="I238" s="19"/>
      <c r="J238" s="19"/>
      <c r="K238" s="19"/>
      <c r="L238" s="19"/>
      <c r="M238" s="19"/>
      <c r="N238" s="19"/>
      <c r="O238" s="19"/>
      <c r="P238" s="19"/>
      <c r="Q238" s="19"/>
      <c r="R238" s="19"/>
      <c r="S238" s="19"/>
      <c r="T238" s="19"/>
      <c r="U238" s="19"/>
      <c r="V238" s="19"/>
      <c r="W238" s="19"/>
      <c r="X238" s="19"/>
      <c r="Y238" s="19"/>
      <c r="Z238" s="19"/>
    </row>
    <row r="239" ht="15.0" customHeight="1">
      <c r="A239" s="19"/>
      <c r="B239" s="19"/>
      <c r="C239" s="19"/>
      <c r="D239" s="19"/>
      <c r="E239" s="19"/>
      <c r="F239" s="19"/>
      <c r="G239" s="53"/>
      <c r="H239" s="19"/>
      <c r="I239" s="19"/>
      <c r="J239" s="19"/>
      <c r="K239" s="19"/>
      <c r="L239" s="19"/>
      <c r="M239" s="19"/>
      <c r="N239" s="19"/>
      <c r="O239" s="19"/>
      <c r="P239" s="19"/>
      <c r="Q239" s="19"/>
      <c r="R239" s="19"/>
      <c r="S239" s="19"/>
      <c r="T239" s="19"/>
      <c r="U239" s="19"/>
      <c r="V239" s="19"/>
      <c r="W239" s="19"/>
      <c r="X239" s="19"/>
      <c r="Y239" s="19"/>
      <c r="Z239" s="19"/>
    </row>
    <row r="240" ht="15.0" customHeight="1">
      <c r="A240" s="19"/>
      <c r="B240" s="19"/>
      <c r="C240" s="19"/>
      <c r="D240" s="19"/>
      <c r="E240" s="19"/>
      <c r="F240" s="19"/>
      <c r="G240" s="53"/>
      <c r="H240" s="19"/>
      <c r="I240" s="19"/>
      <c r="J240" s="19"/>
      <c r="K240" s="19"/>
      <c r="L240" s="19"/>
      <c r="M240" s="19"/>
      <c r="N240" s="19"/>
      <c r="O240" s="19"/>
      <c r="P240" s="19"/>
      <c r="Q240" s="19"/>
      <c r="R240" s="19"/>
      <c r="S240" s="19"/>
      <c r="T240" s="19"/>
      <c r="U240" s="19"/>
      <c r="V240" s="19"/>
      <c r="W240" s="19"/>
      <c r="X240" s="19"/>
      <c r="Y240" s="19"/>
      <c r="Z240" s="19"/>
    </row>
    <row r="241" ht="15.0" customHeight="1">
      <c r="A241" s="19"/>
      <c r="B241" s="19"/>
      <c r="C241" s="19"/>
      <c r="D241" s="19"/>
      <c r="E241" s="19"/>
      <c r="F241" s="19"/>
      <c r="G241" s="53"/>
      <c r="H241" s="19"/>
      <c r="I241" s="19"/>
      <c r="J241" s="19"/>
      <c r="K241" s="19"/>
      <c r="L241" s="19"/>
      <c r="M241" s="19"/>
      <c r="N241" s="19"/>
      <c r="O241" s="19"/>
      <c r="P241" s="19"/>
      <c r="Q241" s="19"/>
      <c r="R241" s="19"/>
      <c r="S241" s="19"/>
      <c r="T241" s="19"/>
      <c r="U241" s="19"/>
      <c r="V241" s="19"/>
      <c r="W241" s="19"/>
      <c r="X241" s="19"/>
      <c r="Y241" s="19"/>
      <c r="Z241" s="19"/>
    </row>
    <row r="242" ht="15.0" customHeight="1">
      <c r="A242" s="19"/>
      <c r="B242" s="19"/>
      <c r="C242" s="19"/>
      <c r="D242" s="19"/>
      <c r="E242" s="19"/>
      <c r="F242" s="19"/>
      <c r="G242" s="53"/>
      <c r="H242" s="19"/>
      <c r="I242" s="19"/>
      <c r="J242" s="19"/>
      <c r="K242" s="19"/>
      <c r="L242" s="19"/>
      <c r="M242" s="19"/>
      <c r="N242" s="19"/>
      <c r="O242" s="19"/>
      <c r="P242" s="19"/>
      <c r="Q242" s="19"/>
      <c r="R242" s="19"/>
      <c r="S242" s="19"/>
      <c r="T242" s="19"/>
      <c r="U242" s="19"/>
      <c r="V242" s="19"/>
      <c r="W242" s="19"/>
      <c r="X242" s="19"/>
      <c r="Y242" s="19"/>
      <c r="Z242" s="19"/>
    </row>
    <row r="243" ht="15.0" customHeight="1">
      <c r="A243" s="19"/>
      <c r="B243" s="19"/>
      <c r="C243" s="19"/>
      <c r="D243" s="19"/>
      <c r="E243" s="19"/>
      <c r="F243" s="19"/>
      <c r="G243" s="53"/>
      <c r="H243" s="19"/>
      <c r="I243" s="19"/>
      <c r="J243" s="19"/>
      <c r="K243" s="19"/>
      <c r="L243" s="19"/>
      <c r="M243" s="19"/>
      <c r="N243" s="19"/>
      <c r="O243" s="19"/>
      <c r="P243" s="19"/>
      <c r="Q243" s="19"/>
      <c r="R243" s="19"/>
      <c r="S243" s="19"/>
      <c r="T243" s="19"/>
      <c r="U243" s="19"/>
      <c r="V243" s="19"/>
      <c r="W243" s="19"/>
      <c r="X243" s="19"/>
      <c r="Y243" s="19"/>
      <c r="Z243" s="19"/>
    </row>
    <row r="244" ht="15.0" customHeight="1">
      <c r="A244" s="19"/>
      <c r="B244" s="19"/>
      <c r="C244" s="19"/>
      <c r="D244" s="19"/>
      <c r="E244" s="19"/>
      <c r="F244" s="19"/>
      <c r="G244" s="53"/>
      <c r="H244" s="19"/>
      <c r="I244" s="19"/>
      <c r="J244" s="19"/>
      <c r="K244" s="19"/>
      <c r="L244" s="19"/>
      <c r="M244" s="19"/>
      <c r="N244" s="19"/>
      <c r="O244" s="19"/>
      <c r="P244" s="19"/>
      <c r="Q244" s="19"/>
      <c r="R244" s="19"/>
      <c r="S244" s="19"/>
      <c r="T244" s="19"/>
      <c r="U244" s="19"/>
      <c r="V244" s="19"/>
      <c r="W244" s="19"/>
      <c r="X244" s="19"/>
      <c r="Y244" s="19"/>
      <c r="Z244" s="19"/>
    </row>
    <row r="245" ht="15.0" customHeight="1">
      <c r="A245" s="19"/>
      <c r="B245" s="19"/>
      <c r="C245" s="19"/>
      <c r="D245" s="19"/>
      <c r="E245" s="19"/>
      <c r="F245" s="19"/>
      <c r="G245" s="53"/>
      <c r="H245" s="19"/>
      <c r="I245" s="19"/>
      <c r="J245" s="19"/>
      <c r="K245" s="19"/>
      <c r="L245" s="19"/>
      <c r="M245" s="19"/>
      <c r="N245" s="19"/>
      <c r="O245" s="19"/>
      <c r="P245" s="19"/>
      <c r="Q245" s="19"/>
      <c r="R245" s="19"/>
      <c r="S245" s="19"/>
      <c r="T245" s="19"/>
      <c r="U245" s="19"/>
      <c r="V245" s="19"/>
      <c r="W245" s="19"/>
      <c r="X245" s="19"/>
      <c r="Y245" s="19"/>
      <c r="Z245" s="19"/>
    </row>
    <row r="246" ht="15.0" customHeight="1">
      <c r="A246" s="19"/>
      <c r="B246" s="19"/>
      <c r="C246" s="19"/>
      <c r="D246" s="19"/>
      <c r="E246" s="19"/>
      <c r="F246" s="19"/>
      <c r="G246" s="53"/>
      <c r="H246" s="19"/>
      <c r="I246" s="19"/>
      <c r="J246" s="19"/>
      <c r="K246" s="19"/>
      <c r="L246" s="19"/>
      <c r="M246" s="19"/>
      <c r="N246" s="19"/>
      <c r="O246" s="19"/>
      <c r="P246" s="19"/>
      <c r="Q246" s="19"/>
      <c r="R246" s="19"/>
      <c r="S246" s="19"/>
      <c r="T246" s="19"/>
      <c r="U246" s="19"/>
      <c r="V246" s="19"/>
      <c r="W246" s="19"/>
      <c r="X246" s="19"/>
      <c r="Y246" s="19"/>
      <c r="Z246" s="19"/>
    </row>
    <row r="247" ht="15.0" customHeight="1">
      <c r="A247" s="19"/>
      <c r="B247" s="19"/>
      <c r="C247" s="19"/>
      <c r="D247" s="19"/>
      <c r="E247" s="19"/>
      <c r="F247" s="19"/>
      <c r="G247" s="53"/>
      <c r="H247" s="19"/>
      <c r="I247" s="19"/>
      <c r="J247" s="19"/>
      <c r="K247" s="19"/>
      <c r="L247" s="19"/>
      <c r="M247" s="19"/>
      <c r="N247" s="19"/>
      <c r="O247" s="19"/>
      <c r="P247" s="19"/>
      <c r="Q247" s="19"/>
      <c r="R247" s="19"/>
      <c r="S247" s="19"/>
      <c r="T247" s="19"/>
      <c r="U247" s="19"/>
      <c r="V247" s="19"/>
      <c r="W247" s="19"/>
      <c r="X247" s="19"/>
      <c r="Y247" s="19"/>
      <c r="Z247" s="19"/>
    </row>
    <row r="248" ht="15.0" customHeight="1">
      <c r="A248" s="19"/>
      <c r="B248" s="19"/>
      <c r="C248" s="19"/>
      <c r="D248" s="19"/>
      <c r="E248" s="19"/>
      <c r="F248" s="19"/>
      <c r="G248" s="53"/>
      <c r="H248" s="19"/>
      <c r="I248" s="19"/>
      <c r="J248" s="19"/>
      <c r="K248" s="19"/>
      <c r="L248" s="19"/>
      <c r="M248" s="19"/>
      <c r="N248" s="19"/>
      <c r="O248" s="19"/>
      <c r="P248" s="19"/>
      <c r="Q248" s="19"/>
      <c r="R248" s="19"/>
      <c r="S248" s="19"/>
      <c r="T248" s="19"/>
      <c r="U248" s="19"/>
      <c r="V248" s="19"/>
      <c r="W248" s="19"/>
      <c r="X248" s="19"/>
      <c r="Y248" s="19"/>
      <c r="Z248" s="19"/>
    </row>
    <row r="249" ht="15.0" customHeight="1">
      <c r="A249" s="19"/>
      <c r="B249" s="19"/>
      <c r="C249" s="19"/>
      <c r="D249" s="19"/>
      <c r="E249" s="19"/>
      <c r="F249" s="19"/>
      <c r="G249" s="53"/>
      <c r="H249" s="19"/>
      <c r="I249" s="19"/>
      <c r="J249" s="19"/>
      <c r="K249" s="19"/>
      <c r="L249" s="19"/>
      <c r="M249" s="19"/>
      <c r="N249" s="19"/>
      <c r="O249" s="19"/>
      <c r="P249" s="19"/>
      <c r="Q249" s="19"/>
      <c r="R249" s="19"/>
      <c r="S249" s="19"/>
      <c r="T249" s="19"/>
      <c r="U249" s="19"/>
      <c r="V249" s="19"/>
      <c r="W249" s="19"/>
      <c r="X249" s="19"/>
      <c r="Y249" s="19"/>
      <c r="Z249" s="19"/>
    </row>
    <row r="250" ht="15.0" customHeight="1">
      <c r="A250" s="19"/>
      <c r="B250" s="19"/>
      <c r="C250" s="19"/>
      <c r="D250" s="19"/>
      <c r="E250" s="19"/>
      <c r="F250" s="19"/>
      <c r="G250" s="53"/>
      <c r="H250" s="19"/>
      <c r="I250" s="19"/>
      <c r="J250" s="19"/>
      <c r="K250" s="19"/>
      <c r="L250" s="19"/>
      <c r="M250" s="19"/>
      <c r="N250" s="19"/>
      <c r="O250" s="19"/>
      <c r="P250" s="19"/>
      <c r="Q250" s="19"/>
      <c r="R250" s="19"/>
      <c r="S250" s="19"/>
      <c r="T250" s="19"/>
      <c r="U250" s="19"/>
      <c r="V250" s="19"/>
      <c r="W250" s="19"/>
      <c r="X250" s="19"/>
      <c r="Y250" s="19"/>
      <c r="Z250" s="19"/>
    </row>
    <row r="251" ht="15.0" customHeight="1">
      <c r="A251" s="19"/>
      <c r="B251" s="19"/>
      <c r="C251" s="19"/>
      <c r="D251" s="19"/>
      <c r="E251" s="19"/>
      <c r="F251" s="19"/>
      <c r="G251" s="53"/>
      <c r="H251" s="19"/>
      <c r="I251" s="19"/>
      <c r="J251" s="19"/>
      <c r="K251" s="19"/>
      <c r="L251" s="19"/>
      <c r="M251" s="19"/>
      <c r="N251" s="19"/>
      <c r="O251" s="19"/>
      <c r="P251" s="19"/>
      <c r="Q251" s="19"/>
      <c r="R251" s="19"/>
      <c r="S251" s="19"/>
      <c r="T251" s="19"/>
      <c r="U251" s="19"/>
      <c r="V251" s="19"/>
      <c r="W251" s="19"/>
      <c r="X251" s="19"/>
      <c r="Y251" s="19"/>
      <c r="Z251" s="19"/>
    </row>
    <row r="252" ht="15.0" customHeight="1">
      <c r="A252" s="19"/>
      <c r="B252" s="19"/>
      <c r="C252" s="19"/>
      <c r="D252" s="19"/>
      <c r="E252" s="19"/>
      <c r="F252" s="19"/>
      <c r="G252" s="53"/>
      <c r="H252" s="19"/>
      <c r="I252" s="19"/>
      <c r="J252" s="19"/>
      <c r="K252" s="19"/>
      <c r="L252" s="19"/>
      <c r="M252" s="19"/>
      <c r="N252" s="19"/>
      <c r="O252" s="19"/>
      <c r="P252" s="19"/>
      <c r="Q252" s="19"/>
      <c r="R252" s="19"/>
      <c r="S252" s="19"/>
      <c r="T252" s="19"/>
      <c r="U252" s="19"/>
      <c r="V252" s="19"/>
      <c r="W252" s="19"/>
      <c r="X252" s="19"/>
      <c r="Y252" s="19"/>
      <c r="Z252" s="19"/>
    </row>
    <row r="253" ht="15.0" customHeight="1">
      <c r="A253" s="19"/>
      <c r="B253" s="19"/>
      <c r="C253" s="19"/>
      <c r="D253" s="19"/>
      <c r="E253" s="19"/>
      <c r="F253" s="19"/>
      <c r="G253" s="53"/>
      <c r="H253" s="19"/>
      <c r="I253" s="19"/>
      <c r="J253" s="19"/>
      <c r="K253" s="19"/>
      <c r="L253" s="19"/>
      <c r="M253" s="19"/>
      <c r="N253" s="19"/>
      <c r="O253" s="19"/>
      <c r="P253" s="19"/>
      <c r="Q253" s="19"/>
      <c r="R253" s="19"/>
      <c r="S253" s="19"/>
      <c r="T253" s="19"/>
      <c r="U253" s="19"/>
      <c r="V253" s="19"/>
      <c r="W253" s="19"/>
      <c r="X253" s="19"/>
      <c r="Y253" s="19"/>
      <c r="Z253" s="19"/>
    </row>
    <row r="254" ht="15.0" customHeight="1">
      <c r="A254" s="19"/>
      <c r="B254" s="19"/>
      <c r="C254" s="19"/>
      <c r="D254" s="19"/>
      <c r="E254" s="19"/>
      <c r="F254" s="19"/>
      <c r="G254" s="53"/>
      <c r="H254" s="19"/>
      <c r="I254" s="19"/>
      <c r="J254" s="19"/>
      <c r="K254" s="19"/>
      <c r="L254" s="19"/>
      <c r="M254" s="19"/>
      <c r="N254" s="19"/>
      <c r="O254" s="19"/>
      <c r="P254" s="19"/>
      <c r="Q254" s="19"/>
      <c r="R254" s="19"/>
      <c r="S254" s="19"/>
      <c r="T254" s="19"/>
      <c r="U254" s="19"/>
      <c r="V254" s="19"/>
      <c r="W254" s="19"/>
      <c r="X254" s="19"/>
      <c r="Y254" s="19"/>
      <c r="Z254" s="19"/>
    </row>
    <row r="255" ht="15.0" customHeight="1">
      <c r="A255" s="19"/>
      <c r="B255" s="19"/>
      <c r="C255" s="19"/>
      <c r="D255" s="19"/>
      <c r="E255" s="19"/>
      <c r="F255" s="19"/>
      <c r="G255" s="53"/>
      <c r="H255" s="19"/>
      <c r="I255" s="19"/>
      <c r="J255" s="19"/>
      <c r="K255" s="19"/>
      <c r="L255" s="19"/>
      <c r="M255" s="19"/>
      <c r="N255" s="19"/>
      <c r="O255" s="19"/>
      <c r="P255" s="19"/>
      <c r="Q255" s="19"/>
      <c r="R255" s="19"/>
      <c r="S255" s="19"/>
      <c r="T255" s="19"/>
      <c r="U255" s="19"/>
      <c r="V255" s="19"/>
      <c r="W255" s="19"/>
      <c r="X255" s="19"/>
      <c r="Y255" s="19"/>
      <c r="Z255" s="19"/>
    </row>
    <row r="256" ht="15.0" customHeight="1">
      <c r="A256" s="19"/>
      <c r="B256" s="19"/>
      <c r="C256" s="19"/>
      <c r="D256" s="19"/>
      <c r="E256" s="19"/>
      <c r="F256" s="19"/>
      <c r="G256" s="53"/>
      <c r="H256" s="19"/>
      <c r="I256" s="19"/>
      <c r="J256" s="19"/>
      <c r="K256" s="19"/>
      <c r="L256" s="19"/>
      <c r="M256" s="19"/>
      <c r="N256" s="19"/>
      <c r="O256" s="19"/>
      <c r="P256" s="19"/>
      <c r="Q256" s="19"/>
      <c r="R256" s="19"/>
      <c r="S256" s="19"/>
      <c r="T256" s="19"/>
      <c r="U256" s="19"/>
      <c r="V256" s="19"/>
      <c r="W256" s="19"/>
      <c r="X256" s="19"/>
      <c r="Y256" s="19"/>
      <c r="Z256" s="19"/>
    </row>
    <row r="257" ht="15.0" customHeight="1">
      <c r="A257" s="19"/>
      <c r="B257" s="19"/>
      <c r="C257" s="19"/>
      <c r="D257" s="19"/>
      <c r="E257" s="19"/>
      <c r="F257" s="19"/>
      <c r="G257" s="53"/>
      <c r="H257" s="19"/>
      <c r="I257" s="19"/>
      <c r="J257" s="19"/>
      <c r="K257" s="19"/>
      <c r="L257" s="19"/>
      <c r="M257" s="19"/>
      <c r="N257" s="19"/>
      <c r="O257" s="19"/>
      <c r="P257" s="19"/>
      <c r="Q257" s="19"/>
      <c r="R257" s="19"/>
      <c r="S257" s="19"/>
      <c r="T257" s="19"/>
      <c r="U257" s="19"/>
      <c r="V257" s="19"/>
      <c r="W257" s="19"/>
      <c r="X257" s="19"/>
      <c r="Y257" s="19"/>
      <c r="Z257" s="19"/>
    </row>
    <row r="258" ht="15.0" customHeight="1">
      <c r="A258" s="19"/>
      <c r="B258" s="19"/>
      <c r="C258" s="19"/>
      <c r="D258" s="19"/>
      <c r="E258" s="19"/>
      <c r="F258" s="19"/>
      <c r="G258" s="53"/>
      <c r="H258" s="19"/>
      <c r="I258" s="19"/>
      <c r="J258" s="19"/>
      <c r="K258" s="19"/>
      <c r="L258" s="19"/>
      <c r="M258" s="19"/>
      <c r="N258" s="19"/>
      <c r="O258" s="19"/>
      <c r="P258" s="19"/>
      <c r="Q258" s="19"/>
      <c r="R258" s="19"/>
      <c r="S258" s="19"/>
      <c r="T258" s="19"/>
      <c r="U258" s="19"/>
      <c r="V258" s="19"/>
      <c r="W258" s="19"/>
      <c r="X258" s="19"/>
      <c r="Y258" s="19"/>
      <c r="Z258" s="19"/>
    </row>
    <row r="259" ht="15.0" customHeight="1">
      <c r="A259" s="19"/>
      <c r="B259" s="19"/>
      <c r="C259" s="19"/>
      <c r="D259" s="19"/>
      <c r="E259" s="19"/>
      <c r="F259" s="19"/>
      <c r="G259" s="53"/>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19"/>
      <c r="C260" s="19"/>
      <c r="D260" s="19"/>
      <c r="E260" s="19"/>
      <c r="F260" s="19"/>
      <c r="G260" s="53"/>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19"/>
      <c r="C261" s="19"/>
      <c r="D261" s="19"/>
      <c r="E261" s="19"/>
      <c r="F261" s="19"/>
      <c r="G261" s="53"/>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19"/>
      <c r="C262" s="19"/>
      <c r="D262" s="19"/>
      <c r="E262" s="19"/>
      <c r="F262" s="19"/>
      <c r="G262" s="53"/>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19"/>
      <c r="C263" s="19"/>
      <c r="D263" s="19"/>
      <c r="E263" s="19"/>
      <c r="F263" s="19"/>
      <c r="G263" s="53"/>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19"/>
      <c r="C264" s="19"/>
      <c r="D264" s="19"/>
      <c r="E264" s="19"/>
      <c r="F264" s="19"/>
      <c r="G264" s="53"/>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19"/>
      <c r="C265" s="19"/>
      <c r="D265" s="19"/>
      <c r="E265" s="19"/>
      <c r="F265" s="19"/>
      <c r="G265" s="53"/>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19"/>
      <c r="C266" s="19"/>
      <c r="D266" s="19"/>
      <c r="E266" s="19"/>
      <c r="F266" s="19"/>
      <c r="G266" s="53"/>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19"/>
      <c r="C267" s="19"/>
      <c r="D267" s="19"/>
      <c r="E267" s="19"/>
      <c r="F267" s="19"/>
      <c r="G267" s="53"/>
      <c r="H267" s="19"/>
      <c r="I267" s="19"/>
      <c r="J267" s="19"/>
      <c r="K267" s="19"/>
      <c r="L267" s="19"/>
      <c r="M267" s="19"/>
      <c r="N267" s="19"/>
      <c r="O267" s="19"/>
      <c r="P267" s="19"/>
      <c r="Q267" s="19"/>
      <c r="R267" s="19"/>
      <c r="S267" s="19"/>
      <c r="T267" s="19"/>
      <c r="U267" s="19"/>
      <c r="V267" s="19"/>
      <c r="W267" s="19"/>
      <c r="X267" s="19"/>
      <c r="Y267" s="19"/>
      <c r="Z267" s="19"/>
    </row>
    <row r="268" ht="15.75" customHeight="1">
      <c r="A268" s="19"/>
      <c r="B268" s="19"/>
      <c r="C268" s="19"/>
      <c r="D268" s="19"/>
      <c r="E268" s="19"/>
      <c r="F268" s="19"/>
      <c r="G268" s="53"/>
      <c r="H268" s="19"/>
      <c r="I268" s="19"/>
      <c r="J268" s="19"/>
      <c r="K268" s="19"/>
      <c r="L268" s="19"/>
      <c r="M268" s="19"/>
      <c r="N268" s="19"/>
      <c r="O268" s="19"/>
      <c r="P268" s="19"/>
      <c r="Q268" s="19"/>
      <c r="R268" s="19"/>
      <c r="S268" s="19"/>
      <c r="T268" s="19"/>
      <c r="U268" s="19"/>
      <c r="V268" s="19"/>
      <c r="W268" s="19"/>
      <c r="X268" s="19"/>
      <c r="Y268" s="19"/>
      <c r="Z268" s="19"/>
    </row>
    <row r="269" ht="15.75" customHeight="1">
      <c r="A269" s="19"/>
      <c r="B269" s="19"/>
      <c r="C269" s="19"/>
      <c r="D269" s="19"/>
      <c r="E269" s="19"/>
      <c r="F269" s="19"/>
      <c r="G269" s="53"/>
      <c r="H269" s="19"/>
      <c r="I269" s="19"/>
      <c r="J269" s="19"/>
      <c r="K269" s="19"/>
      <c r="L269" s="19"/>
      <c r="M269" s="19"/>
      <c r="N269" s="19"/>
      <c r="O269" s="19"/>
      <c r="P269" s="19"/>
      <c r="Q269" s="19"/>
      <c r="R269" s="19"/>
      <c r="S269" s="19"/>
      <c r="T269" s="19"/>
      <c r="U269" s="19"/>
      <c r="V269" s="19"/>
      <c r="W269" s="19"/>
      <c r="X269" s="19"/>
      <c r="Y269" s="19"/>
      <c r="Z269" s="19"/>
    </row>
    <row r="270" ht="15.75" customHeight="1">
      <c r="A270" s="19"/>
      <c r="B270" s="19"/>
      <c r="C270" s="19"/>
      <c r="D270" s="19"/>
      <c r="E270" s="19"/>
      <c r="F270" s="19"/>
      <c r="G270" s="53"/>
      <c r="H270" s="19"/>
      <c r="I270" s="19"/>
      <c r="J270" s="19"/>
      <c r="K270" s="19"/>
      <c r="L270" s="19"/>
      <c r="M270" s="19"/>
      <c r="N270" s="19"/>
      <c r="O270" s="19"/>
      <c r="P270" s="19"/>
      <c r="Q270" s="19"/>
      <c r="R270" s="19"/>
      <c r="S270" s="19"/>
      <c r="T270" s="19"/>
      <c r="U270" s="19"/>
      <c r="V270" s="19"/>
      <c r="W270" s="19"/>
      <c r="X270" s="19"/>
      <c r="Y270" s="19"/>
      <c r="Z270" s="19"/>
    </row>
    <row r="271" ht="15.75" customHeight="1">
      <c r="A271" s="19"/>
      <c r="B271" s="19"/>
      <c r="C271" s="19"/>
      <c r="D271" s="19"/>
      <c r="E271" s="19"/>
      <c r="F271" s="19"/>
      <c r="G271" s="53"/>
      <c r="H271" s="19"/>
      <c r="I271" s="19"/>
      <c r="J271" s="19"/>
      <c r="K271" s="19"/>
      <c r="L271" s="19"/>
      <c r="M271" s="19"/>
      <c r="N271" s="19"/>
      <c r="O271" s="19"/>
      <c r="P271" s="19"/>
      <c r="Q271" s="19"/>
      <c r="R271" s="19"/>
      <c r="S271" s="19"/>
      <c r="T271" s="19"/>
      <c r="U271" s="19"/>
      <c r="V271" s="19"/>
      <c r="W271" s="19"/>
      <c r="X271" s="19"/>
      <c r="Y271" s="19"/>
      <c r="Z271" s="19"/>
    </row>
    <row r="272" ht="15.75" customHeight="1">
      <c r="A272" s="19"/>
      <c r="B272" s="19"/>
      <c r="C272" s="19"/>
      <c r="D272" s="19"/>
      <c r="E272" s="19"/>
      <c r="F272" s="19"/>
      <c r="G272" s="53"/>
      <c r="H272" s="19"/>
      <c r="I272" s="19"/>
      <c r="J272" s="19"/>
      <c r="K272" s="19"/>
      <c r="L272" s="19"/>
      <c r="M272" s="19"/>
      <c r="N272" s="19"/>
      <c r="O272" s="19"/>
      <c r="P272" s="19"/>
      <c r="Q272" s="19"/>
      <c r="R272" s="19"/>
      <c r="S272" s="19"/>
      <c r="T272" s="19"/>
      <c r="U272" s="19"/>
      <c r="V272" s="19"/>
      <c r="W272" s="19"/>
      <c r="X272" s="19"/>
      <c r="Y272" s="19"/>
      <c r="Z272" s="19"/>
    </row>
    <row r="273" ht="15.75" customHeight="1">
      <c r="A273" s="19"/>
      <c r="B273" s="19"/>
      <c r="C273" s="19"/>
      <c r="D273" s="19"/>
      <c r="E273" s="19"/>
      <c r="F273" s="19"/>
      <c r="G273" s="53"/>
      <c r="H273" s="19"/>
      <c r="I273" s="19"/>
      <c r="J273" s="19"/>
      <c r="K273" s="19"/>
      <c r="L273" s="19"/>
      <c r="M273" s="19"/>
      <c r="N273" s="19"/>
      <c r="O273" s="19"/>
      <c r="P273" s="19"/>
      <c r="Q273" s="19"/>
      <c r="R273" s="19"/>
      <c r="S273" s="19"/>
      <c r="T273" s="19"/>
      <c r="U273" s="19"/>
      <c r="V273" s="19"/>
      <c r="W273" s="19"/>
      <c r="X273" s="19"/>
      <c r="Y273" s="19"/>
      <c r="Z273" s="19"/>
    </row>
    <row r="274" ht="15.75" customHeight="1">
      <c r="A274" s="19"/>
      <c r="B274" s="19"/>
      <c r="C274" s="19"/>
      <c r="D274" s="19"/>
      <c r="E274" s="19"/>
      <c r="F274" s="19"/>
      <c r="G274" s="53"/>
      <c r="H274" s="19"/>
      <c r="I274" s="19"/>
      <c r="J274" s="19"/>
      <c r="K274" s="19"/>
      <c r="L274" s="19"/>
      <c r="M274" s="19"/>
      <c r="N274" s="19"/>
      <c r="O274" s="19"/>
      <c r="P274" s="19"/>
      <c r="Q274" s="19"/>
      <c r="R274" s="19"/>
      <c r="S274" s="19"/>
      <c r="T274" s="19"/>
      <c r="U274" s="19"/>
      <c r="V274" s="19"/>
      <c r="W274" s="19"/>
      <c r="X274" s="19"/>
      <c r="Y274" s="19"/>
      <c r="Z274" s="19"/>
    </row>
    <row r="275" ht="15.75" customHeight="1">
      <c r="A275" s="19"/>
      <c r="B275" s="19"/>
      <c r="C275" s="19"/>
      <c r="D275" s="19"/>
      <c r="E275" s="19"/>
      <c r="F275" s="19"/>
      <c r="G275" s="53"/>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19"/>
      <c r="C276" s="19"/>
      <c r="D276" s="19"/>
      <c r="E276" s="19"/>
      <c r="F276" s="19"/>
      <c r="G276" s="53"/>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19"/>
      <c r="C277" s="19"/>
      <c r="D277" s="19"/>
      <c r="E277" s="19"/>
      <c r="F277" s="19"/>
      <c r="G277" s="53"/>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19"/>
      <c r="C278" s="19"/>
      <c r="D278" s="19"/>
      <c r="E278" s="19"/>
      <c r="F278" s="19"/>
      <c r="G278" s="53"/>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19"/>
      <c r="C279" s="19"/>
      <c r="D279" s="19"/>
      <c r="E279" s="19"/>
      <c r="F279" s="19"/>
      <c r="G279" s="53"/>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19"/>
      <c r="C280" s="19"/>
      <c r="D280" s="19"/>
      <c r="E280" s="19"/>
      <c r="F280" s="19"/>
      <c r="G280" s="53"/>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19"/>
      <c r="C281" s="19"/>
      <c r="D281" s="19"/>
      <c r="E281" s="19"/>
      <c r="F281" s="19"/>
      <c r="G281" s="53"/>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19"/>
      <c r="C282" s="19"/>
      <c r="D282" s="19"/>
      <c r="E282" s="19"/>
      <c r="F282" s="19"/>
      <c r="G282" s="53"/>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19"/>
      <c r="C283" s="19"/>
      <c r="D283" s="19"/>
      <c r="E283" s="19"/>
      <c r="F283" s="19"/>
      <c r="G283" s="53"/>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19"/>
      <c r="C284" s="19"/>
      <c r="D284" s="19"/>
      <c r="E284" s="19"/>
      <c r="F284" s="19"/>
      <c r="G284" s="53"/>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19"/>
      <c r="C285" s="19"/>
      <c r="D285" s="19"/>
      <c r="E285" s="19"/>
      <c r="F285" s="19"/>
      <c r="G285" s="53"/>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19"/>
      <c r="C286" s="19"/>
      <c r="D286" s="19"/>
      <c r="E286" s="19"/>
      <c r="F286" s="19"/>
      <c r="G286" s="53"/>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19"/>
      <c r="C287" s="19"/>
      <c r="D287" s="19"/>
      <c r="E287" s="19"/>
      <c r="F287" s="19"/>
      <c r="G287" s="53"/>
      <c r="H287" s="19"/>
      <c r="I287" s="19"/>
      <c r="J287" s="19"/>
      <c r="K287" s="19"/>
      <c r="L287" s="19"/>
      <c r="M287" s="19"/>
      <c r="N287" s="19"/>
      <c r="O287" s="19"/>
      <c r="P287" s="19"/>
      <c r="Q287" s="19"/>
      <c r="R287" s="19"/>
      <c r="S287" s="19"/>
      <c r="T287" s="19"/>
      <c r="U287" s="19"/>
      <c r="V287" s="19"/>
      <c r="W287" s="19"/>
      <c r="X287" s="19"/>
      <c r="Y287" s="19"/>
      <c r="Z287" s="19"/>
    </row>
    <row r="288" ht="15.75" customHeight="1">
      <c r="A288" s="19"/>
      <c r="B288" s="19"/>
      <c r="C288" s="19"/>
      <c r="D288" s="19"/>
      <c r="E288" s="19"/>
      <c r="F288" s="19"/>
      <c r="G288" s="53"/>
      <c r="H288" s="19"/>
      <c r="I288" s="19"/>
      <c r="J288" s="19"/>
      <c r="K288" s="19"/>
      <c r="L288" s="19"/>
      <c r="M288" s="19"/>
      <c r="N288" s="19"/>
      <c r="O288" s="19"/>
      <c r="P288" s="19"/>
      <c r="Q288" s="19"/>
      <c r="R288" s="19"/>
      <c r="S288" s="19"/>
      <c r="T288" s="19"/>
      <c r="U288" s="19"/>
      <c r="V288" s="19"/>
      <c r="W288" s="19"/>
      <c r="X288" s="19"/>
      <c r="Y288" s="19"/>
      <c r="Z288" s="19"/>
    </row>
    <row r="289" ht="15.75" customHeight="1">
      <c r="A289" s="19"/>
      <c r="B289" s="19"/>
      <c r="C289" s="19"/>
      <c r="D289" s="19"/>
      <c r="E289" s="19"/>
      <c r="F289" s="19"/>
      <c r="G289" s="53"/>
      <c r="H289" s="19"/>
      <c r="I289" s="19"/>
      <c r="J289" s="19"/>
      <c r="K289" s="19"/>
      <c r="L289" s="19"/>
      <c r="M289" s="19"/>
      <c r="N289" s="19"/>
      <c r="O289" s="19"/>
      <c r="P289" s="19"/>
      <c r="Q289" s="19"/>
      <c r="R289" s="19"/>
      <c r="S289" s="19"/>
      <c r="T289" s="19"/>
      <c r="U289" s="19"/>
      <c r="V289" s="19"/>
      <c r="W289" s="19"/>
      <c r="X289" s="19"/>
      <c r="Y289" s="19"/>
      <c r="Z289" s="19"/>
    </row>
    <row r="290" ht="15.75" customHeight="1">
      <c r="A290" s="19"/>
      <c r="B290" s="19"/>
      <c r="C290" s="19"/>
      <c r="D290" s="19"/>
      <c r="E290" s="19"/>
      <c r="F290" s="19"/>
      <c r="G290" s="53"/>
      <c r="H290" s="19"/>
      <c r="I290" s="19"/>
      <c r="J290" s="19"/>
      <c r="K290" s="19"/>
      <c r="L290" s="19"/>
      <c r="M290" s="19"/>
      <c r="N290" s="19"/>
      <c r="O290" s="19"/>
      <c r="P290" s="19"/>
      <c r="Q290" s="19"/>
      <c r="R290" s="19"/>
      <c r="S290" s="19"/>
      <c r="T290" s="19"/>
      <c r="U290" s="19"/>
      <c r="V290" s="19"/>
      <c r="W290" s="19"/>
      <c r="X290" s="19"/>
      <c r="Y290" s="19"/>
      <c r="Z290" s="19"/>
    </row>
    <row r="291" ht="15.75" customHeight="1">
      <c r="A291" s="19"/>
      <c r="B291" s="19"/>
      <c r="C291" s="19"/>
      <c r="D291" s="19"/>
      <c r="E291" s="19"/>
      <c r="F291" s="19"/>
      <c r="G291" s="53"/>
      <c r="H291" s="19"/>
      <c r="I291" s="19"/>
      <c r="J291" s="19"/>
      <c r="K291" s="19"/>
      <c r="L291" s="19"/>
      <c r="M291" s="19"/>
      <c r="N291" s="19"/>
      <c r="O291" s="19"/>
      <c r="P291" s="19"/>
      <c r="Q291" s="19"/>
      <c r="R291" s="19"/>
      <c r="S291" s="19"/>
      <c r="T291" s="19"/>
      <c r="U291" s="19"/>
      <c r="V291" s="19"/>
      <c r="W291" s="19"/>
      <c r="X291" s="19"/>
      <c r="Y291" s="19"/>
      <c r="Z291" s="19"/>
    </row>
    <row r="292" ht="15.75" customHeight="1">
      <c r="A292" s="19"/>
      <c r="B292" s="19"/>
      <c r="C292" s="19"/>
      <c r="D292" s="19"/>
      <c r="E292" s="19"/>
      <c r="F292" s="19"/>
      <c r="G292" s="53"/>
      <c r="H292" s="19"/>
      <c r="I292" s="19"/>
      <c r="J292" s="19"/>
      <c r="K292" s="19"/>
      <c r="L292" s="19"/>
      <c r="M292" s="19"/>
      <c r="N292" s="19"/>
      <c r="O292" s="19"/>
      <c r="P292" s="19"/>
      <c r="Q292" s="19"/>
      <c r="R292" s="19"/>
      <c r="S292" s="19"/>
      <c r="T292" s="19"/>
      <c r="U292" s="19"/>
      <c r="V292" s="19"/>
      <c r="W292" s="19"/>
      <c r="X292" s="19"/>
      <c r="Y292" s="19"/>
      <c r="Z292" s="19"/>
    </row>
    <row r="293" ht="15.75" customHeight="1">
      <c r="A293" s="19"/>
      <c r="B293" s="19"/>
      <c r="C293" s="19"/>
      <c r="D293" s="19"/>
      <c r="E293" s="19"/>
      <c r="F293" s="19"/>
      <c r="G293" s="53"/>
      <c r="H293" s="19"/>
      <c r="I293" s="19"/>
      <c r="J293" s="19"/>
      <c r="K293" s="19"/>
      <c r="L293" s="19"/>
      <c r="M293" s="19"/>
      <c r="N293" s="19"/>
      <c r="O293" s="19"/>
      <c r="P293" s="19"/>
      <c r="Q293" s="19"/>
      <c r="R293" s="19"/>
      <c r="S293" s="19"/>
      <c r="T293" s="19"/>
      <c r="U293" s="19"/>
      <c r="V293" s="19"/>
      <c r="W293" s="19"/>
      <c r="X293" s="19"/>
      <c r="Y293" s="19"/>
      <c r="Z293" s="19"/>
    </row>
    <row r="294" ht="15.75" customHeight="1">
      <c r="A294" s="19"/>
      <c r="B294" s="19"/>
      <c r="C294" s="19"/>
      <c r="D294" s="19"/>
      <c r="E294" s="19"/>
      <c r="F294" s="19"/>
      <c r="G294" s="53"/>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19"/>
      <c r="C295" s="19"/>
      <c r="D295" s="19"/>
      <c r="E295" s="19"/>
      <c r="F295" s="19"/>
      <c r="G295" s="53"/>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19"/>
      <c r="C296" s="19"/>
      <c r="D296" s="19"/>
      <c r="E296" s="19"/>
      <c r="F296" s="19"/>
      <c r="G296" s="53"/>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19"/>
      <c r="C297" s="19"/>
      <c r="D297" s="19"/>
      <c r="E297" s="19"/>
      <c r="F297" s="19"/>
      <c r="G297" s="53"/>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9"/>
      <c r="C298" s="19"/>
      <c r="D298" s="19"/>
      <c r="E298" s="19"/>
      <c r="F298" s="19"/>
      <c r="G298" s="53"/>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9"/>
      <c r="C299" s="19"/>
      <c r="D299" s="19"/>
      <c r="E299" s="19"/>
      <c r="F299" s="19"/>
      <c r="G299" s="53"/>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9"/>
      <c r="C300" s="19"/>
      <c r="D300" s="19"/>
      <c r="E300" s="19"/>
      <c r="F300" s="19"/>
      <c r="G300" s="53"/>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9"/>
      <c r="C301" s="19"/>
      <c r="D301" s="19"/>
      <c r="E301" s="19"/>
      <c r="F301" s="19"/>
      <c r="G301" s="53"/>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9"/>
      <c r="C302" s="19"/>
      <c r="D302" s="19"/>
      <c r="E302" s="19"/>
      <c r="F302" s="19"/>
      <c r="G302" s="53"/>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9"/>
      <c r="C303" s="19"/>
      <c r="D303" s="19"/>
      <c r="E303" s="19"/>
      <c r="F303" s="19"/>
      <c r="G303" s="53"/>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9"/>
      <c r="C304" s="19"/>
      <c r="D304" s="19"/>
      <c r="E304" s="19"/>
      <c r="F304" s="19"/>
      <c r="G304" s="53"/>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9"/>
      <c r="C305" s="19"/>
      <c r="D305" s="19"/>
      <c r="E305" s="19"/>
      <c r="F305" s="19"/>
      <c r="G305" s="53"/>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53"/>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53"/>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53"/>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53"/>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53"/>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53"/>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53"/>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53"/>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53"/>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53"/>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53"/>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53"/>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53"/>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53"/>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53"/>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53"/>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53"/>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53"/>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53"/>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53"/>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53"/>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53"/>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53"/>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53"/>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53"/>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53"/>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53"/>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53"/>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53"/>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53"/>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53"/>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53"/>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53"/>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53"/>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53"/>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53"/>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53"/>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53"/>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53"/>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53"/>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53"/>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53"/>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53"/>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53"/>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53"/>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53"/>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53"/>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53"/>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53"/>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53"/>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53"/>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53"/>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53"/>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53"/>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53"/>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53"/>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53"/>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53"/>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53"/>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53"/>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53"/>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53"/>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53"/>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53"/>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53"/>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53"/>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53"/>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53"/>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53"/>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53"/>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53"/>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53"/>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53"/>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53"/>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53"/>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53"/>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53"/>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53"/>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53"/>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53"/>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53"/>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53"/>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53"/>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53"/>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53"/>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53"/>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53"/>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53"/>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53"/>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53"/>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53"/>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53"/>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53"/>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53"/>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53"/>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53"/>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53"/>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53"/>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53"/>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53"/>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53"/>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53"/>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53"/>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53"/>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53"/>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53"/>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53"/>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53"/>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53"/>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53"/>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53"/>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53"/>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53"/>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53"/>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53"/>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53"/>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53"/>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53"/>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53"/>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53"/>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53"/>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53"/>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53"/>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53"/>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53"/>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53"/>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53"/>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53"/>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53"/>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53"/>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53"/>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53"/>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53"/>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53"/>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53"/>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53"/>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53"/>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53"/>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53"/>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53"/>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53"/>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53"/>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53"/>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53"/>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53"/>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53"/>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53"/>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53"/>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53"/>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53"/>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53"/>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53"/>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53"/>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53"/>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53"/>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53"/>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53"/>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53"/>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53"/>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53"/>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53"/>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53"/>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53"/>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53"/>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53"/>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53"/>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53"/>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53"/>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53"/>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53"/>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53"/>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53"/>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53"/>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53"/>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53"/>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53"/>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53"/>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53"/>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53"/>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53"/>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53"/>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53"/>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53"/>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53"/>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53"/>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53"/>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53"/>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53"/>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53"/>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53"/>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53"/>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53"/>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53"/>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53"/>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53"/>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53"/>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53"/>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53"/>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53"/>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53"/>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53"/>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53"/>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53"/>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53"/>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53"/>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53"/>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53"/>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53"/>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53"/>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53"/>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53"/>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53"/>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53"/>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53"/>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53"/>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53"/>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53"/>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53"/>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53"/>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53"/>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53"/>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53"/>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53"/>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53"/>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53"/>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53"/>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53"/>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53"/>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53"/>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53"/>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53"/>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53"/>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53"/>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53"/>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53"/>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53"/>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53"/>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53"/>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53"/>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53"/>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53"/>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53"/>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53"/>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53"/>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53"/>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53"/>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53"/>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53"/>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53"/>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53"/>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53"/>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53"/>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53"/>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53"/>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53"/>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53"/>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53"/>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53"/>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53"/>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53"/>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53"/>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53"/>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53"/>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53"/>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53"/>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53"/>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53"/>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53"/>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53"/>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53"/>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53"/>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53"/>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53"/>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53"/>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53"/>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53"/>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53"/>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53"/>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53"/>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53"/>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53"/>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53"/>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53"/>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53"/>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53"/>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53"/>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53"/>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53"/>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53"/>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53"/>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53"/>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53"/>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53"/>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53"/>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53"/>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53"/>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53"/>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53"/>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53"/>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53"/>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53"/>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53"/>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53"/>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53"/>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53"/>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53"/>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53"/>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53"/>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53"/>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53"/>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53"/>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53"/>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53"/>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53"/>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53"/>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53"/>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53"/>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53"/>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53"/>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53"/>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53"/>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53"/>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53"/>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53"/>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53"/>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53"/>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53"/>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53"/>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53"/>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53"/>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53"/>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53"/>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53"/>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53"/>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53"/>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53"/>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53"/>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53"/>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53"/>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53"/>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53"/>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53"/>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53"/>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53"/>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53"/>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53"/>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53"/>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53"/>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53"/>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53"/>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53"/>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53"/>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53"/>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53"/>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53"/>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53"/>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53"/>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53"/>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53"/>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53"/>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53"/>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53"/>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53"/>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53"/>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53"/>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53"/>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53"/>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53"/>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53"/>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53"/>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53"/>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53"/>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53"/>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53"/>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53"/>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53"/>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53"/>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53"/>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53"/>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53"/>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53"/>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53"/>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53"/>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53"/>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53"/>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53"/>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53"/>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53"/>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53"/>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53"/>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53"/>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53"/>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53"/>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53"/>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53"/>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53"/>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53"/>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53"/>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53"/>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53"/>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53"/>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53"/>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53"/>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53"/>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53"/>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53"/>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53"/>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53"/>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53"/>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53"/>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53"/>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53"/>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53"/>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53"/>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53"/>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53"/>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53"/>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53"/>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53"/>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53"/>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53"/>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53"/>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53"/>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53"/>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53"/>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53"/>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53"/>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53"/>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53"/>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53"/>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53"/>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53"/>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53"/>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53"/>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53"/>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53"/>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53"/>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53"/>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53"/>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53"/>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53"/>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53"/>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53"/>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53"/>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53"/>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53"/>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53"/>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53"/>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53"/>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53"/>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53"/>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53"/>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53"/>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53"/>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53"/>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53"/>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53"/>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53"/>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53"/>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53"/>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53"/>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53"/>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53"/>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53"/>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53"/>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53"/>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53"/>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53"/>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53"/>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53"/>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53"/>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53"/>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53"/>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53"/>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53"/>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53"/>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53"/>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53"/>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53"/>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53"/>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53"/>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53"/>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53"/>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53"/>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53"/>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53"/>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53"/>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53"/>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53"/>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53"/>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53"/>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53"/>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53"/>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53"/>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53"/>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53"/>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53"/>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53"/>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53"/>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53"/>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53"/>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53"/>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53"/>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53"/>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53"/>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53"/>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53"/>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53"/>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53"/>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53"/>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53"/>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53"/>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53"/>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53"/>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53"/>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53"/>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53"/>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53"/>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53"/>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53"/>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53"/>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53"/>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53"/>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53"/>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53"/>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53"/>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53"/>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53"/>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53"/>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53"/>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53"/>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53"/>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53"/>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53"/>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53"/>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53"/>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53"/>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53"/>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53"/>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53"/>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53"/>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53"/>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53"/>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53"/>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53"/>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53"/>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53"/>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53"/>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53"/>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53"/>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53"/>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53"/>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53"/>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53"/>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53"/>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53"/>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53"/>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53"/>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53"/>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53"/>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53"/>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53"/>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53"/>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53"/>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53"/>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53"/>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53"/>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53"/>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53"/>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53"/>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53"/>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53"/>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53"/>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53"/>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53"/>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53"/>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53"/>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53"/>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53"/>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53"/>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53"/>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53"/>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53"/>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53"/>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53"/>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53"/>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53"/>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53"/>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53"/>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53"/>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53"/>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53"/>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53"/>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53"/>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53"/>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53"/>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53"/>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53"/>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53"/>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53"/>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53"/>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53"/>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53"/>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53"/>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53"/>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53"/>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53"/>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53"/>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53"/>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53"/>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53"/>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53"/>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53"/>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53"/>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53"/>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53"/>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53"/>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53"/>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53"/>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53"/>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53"/>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53"/>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53"/>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53"/>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53"/>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53"/>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53"/>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53"/>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53"/>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53"/>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53"/>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53"/>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53"/>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53"/>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53"/>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53"/>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53"/>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53"/>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53"/>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53"/>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53"/>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53"/>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53"/>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53"/>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53"/>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53"/>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53"/>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53"/>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53"/>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53"/>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53"/>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53"/>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53"/>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53"/>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53"/>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53"/>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53"/>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53"/>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53"/>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53"/>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53"/>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53"/>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53"/>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53"/>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53"/>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53"/>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53"/>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53"/>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53"/>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53"/>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53"/>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53"/>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53"/>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53"/>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53"/>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53"/>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53"/>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53"/>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53"/>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53"/>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53"/>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53"/>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53"/>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53"/>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53"/>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53"/>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53"/>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53"/>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53"/>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53"/>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53"/>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53"/>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53"/>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53"/>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53"/>
      <c r="H1000" s="19"/>
      <c r="I1000" s="19"/>
      <c r="J1000" s="19"/>
      <c r="K1000" s="19"/>
      <c r="L1000" s="19"/>
      <c r="M1000" s="19"/>
      <c r="N1000" s="19"/>
      <c r="O1000" s="19"/>
      <c r="P1000" s="19"/>
      <c r="Q1000" s="19"/>
      <c r="R1000" s="19"/>
      <c r="S1000" s="19"/>
      <c r="T1000" s="19"/>
      <c r="U1000" s="19"/>
      <c r="V1000" s="19"/>
      <c r="W1000" s="19"/>
      <c r="X1000" s="19"/>
      <c r="Y1000" s="19"/>
      <c r="Z1000" s="19"/>
    </row>
  </sheetData>
  <autoFilter ref="$A$3:$L$143"/>
  <conditionalFormatting sqref="E4:E143">
    <cfRule type="cellIs" dxfId="0" priority="1" operator="equal">
      <formula>"High"</formula>
    </cfRule>
  </conditionalFormatting>
  <conditionalFormatting sqref="E4:E143">
    <cfRule type="cellIs" dxfId="2" priority="2" operator="equal">
      <formula>"Medium"</formula>
    </cfRule>
  </conditionalFormatting>
  <dataValidations>
    <dataValidation type="list" allowBlank="1" sqref="L4:L143">
      <formula1>"Not started,Ongoing,Done,Dropped"</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44.0"/>
    <col customWidth="1" min="3" max="3" width="70.0"/>
    <col customWidth="1" min="4" max="4" width="23.57"/>
    <col customWidth="1" min="5" max="6" width="8.71"/>
  </cols>
  <sheetData>
    <row r="1">
      <c r="A1" s="19"/>
      <c r="B1" s="19"/>
      <c r="C1" s="19"/>
      <c r="D1" s="19"/>
      <c r="E1" s="19"/>
      <c r="F1" s="19"/>
      <c r="G1" s="19"/>
      <c r="H1" s="19"/>
      <c r="I1" s="19"/>
      <c r="J1" s="19"/>
      <c r="K1" s="19"/>
      <c r="L1" s="19"/>
      <c r="M1" s="19"/>
      <c r="N1" s="19"/>
      <c r="O1" s="19"/>
      <c r="P1" s="19"/>
      <c r="Q1" s="19"/>
      <c r="R1" s="19"/>
      <c r="S1" s="19"/>
      <c r="T1" s="19"/>
      <c r="U1" s="19"/>
      <c r="V1" s="19"/>
      <c r="W1" s="19"/>
      <c r="X1" s="19"/>
      <c r="Y1" s="19"/>
      <c r="Z1" s="19"/>
    </row>
    <row r="2" ht="15.75" customHeight="1">
      <c r="A2" s="19"/>
      <c r="B2" s="52" t="s">
        <v>1330</v>
      </c>
      <c r="C2" s="19"/>
      <c r="D2" s="19"/>
      <c r="E2" s="19"/>
      <c r="F2" s="19"/>
      <c r="G2" s="19"/>
      <c r="H2" s="19"/>
      <c r="I2" s="19"/>
      <c r="J2" s="19"/>
      <c r="K2" s="19"/>
      <c r="L2" s="19"/>
      <c r="M2" s="19"/>
      <c r="N2" s="19"/>
      <c r="O2" s="19"/>
      <c r="P2" s="19"/>
      <c r="Q2" s="19"/>
      <c r="R2" s="19"/>
      <c r="S2" s="19"/>
      <c r="T2" s="19"/>
      <c r="U2" s="19"/>
      <c r="V2" s="19"/>
      <c r="W2" s="19"/>
      <c r="X2" s="19"/>
      <c r="Y2" s="19"/>
      <c r="Z2" s="19"/>
    </row>
    <row r="3">
      <c r="A3" s="19"/>
      <c r="B3" s="19"/>
      <c r="C3" s="19"/>
      <c r="D3" s="19"/>
      <c r="E3" s="19"/>
      <c r="F3" s="19"/>
      <c r="G3" s="19"/>
      <c r="H3" s="19"/>
      <c r="I3" s="19"/>
      <c r="J3" s="19"/>
      <c r="K3" s="19"/>
      <c r="L3" s="19"/>
      <c r="M3" s="19"/>
      <c r="N3" s="19"/>
      <c r="O3" s="19"/>
      <c r="P3" s="19"/>
      <c r="Q3" s="19"/>
      <c r="R3" s="19"/>
      <c r="S3" s="19"/>
      <c r="T3" s="19"/>
      <c r="U3" s="19"/>
      <c r="V3" s="19"/>
      <c r="W3" s="19"/>
      <c r="X3" s="19"/>
      <c r="Y3" s="19"/>
      <c r="Z3" s="19"/>
    </row>
    <row r="4" ht="15.0" customHeight="1">
      <c r="A4" s="19"/>
      <c r="B4" s="54" t="s">
        <v>1331</v>
      </c>
      <c r="C4" s="54" t="s">
        <v>1332</v>
      </c>
      <c r="D4" s="54" t="s">
        <v>1333</v>
      </c>
      <c r="E4" s="19"/>
      <c r="F4" s="19"/>
      <c r="G4" s="19"/>
      <c r="H4" s="19"/>
      <c r="I4" s="19"/>
      <c r="J4" s="19"/>
      <c r="K4" s="19"/>
      <c r="L4" s="19"/>
      <c r="M4" s="19"/>
      <c r="N4" s="19"/>
      <c r="O4" s="19"/>
      <c r="P4" s="19"/>
      <c r="Q4" s="19"/>
      <c r="R4" s="19"/>
      <c r="S4" s="19"/>
      <c r="T4" s="19"/>
      <c r="U4" s="19"/>
      <c r="V4" s="19"/>
      <c r="W4" s="19"/>
      <c r="X4" s="19"/>
      <c r="Y4" s="19"/>
      <c r="Z4" s="19"/>
    </row>
    <row r="5" ht="21.0" customHeight="1">
      <c r="A5" s="19"/>
      <c r="B5" s="59" t="s">
        <v>1334</v>
      </c>
      <c r="C5" s="59" t="s">
        <v>1335</v>
      </c>
      <c r="D5" s="59" t="s">
        <v>1336</v>
      </c>
      <c r="E5" s="19"/>
      <c r="F5" s="19"/>
      <c r="G5" s="19"/>
      <c r="H5" s="19"/>
      <c r="I5" s="19"/>
      <c r="J5" s="19"/>
      <c r="K5" s="19"/>
      <c r="L5" s="19"/>
      <c r="M5" s="19"/>
      <c r="N5" s="19"/>
      <c r="O5" s="19"/>
      <c r="P5" s="19"/>
      <c r="Q5" s="19"/>
      <c r="R5" s="19"/>
      <c r="S5" s="19"/>
      <c r="T5" s="19"/>
      <c r="U5" s="19"/>
      <c r="V5" s="19"/>
      <c r="W5" s="19"/>
      <c r="X5" s="19"/>
      <c r="Y5" s="19"/>
      <c r="Z5" s="19"/>
    </row>
    <row r="6" ht="21.0" customHeight="1">
      <c r="A6" s="19"/>
      <c r="B6" s="59" t="s">
        <v>1337</v>
      </c>
      <c r="C6" s="59" t="s">
        <v>1338</v>
      </c>
      <c r="D6" s="59" t="s">
        <v>1339</v>
      </c>
      <c r="E6" s="19"/>
      <c r="F6" s="19"/>
      <c r="G6" s="19"/>
      <c r="H6" s="19"/>
      <c r="I6" s="19"/>
      <c r="J6" s="19"/>
      <c r="K6" s="19"/>
      <c r="L6" s="19"/>
      <c r="M6" s="19"/>
      <c r="N6" s="19"/>
      <c r="O6" s="19"/>
      <c r="P6" s="19"/>
      <c r="Q6" s="19"/>
      <c r="R6" s="19"/>
      <c r="S6" s="19"/>
      <c r="T6" s="19"/>
      <c r="U6" s="19"/>
      <c r="V6" s="19"/>
      <c r="W6" s="19"/>
      <c r="X6" s="19"/>
      <c r="Y6" s="19"/>
      <c r="Z6" s="19"/>
    </row>
    <row r="7" ht="18.75" customHeight="1">
      <c r="A7" s="19"/>
      <c r="B7" s="59" t="s">
        <v>1340</v>
      </c>
      <c r="C7" s="59" t="s">
        <v>1341</v>
      </c>
      <c r="D7" s="59" t="s">
        <v>1342</v>
      </c>
      <c r="E7" s="19"/>
      <c r="F7" s="19"/>
      <c r="G7" s="19"/>
      <c r="H7" s="19"/>
      <c r="I7" s="19"/>
      <c r="J7" s="19"/>
      <c r="K7" s="19"/>
      <c r="L7" s="19"/>
      <c r="M7" s="19"/>
      <c r="N7" s="19"/>
      <c r="O7" s="19"/>
      <c r="P7" s="19"/>
      <c r="Q7" s="19"/>
      <c r="R7" s="19"/>
      <c r="S7" s="19"/>
      <c r="T7" s="19"/>
      <c r="U7" s="19"/>
      <c r="V7" s="19"/>
      <c r="W7" s="19"/>
      <c r="X7" s="19"/>
      <c r="Y7" s="19"/>
      <c r="Z7" s="19"/>
    </row>
    <row r="8" ht="21.0" customHeight="1">
      <c r="A8" s="19"/>
      <c r="B8" s="59" t="s">
        <v>1343</v>
      </c>
      <c r="C8" s="59" t="s">
        <v>1344</v>
      </c>
      <c r="D8" s="59" t="s">
        <v>1336</v>
      </c>
      <c r="E8" s="19"/>
      <c r="F8" s="19"/>
      <c r="G8" s="19"/>
      <c r="H8" s="19"/>
      <c r="I8" s="19"/>
      <c r="J8" s="19"/>
      <c r="K8" s="19"/>
      <c r="L8" s="19"/>
      <c r="M8" s="19"/>
      <c r="N8" s="19"/>
      <c r="O8" s="19"/>
      <c r="P8" s="19"/>
      <c r="Q8" s="19"/>
      <c r="R8" s="19"/>
      <c r="S8" s="19"/>
      <c r="T8" s="19"/>
      <c r="U8" s="19"/>
      <c r="V8" s="19"/>
      <c r="W8" s="19"/>
      <c r="X8" s="19"/>
      <c r="Y8" s="19"/>
      <c r="Z8" s="19"/>
    </row>
    <row r="9" ht="18.0" customHeight="1">
      <c r="A9" s="19"/>
      <c r="B9" s="59" t="s">
        <v>1345</v>
      </c>
      <c r="C9" s="59" t="s">
        <v>1346</v>
      </c>
      <c r="D9" s="59" t="s">
        <v>1336</v>
      </c>
      <c r="E9" s="19"/>
      <c r="F9" s="19"/>
      <c r="G9" s="19"/>
      <c r="H9" s="19"/>
      <c r="I9" s="19"/>
      <c r="J9" s="19"/>
      <c r="K9" s="19"/>
      <c r="L9" s="19"/>
      <c r="M9" s="19"/>
      <c r="N9" s="19"/>
      <c r="O9" s="19"/>
      <c r="P9" s="19"/>
      <c r="Q9" s="19"/>
      <c r="R9" s="19"/>
      <c r="S9" s="19"/>
      <c r="T9" s="19"/>
      <c r="U9" s="19"/>
      <c r="V9" s="19"/>
      <c r="W9" s="19"/>
      <c r="X9" s="19"/>
      <c r="Y9" s="19"/>
      <c r="Z9" s="19"/>
    </row>
    <row r="10" ht="16.5" customHeight="1">
      <c r="A10" s="19"/>
      <c r="B10" s="59" t="s">
        <v>1347</v>
      </c>
      <c r="C10" s="59" t="s">
        <v>1348</v>
      </c>
      <c r="D10" s="59" t="s">
        <v>1349</v>
      </c>
      <c r="E10" s="19"/>
      <c r="F10" s="19"/>
      <c r="G10" s="19"/>
      <c r="H10" s="19"/>
      <c r="I10" s="19"/>
      <c r="J10" s="19"/>
      <c r="K10" s="19"/>
      <c r="L10" s="19"/>
      <c r="M10" s="19"/>
      <c r="N10" s="19"/>
      <c r="O10" s="19"/>
      <c r="P10" s="19"/>
      <c r="Q10" s="19"/>
      <c r="R10" s="19"/>
      <c r="S10" s="19"/>
      <c r="T10" s="19"/>
      <c r="U10" s="19"/>
      <c r="V10" s="19"/>
      <c r="W10" s="19"/>
      <c r="X10" s="19"/>
      <c r="Y10" s="19"/>
      <c r="Z10" s="19"/>
    </row>
    <row r="11" ht="24.0" customHeight="1">
      <c r="A11" s="19"/>
      <c r="B11" s="59" t="s">
        <v>1350</v>
      </c>
      <c r="C11" s="59" t="s">
        <v>1351</v>
      </c>
      <c r="D11" s="59" t="s">
        <v>1336</v>
      </c>
      <c r="E11" s="19"/>
      <c r="F11" s="19"/>
      <c r="G11" s="19"/>
      <c r="H11" s="19"/>
      <c r="I11" s="19"/>
      <c r="J11" s="19"/>
      <c r="K11" s="19"/>
      <c r="L11" s="19"/>
      <c r="M11" s="19"/>
      <c r="N11" s="19"/>
      <c r="O11" s="19"/>
      <c r="P11" s="19"/>
      <c r="Q11" s="19"/>
      <c r="R11" s="19"/>
      <c r="S11" s="19"/>
      <c r="T11" s="19"/>
      <c r="U11" s="19"/>
      <c r="V11" s="19"/>
      <c r="W11" s="19"/>
      <c r="X11" s="19"/>
      <c r="Y11" s="19"/>
      <c r="Z11" s="19"/>
    </row>
    <row r="12" ht="18.75" customHeight="1">
      <c r="A12" s="19"/>
      <c r="B12" s="59" t="s">
        <v>1352</v>
      </c>
      <c r="C12" s="59" t="s">
        <v>1353</v>
      </c>
      <c r="D12" s="59" t="s">
        <v>1336</v>
      </c>
      <c r="E12" s="19"/>
      <c r="F12" s="19"/>
      <c r="G12" s="19"/>
      <c r="H12" s="19"/>
      <c r="I12" s="19"/>
      <c r="J12" s="19"/>
      <c r="K12" s="19"/>
      <c r="L12" s="19"/>
      <c r="M12" s="19"/>
      <c r="N12" s="19"/>
      <c r="O12" s="19"/>
      <c r="P12" s="19"/>
      <c r="Q12" s="19"/>
      <c r="R12" s="19"/>
      <c r="S12" s="19"/>
      <c r="T12" s="19"/>
      <c r="U12" s="19"/>
      <c r="V12" s="19"/>
      <c r="W12" s="19"/>
      <c r="X12" s="19"/>
      <c r="Y12" s="19"/>
      <c r="Z12" s="19"/>
    </row>
    <row r="13" ht="18.75" customHeight="1">
      <c r="A13" s="19"/>
      <c r="B13" s="59" t="s">
        <v>1354</v>
      </c>
      <c r="C13" s="59" t="s">
        <v>1355</v>
      </c>
      <c r="D13" s="59" t="s">
        <v>1336</v>
      </c>
      <c r="E13" s="19"/>
      <c r="F13" s="19"/>
      <c r="G13" s="19"/>
      <c r="H13" s="19"/>
      <c r="I13" s="19"/>
      <c r="J13" s="19"/>
      <c r="K13" s="19"/>
      <c r="L13" s="19"/>
      <c r="M13" s="19"/>
      <c r="N13" s="19"/>
      <c r="O13" s="19"/>
      <c r="P13" s="19"/>
      <c r="Q13" s="19"/>
      <c r="R13" s="19"/>
      <c r="S13" s="19"/>
      <c r="T13" s="19"/>
      <c r="U13" s="19"/>
      <c r="V13" s="19"/>
      <c r="W13" s="19"/>
      <c r="X13" s="19"/>
      <c r="Y13" s="19"/>
      <c r="Z13" s="19"/>
    </row>
    <row r="14" ht="31.5" customHeight="1">
      <c r="A14" s="19"/>
      <c r="B14" s="59" t="s">
        <v>1356</v>
      </c>
      <c r="C14" s="59" t="s">
        <v>1357</v>
      </c>
      <c r="D14" s="59" t="s">
        <v>1336</v>
      </c>
      <c r="E14" s="19"/>
      <c r="F14" s="19"/>
      <c r="G14" s="19"/>
      <c r="H14" s="19"/>
      <c r="I14" s="19"/>
      <c r="J14" s="19"/>
      <c r="K14" s="19"/>
      <c r="L14" s="19"/>
      <c r="M14" s="19"/>
      <c r="N14" s="19"/>
      <c r="O14" s="19"/>
      <c r="P14" s="19"/>
      <c r="Q14" s="19"/>
      <c r="R14" s="19"/>
      <c r="S14" s="19"/>
      <c r="T14" s="19"/>
      <c r="U14" s="19"/>
      <c r="V14" s="19"/>
      <c r="W14" s="19"/>
      <c r="X14" s="19"/>
      <c r="Y14" s="19"/>
      <c r="Z14" s="19"/>
    </row>
    <row r="15" ht="17.25" customHeight="1">
      <c r="A15" s="19"/>
      <c r="B15" s="59" t="s">
        <v>1358</v>
      </c>
      <c r="C15" s="59" t="s">
        <v>1359</v>
      </c>
      <c r="D15" s="59" t="s">
        <v>1336</v>
      </c>
      <c r="E15" s="19"/>
      <c r="F15" s="19"/>
      <c r="G15" s="19"/>
      <c r="H15" s="19"/>
      <c r="I15" s="19"/>
      <c r="J15" s="19"/>
      <c r="K15" s="19"/>
      <c r="L15" s="19"/>
      <c r="M15" s="19"/>
      <c r="N15" s="19"/>
      <c r="O15" s="19"/>
      <c r="P15" s="19"/>
      <c r="Q15" s="19"/>
      <c r="R15" s="19"/>
      <c r="S15" s="19"/>
      <c r="T15" s="19"/>
      <c r="U15" s="19"/>
      <c r="V15" s="19"/>
      <c r="W15" s="19"/>
      <c r="X15" s="19"/>
      <c r="Y15" s="19"/>
      <c r="Z15" s="19"/>
    </row>
    <row r="16" ht="18.0" customHeight="1">
      <c r="A16" s="19"/>
      <c r="B16" s="59" t="s">
        <v>1360</v>
      </c>
      <c r="C16" s="59" t="s">
        <v>1361</v>
      </c>
      <c r="D16" s="59" t="s">
        <v>1336</v>
      </c>
      <c r="E16" s="19"/>
      <c r="F16" s="19"/>
      <c r="G16" s="19"/>
      <c r="H16" s="19"/>
      <c r="I16" s="19"/>
      <c r="J16" s="19"/>
      <c r="K16" s="19"/>
      <c r="L16" s="19"/>
      <c r="M16" s="19"/>
      <c r="N16" s="19"/>
      <c r="O16" s="19"/>
      <c r="P16" s="19"/>
      <c r="Q16" s="19"/>
      <c r="R16" s="19"/>
      <c r="S16" s="19"/>
      <c r="T16" s="19"/>
      <c r="U16" s="19"/>
      <c r="V16" s="19"/>
      <c r="W16" s="19"/>
      <c r="X16" s="19"/>
      <c r="Y16" s="19"/>
      <c r="Z16" s="19"/>
    </row>
    <row r="17" ht="30.0" customHeight="1">
      <c r="A17" s="19"/>
      <c r="B17" s="59" t="s">
        <v>1362</v>
      </c>
      <c r="C17" s="59" t="s">
        <v>1363</v>
      </c>
      <c r="D17" s="59" t="s">
        <v>1364</v>
      </c>
      <c r="E17" s="19"/>
      <c r="F17" s="19"/>
      <c r="G17" s="19"/>
      <c r="H17" s="19"/>
      <c r="I17" s="19"/>
      <c r="J17" s="19"/>
      <c r="K17" s="19"/>
      <c r="L17" s="19"/>
      <c r="M17" s="19"/>
      <c r="N17" s="19"/>
      <c r="O17" s="19"/>
      <c r="P17" s="19"/>
      <c r="Q17" s="19"/>
      <c r="R17" s="19"/>
      <c r="S17" s="19"/>
      <c r="T17" s="19"/>
      <c r="U17" s="19"/>
      <c r="V17" s="19"/>
      <c r="W17" s="19"/>
      <c r="X17" s="19"/>
      <c r="Y17" s="19"/>
      <c r="Z17" s="19"/>
    </row>
    <row r="18" ht="30.0" customHeight="1">
      <c r="A18" s="19"/>
      <c r="B18" s="59" t="s">
        <v>1365</v>
      </c>
      <c r="C18" s="59" t="s">
        <v>1366</v>
      </c>
      <c r="D18" s="59" t="s">
        <v>1364</v>
      </c>
      <c r="E18" s="19"/>
      <c r="F18" s="19"/>
      <c r="G18" s="19"/>
      <c r="H18" s="19"/>
      <c r="I18" s="19"/>
      <c r="J18" s="19"/>
      <c r="K18" s="19"/>
      <c r="L18" s="19"/>
      <c r="M18" s="19"/>
      <c r="N18" s="19"/>
      <c r="O18" s="19"/>
      <c r="P18" s="19"/>
      <c r="Q18" s="19"/>
      <c r="R18" s="19"/>
      <c r="S18" s="19"/>
      <c r="T18" s="19"/>
      <c r="U18" s="19"/>
      <c r="V18" s="19"/>
      <c r="W18" s="19"/>
      <c r="X18" s="19"/>
      <c r="Y18" s="19"/>
      <c r="Z18" s="19"/>
    </row>
    <row r="19" ht="30.0" customHeight="1">
      <c r="A19" s="19"/>
      <c r="B19" s="59" t="s">
        <v>1367</v>
      </c>
      <c r="C19" s="59" t="s">
        <v>1368</v>
      </c>
      <c r="D19" s="59" t="s">
        <v>1336</v>
      </c>
      <c r="E19" s="19"/>
      <c r="F19" s="19"/>
      <c r="G19" s="19"/>
      <c r="H19" s="19"/>
      <c r="I19" s="19"/>
      <c r="J19" s="19"/>
      <c r="K19" s="19"/>
      <c r="L19" s="19"/>
      <c r="M19" s="19"/>
      <c r="N19" s="19"/>
      <c r="O19" s="19"/>
      <c r="P19" s="19"/>
      <c r="Q19" s="19"/>
      <c r="R19" s="19"/>
      <c r="S19" s="19"/>
      <c r="T19" s="19"/>
      <c r="U19" s="19"/>
      <c r="V19" s="19"/>
      <c r="W19" s="19"/>
      <c r="X19" s="19"/>
      <c r="Y19" s="19"/>
      <c r="Z19" s="19"/>
    </row>
    <row r="20" ht="30.0" customHeight="1">
      <c r="A20" s="19"/>
      <c r="B20" s="59" t="s">
        <v>1369</v>
      </c>
      <c r="C20" s="59" t="s">
        <v>1370</v>
      </c>
      <c r="D20" s="59" t="s">
        <v>1336</v>
      </c>
      <c r="E20" s="19"/>
      <c r="F20" s="19"/>
      <c r="G20" s="19"/>
      <c r="H20" s="19"/>
      <c r="I20" s="19"/>
      <c r="J20" s="19"/>
      <c r="K20" s="19"/>
      <c r="L20" s="19"/>
      <c r="M20" s="19"/>
      <c r="N20" s="19"/>
      <c r="O20" s="19"/>
      <c r="P20" s="19"/>
      <c r="Q20" s="19"/>
      <c r="R20" s="19"/>
      <c r="S20" s="19"/>
      <c r="T20" s="19"/>
      <c r="U20" s="19"/>
      <c r="V20" s="19"/>
      <c r="W20" s="19"/>
      <c r="X20" s="19"/>
      <c r="Y20" s="19"/>
      <c r="Z20" s="19"/>
    </row>
    <row r="21" ht="30.0" customHeight="1">
      <c r="A21" s="19"/>
      <c r="B21" s="59" t="s">
        <v>1371</v>
      </c>
      <c r="C21" s="59" t="s">
        <v>1372</v>
      </c>
      <c r="D21" s="59" t="s">
        <v>1373</v>
      </c>
      <c r="E21" s="19"/>
      <c r="F21" s="19"/>
      <c r="G21" s="19"/>
      <c r="H21" s="19"/>
      <c r="I21" s="19"/>
      <c r="J21" s="19"/>
      <c r="K21" s="19"/>
      <c r="L21" s="19"/>
      <c r="M21" s="19"/>
      <c r="N21" s="19"/>
      <c r="O21" s="19"/>
      <c r="P21" s="19"/>
      <c r="Q21" s="19"/>
      <c r="R21" s="19"/>
      <c r="S21" s="19"/>
      <c r="T21" s="19"/>
      <c r="U21" s="19"/>
      <c r="V21" s="19"/>
      <c r="W21" s="19"/>
      <c r="X21" s="19"/>
      <c r="Y21" s="19"/>
      <c r="Z21" s="19"/>
    </row>
    <row r="22" ht="30.0" customHeight="1">
      <c r="A22" s="19"/>
      <c r="B22" s="59" t="s">
        <v>1374</v>
      </c>
      <c r="C22" s="59" t="s">
        <v>1375</v>
      </c>
      <c r="D22" s="59" t="s">
        <v>1336</v>
      </c>
      <c r="E22" s="19"/>
      <c r="F22" s="19"/>
      <c r="G22" s="19"/>
      <c r="H22" s="19"/>
      <c r="I22" s="19"/>
      <c r="J22" s="19"/>
      <c r="K22" s="19"/>
      <c r="L22" s="19"/>
      <c r="M22" s="19"/>
      <c r="N22" s="19"/>
      <c r="O22" s="19"/>
      <c r="P22" s="19"/>
      <c r="Q22" s="19"/>
      <c r="R22" s="19"/>
      <c r="S22" s="19"/>
      <c r="T22" s="19"/>
      <c r="U22" s="19"/>
      <c r="V22" s="19"/>
      <c r="W22" s="19"/>
      <c r="X22" s="19"/>
      <c r="Y22" s="19"/>
      <c r="Z22" s="19"/>
    </row>
    <row r="23" ht="30.0" customHeight="1">
      <c r="A23" s="19"/>
      <c r="B23" s="59" t="s">
        <v>1376</v>
      </c>
      <c r="C23" s="59" t="s">
        <v>1377</v>
      </c>
      <c r="D23" s="59" t="s">
        <v>1336</v>
      </c>
      <c r="E23" s="19"/>
      <c r="F23" s="19"/>
      <c r="G23" s="19"/>
      <c r="H23" s="19"/>
      <c r="I23" s="19"/>
      <c r="J23" s="19"/>
      <c r="K23" s="19"/>
      <c r="L23" s="19"/>
      <c r="M23" s="19"/>
      <c r="N23" s="19"/>
      <c r="O23" s="19"/>
      <c r="P23" s="19"/>
      <c r="Q23" s="19"/>
      <c r="R23" s="19"/>
      <c r="S23" s="19"/>
      <c r="T23" s="19"/>
      <c r="U23" s="19"/>
      <c r="V23" s="19"/>
      <c r="W23" s="19"/>
      <c r="X23" s="19"/>
      <c r="Y23" s="19"/>
      <c r="Z23" s="19"/>
    </row>
    <row r="24" ht="30.0" customHeight="1">
      <c r="A24" s="19"/>
      <c r="B24" s="59" t="s">
        <v>1378</v>
      </c>
      <c r="C24" s="59" t="s">
        <v>1379</v>
      </c>
      <c r="D24" s="59" t="s">
        <v>1380</v>
      </c>
      <c r="E24" s="19"/>
      <c r="F24" s="19"/>
      <c r="G24" s="19"/>
      <c r="H24" s="19"/>
      <c r="I24" s="19"/>
      <c r="J24" s="19"/>
      <c r="K24" s="19"/>
      <c r="L24" s="19"/>
      <c r="M24" s="19"/>
      <c r="N24" s="19"/>
      <c r="O24" s="19"/>
      <c r="P24" s="19"/>
      <c r="Q24" s="19"/>
      <c r="R24" s="19"/>
      <c r="S24" s="19"/>
      <c r="T24" s="19"/>
      <c r="U24" s="19"/>
      <c r="V24" s="19"/>
      <c r="W24" s="19"/>
      <c r="X24" s="19"/>
      <c r="Y24" s="19"/>
      <c r="Z24" s="19"/>
    </row>
    <row r="25" ht="30.0" customHeight="1">
      <c r="A25" s="19"/>
      <c r="B25" s="59" t="s">
        <v>1381</v>
      </c>
      <c r="C25" s="59" t="s">
        <v>1382</v>
      </c>
      <c r="D25" s="59" t="s">
        <v>1383</v>
      </c>
      <c r="E25" s="19"/>
      <c r="F25" s="19"/>
      <c r="G25" s="19"/>
      <c r="H25" s="19"/>
      <c r="I25" s="19"/>
      <c r="J25" s="19"/>
      <c r="K25" s="19"/>
      <c r="L25" s="19"/>
      <c r="M25" s="19"/>
      <c r="N25" s="19"/>
      <c r="O25" s="19"/>
      <c r="P25" s="19"/>
      <c r="Q25" s="19"/>
      <c r="R25" s="19"/>
      <c r="S25" s="19"/>
      <c r="T25" s="19"/>
      <c r="U25" s="19"/>
      <c r="V25" s="19"/>
      <c r="W25" s="19"/>
      <c r="X25" s="19"/>
      <c r="Y25" s="19"/>
      <c r="Z25" s="19"/>
    </row>
    <row r="26" ht="30.0" customHeight="1">
      <c r="A26" s="19"/>
      <c r="B26" s="59" t="s">
        <v>1384</v>
      </c>
      <c r="C26" s="59" t="s">
        <v>1385</v>
      </c>
      <c r="D26" s="59" t="s">
        <v>1386</v>
      </c>
      <c r="E26" s="19"/>
      <c r="F26" s="19"/>
      <c r="G26" s="19"/>
      <c r="H26" s="19"/>
      <c r="I26" s="19"/>
      <c r="J26" s="19"/>
      <c r="K26" s="19"/>
      <c r="L26" s="19"/>
      <c r="M26" s="19"/>
      <c r="N26" s="19"/>
      <c r="O26" s="19"/>
      <c r="P26" s="19"/>
      <c r="Q26" s="19"/>
      <c r="R26" s="19"/>
      <c r="S26" s="19"/>
      <c r="T26" s="19"/>
      <c r="U26" s="19"/>
      <c r="V26" s="19"/>
      <c r="W26" s="19"/>
      <c r="X26" s="19"/>
      <c r="Y26" s="19"/>
      <c r="Z26" s="19"/>
    </row>
    <row r="27" ht="22.5" customHeight="1">
      <c r="A27" s="19"/>
      <c r="B27" s="59" t="s">
        <v>1387</v>
      </c>
      <c r="C27" s="59" t="s">
        <v>1388</v>
      </c>
      <c r="D27" s="59" t="s">
        <v>1336</v>
      </c>
      <c r="E27" s="19"/>
      <c r="F27" s="19"/>
      <c r="G27" s="19"/>
      <c r="H27" s="19"/>
      <c r="I27" s="19"/>
      <c r="J27" s="19"/>
      <c r="K27" s="19"/>
      <c r="L27" s="19"/>
      <c r="M27" s="19"/>
      <c r="N27" s="19"/>
      <c r="O27" s="19"/>
      <c r="P27" s="19"/>
      <c r="Q27" s="19"/>
      <c r="R27" s="19"/>
      <c r="S27" s="19"/>
      <c r="T27" s="19"/>
      <c r="U27" s="19"/>
      <c r="V27" s="19"/>
      <c r="W27" s="19"/>
      <c r="X27" s="19"/>
      <c r="Y27" s="19"/>
      <c r="Z27" s="19"/>
    </row>
    <row r="28" ht="24.0" customHeight="1">
      <c r="A28" s="19"/>
      <c r="B28" s="59" t="s">
        <v>1389</v>
      </c>
      <c r="C28" s="59" t="s">
        <v>1390</v>
      </c>
      <c r="D28" s="59" t="s">
        <v>1336</v>
      </c>
      <c r="E28" s="19"/>
      <c r="F28" s="19"/>
      <c r="G28" s="19"/>
      <c r="H28" s="19"/>
      <c r="I28" s="19"/>
      <c r="J28" s="19"/>
      <c r="K28" s="19"/>
      <c r="L28" s="19"/>
      <c r="M28" s="19"/>
      <c r="N28" s="19"/>
      <c r="O28" s="19"/>
      <c r="P28" s="19"/>
      <c r="Q28" s="19"/>
      <c r="R28" s="19"/>
      <c r="S28" s="19"/>
      <c r="T28" s="19"/>
      <c r="U28" s="19"/>
      <c r="V28" s="19"/>
      <c r="W28" s="19"/>
      <c r="X28" s="19"/>
      <c r="Y28" s="19"/>
      <c r="Z28" s="19"/>
    </row>
    <row r="29" ht="25.5" customHeight="1">
      <c r="A29" s="19"/>
      <c r="B29" s="59" t="s">
        <v>1391</v>
      </c>
      <c r="C29" s="59" t="s">
        <v>1392</v>
      </c>
      <c r="D29" s="59" t="s">
        <v>1393</v>
      </c>
      <c r="E29" s="19"/>
      <c r="F29" s="19"/>
      <c r="G29" s="19"/>
      <c r="H29" s="19"/>
      <c r="I29" s="19"/>
      <c r="J29" s="19"/>
      <c r="K29" s="19"/>
      <c r="L29" s="19"/>
      <c r="M29" s="19"/>
      <c r="N29" s="19"/>
      <c r="O29" s="19"/>
      <c r="P29" s="19"/>
      <c r="Q29" s="19"/>
      <c r="R29" s="19"/>
      <c r="S29" s="19"/>
      <c r="T29" s="19"/>
      <c r="U29" s="19"/>
      <c r="V29" s="19"/>
      <c r="W29" s="19"/>
      <c r="X29" s="19"/>
      <c r="Y29" s="19"/>
      <c r="Z29" s="19"/>
    </row>
    <row r="30" ht="29.25" customHeight="1">
      <c r="A30" s="19"/>
      <c r="B30" s="59" t="s">
        <v>1394</v>
      </c>
      <c r="C30" s="59" t="s">
        <v>1395</v>
      </c>
      <c r="D30" s="59" t="s">
        <v>1393</v>
      </c>
      <c r="E30" s="19"/>
      <c r="F30" s="19"/>
      <c r="G30" s="19"/>
      <c r="H30" s="19"/>
      <c r="I30" s="19"/>
      <c r="J30" s="19"/>
      <c r="K30" s="19"/>
      <c r="L30" s="19"/>
      <c r="M30" s="19"/>
      <c r="N30" s="19"/>
      <c r="O30" s="19"/>
      <c r="P30" s="19"/>
      <c r="Q30" s="19"/>
      <c r="R30" s="19"/>
      <c r="S30" s="19"/>
      <c r="T30" s="19"/>
      <c r="U30" s="19"/>
      <c r="V30" s="19"/>
      <c r="W30" s="19"/>
      <c r="X30" s="19"/>
      <c r="Y30" s="19"/>
      <c r="Z30" s="19"/>
    </row>
    <row r="31" ht="25.5" customHeight="1">
      <c r="A31" s="19"/>
      <c r="B31" s="59" t="s">
        <v>1396</v>
      </c>
      <c r="C31" s="59" t="s">
        <v>1397</v>
      </c>
      <c r="D31" s="59" t="s">
        <v>1336</v>
      </c>
      <c r="E31" s="19"/>
      <c r="F31" s="19"/>
      <c r="G31" s="19"/>
      <c r="H31" s="19"/>
      <c r="I31" s="19"/>
      <c r="J31" s="19"/>
      <c r="K31" s="19"/>
      <c r="L31" s="19"/>
      <c r="M31" s="19"/>
      <c r="N31" s="19"/>
      <c r="O31" s="19"/>
      <c r="P31" s="19"/>
      <c r="Q31" s="19"/>
      <c r="R31" s="19"/>
      <c r="S31" s="19"/>
      <c r="T31" s="19"/>
      <c r="U31" s="19"/>
      <c r="V31" s="19"/>
      <c r="W31" s="19"/>
      <c r="X31" s="19"/>
      <c r="Y31" s="19"/>
      <c r="Z31" s="19"/>
    </row>
    <row r="32" ht="15.75" customHeight="1">
      <c r="A32" s="19"/>
      <c r="B32" s="59" t="s">
        <v>1398</v>
      </c>
      <c r="C32" s="59" t="s">
        <v>1399</v>
      </c>
      <c r="D32" s="59" t="s">
        <v>1336</v>
      </c>
      <c r="E32" s="19"/>
      <c r="F32" s="19"/>
      <c r="G32" s="19"/>
      <c r="H32" s="19"/>
      <c r="I32" s="19"/>
      <c r="J32" s="19"/>
      <c r="K32" s="19"/>
      <c r="L32" s="19"/>
      <c r="M32" s="19"/>
      <c r="N32" s="19"/>
      <c r="O32" s="19"/>
      <c r="P32" s="19"/>
      <c r="Q32" s="19"/>
      <c r="R32" s="19"/>
      <c r="S32" s="19"/>
      <c r="T32" s="19"/>
      <c r="U32" s="19"/>
      <c r="V32" s="19"/>
      <c r="W32" s="19"/>
      <c r="X32" s="19"/>
      <c r="Y32" s="19"/>
      <c r="Z32" s="19"/>
    </row>
    <row r="33" ht="15.75" customHeight="1">
      <c r="A33" s="19"/>
      <c r="B33" s="59" t="s">
        <v>1400</v>
      </c>
      <c r="C33" s="59" t="s">
        <v>1401</v>
      </c>
      <c r="D33" s="59" t="s">
        <v>1402</v>
      </c>
      <c r="E33" s="19"/>
      <c r="F33" s="19"/>
      <c r="G33" s="19"/>
      <c r="H33" s="19"/>
      <c r="I33" s="19"/>
      <c r="J33" s="19"/>
      <c r="K33" s="19"/>
      <c r="L33" s="19"/>
      <c r="M33" s="19"/>
      <c r="N33" s="19"/>
      <c r="O33" s="19"/>
      <c r="P33" s="19"/>
      <c r="Q33" s="19"/>
      <c r="R33" s="19"/>
      <c r="S33" s="19"/>
      <c r="T33" s="19"/>
      <c r="U33" s="19"/>
      <c r="V33" s="19"/>
      <c r="W33" s="19"/>
      <c r="X33" s="19"/>
      <c r="Y33" s="19"/>
      <c r="Z33" s="19"/>
    </row>
    <row r="34" ht="15.7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ht="15.7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ht="15.7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ht="15.7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5.7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5.7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5.7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5.7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5.7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5.7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5.7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5.7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5.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5.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5.7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5.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5.7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5.7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5.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5.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5.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4.0"/>
    <col customWidth="1" min="2" max="2" width="46.0"/>
    <col customWidth="1" min="3" max="3" width="18.0"/>
    <col customWidth="1" min="4" max="4" width="26.0"/>
    <col customWidth="1" min="5" max="5" width="40.0"/>
    <col customWidth="1" min="6" max="26" width="8.71"/>
  </cols>
  <sheetData>
    <row r="1" ht="15.0" customHeight="1">
      <c r="A1" s="60" t="s">
        <v>1403</v>
      </c>
      <c r="B1" s="19"/>
      <c r="C1" s="19"/>
      <c r="D1" s="19"/>
      <c r="E1" s="19"/>
    </row>
    <row r="2" ht="30.0" customHeight="1">
      <c r="A2" s="61" t="s">
        <v>1404</v>
      </c>
    </row>
    <row r="3">
      <c r="A3" s="19"/>
      <c r="B3" s="19"/>
      <c r="C3" s="19"/>
      <c r="D3" s="19"/>
      <c r="E3" s="19"/>
    </row>
    <row r="4" ht="15.0" customHeight="1">
      <c r="A4" s="62" t="s">
        <v>1405</v>
      </c>
      <c r="B4" s="19"/>
      <c r="C4" s="19"/>
      <c r="D4" s="19"/>
      <c r="E4" s="19"/>
    </row>
    <row r="5" ht="15.0" customHeight="1">
      <c r="A5" s="63" t="s">
        <v>1406</v>
      </c>
      <c r="B5" s="63" t="s">
        <v>1407</v>
      </c>
      <c r="C5" s="63" t="s">
        <v>1408</v>
      </c>
      <c r="D5" s="63" t="s">
        <v>1409</v>
      </c>
      <c r="E5" s="63" t="s">
        <v>1410</v>
      </c>
    </row>
    <row r="6" ht="15.0" customHeight="1">
      <c r="A6" s="64" t="s">
        <v>1411</v>
      </c>
      <c r="B6" s="64" t="s">
        <v>1412</v>
      </c>
      <c r="C6" s="65" t="s">
        <v>1413</v>
      </c>
      <c r="D6" s="64" t="s">
        <v>1104</v>
      </c>
      <c r="E6" s="64"/>
    </row>
    <row r="7" ht="15.0" customHeight="1">
      <c r="A7" s="64" t="s">
        <v>1414</v>
      </c>
      <c r="B7" s="64" t="s">
        <v>1415</v>
      </c>
      <c r="C7" s="66" t="s">
        <v>1416</v>
      </c>
      <c r="D7" s="64" t="s">
        <v>1417</v>
      </c>
      <c r="E7" s="64" t="s">
        <v>1418</v>
      </c>
    </row>
    <row r="8" ht="15.0" customHeight="1">
      <c r="A8" s="64" t="s">
        <v>1419</v>
      </c>
      <c r="B8" s="64" t="s">
        <v>1420</v>
      </c>
      <c r="C8" s="64" t="s">
        <v>1421</v>
      </c>
      <c r="D8" s="64" t="s">
        <v>755</v>
      </c>
      <c r="E8" s="64" t="s">
        <v>1422</v>
      </c>
    </row>
    <row r="9" ht="15.0" customHeight="1">
      <c r="A9" s="64" t="s">
        <v>1423</v>
      </c>
      <c r="B9" s="64" t="s">
        <v>1424</v>
      </c>
      <c r="C9" s="64" t="s">
        <v>1421</v>
      </c>
      <c r="D9" s="64" t="s">
        <v>1425</v>
      </c>
      <c r="E9" s="64"/>
    </row>
    <row r="10" ht="15.0" customHeight="1">
      <c r="A10" s="64" t="s">
        <v>1426</v>
      </c>
      <c r="B10" s="64" t="s">
        <v>1427</v>
      </c>
      <c r="C10" s="64" t="s">
        <v>1421</v>
      </c>
      <c r="D10" s="64" t="s">
        <v>1428</v>
      </c>
      <c r="E10" s="64"/>
    </row>
    <row r="11" ht="15.0" customHeight="1">
      <c r="A11" s="64" t="s">
        <v>1429</v>
      </c>
      <c r="B11" s="64" t="s">
        <v>1430</v>
      </c>
      <c r="C11" s="64" t="s">
        <v>1421</v>
      </c>
      <c r="D11" s="64" t="s">
        <v>1431</v>
      </c>
      <c r="E11" s="64"/>
    </row>
    <row r="12" ht="15.0" customHeight="1">
      <c r="A12" s="64" t="s">
        <v>1432</v>
      </c>
      <c r="B12" s="64" t="s">
        <v>1433</v>
      </c>
      <c r="C12" s="67" t="s">
        <v>1434</v>
      </c>
      <c r="D12" s="64" t="s">
        <v>1051</v>
      </c>
      <c r="E12" s="64"/>
    </row>
    <row r="13" ht="15.0" customHeight="1">
      <c r="A13" s="64" t="s">
        <v>1435</v>
      </c>
      <c r="B13" s="64" t="s">
        <v>1436</v>
      </c>
      <c r="C13" s="65" t="s">
        <v>1413</v>
      </c>
      <c r="D13" s="64" t="s">
        <v>1113</v>
      </c>
      <c r="E13" s="64"/>
    </row>
    <row r="14" ht="15.0" customHeight="1">
      <c r="A14" s="64" t="s">
        <v>1437</v>
      </c>
      <c r="B14" s="64" t="s">
        <v>1438</v>
      </c>
      <c r="C14" s="67" t="s">
        <v>1434</v>
      </c>
      <c r="D14" s="64" t="s">
        <v>482</v>
      </c>
      <c r="E14" s="64"/>
    </row>
    <row r="15" ht="15.0" customHeight="1">
      <c r="A15" s="64" t="s">
        <v>1439</v>
      </c>
      <c r="B15" s="64" t="s">
        <v>1440</v>
      </c>
      <c r="C15" s="64" t="s">
        <v>1421</v>
      </c>
      <c r="D15" s="64" t="s">
        <v>437</v>
      </c>
      <c r="E15" s="64"/>
    </row>
    <row r="16" ht="15.0" customHeight="1">
      <c r="A16" s="64" t="s">
        <v>1441</v>
      </c>
      <c r="B16" s="64" t="s">
        <v>1442</v>
      </c>
      <c r="C16" s="64" t="s">
        <v>1421</v>
      </c>
      <c r="D16" s="64" t="s">
        <v>445</v>
      </c>
      <c r="E16" s="64"/>
    </row>
    <row r="17" ht="15.0" customHeight="1">
      <c r="A17" s="64" t="s">
        <v>1443</v>
      </c>
      <c r="B17" s="64" t="s">
        <v>1444</v>
      </c>
      <c r="C17" s="65" t="s">
        <v>1413</v>
      </c>
      <c r="D17" s="64" t="s">
        <v>1121</v>
      </c>
      <c r="E17" s="64"/>
    </row>
    <row r="18" ht="15.0" customHeight="1">
      <c r="A18" s="64" t="s">
        <v>1445</v>
      </c>
      <c r="B18" s="64" t="s">
        <v>1446</v>
      </c>
      <c r="C18" s="67" t="s">
        <v>1434</v>
      </c>
      <c r="D18" s="64" t="s">
        <v>489</v>
      </c>
      <c r="E18" s="64"/>
    </row>
    <row r="19" ht="15.0" customHeight="1">
      <c r="A19" s="64" t="s">
        <v>1447</v>
      </c>
      <c r="B19" s="64" t="s">
        <v>1448</v>
      </c>
      <c r="C19" s="64" t="s">
        <v>1449</v>
      </c>
      <c r="D19" s="64" t="s">
        <v>1450</v>
      </c>
      <c r="E19" s="64" t="s">
        <v>1451</v>
      </c>
    </row>
    <row r="20" ht="15.0" customHeight="1">
      <c r="A20" s="64" t="s">
        <v>1452</v>
      </c>
      <c r="B20" s="64" t="s">
        <v>1453</v>
      </c>
      <c r="C20" s="67" t="s">
        <v>1434</v>
      </c>
      <c r="D20" s="64" t="s">
        <v>496</v>
      </c>
      <c r="E20" s="64"/>
    </row>
    <row r="21" ht="21.75" customHeight="1">
      <c r="A21" s="64" t="s">
        <v>1454</v>
      </c>
      <c r="B21" s="64" t="s">
        <v>1455</v>
      </c>
      <c r="C21" s="66" t="s">
        <v>1416</v>
      </c>
      <c r="D21" s="64" t="s">
        <v>1417</v>
      </c>
      <c r="E21" s="64" t="s">
        <v>1456</v>
      </c>
    </row>
    <row r="22" ht="15.0" customHeight="1">
      <c r="A22" s="64" t="s">
        <v>1457</v>
      </c>
      <c r="B22" s="64" t="s">
        <v>1458</v>
      </c>
      <c r="C22" s="64" t="s">
        <v>1459</v>
      </c>
      <c r="D22" s="64" t="s">
        <v>350</v>
      </c>
      <c r="E22" s="64" t="s">
        <v>1460</v>
      </c>
    </row>
    <row r="23" ht="15.0" customHeight="1">
      <c r="A23" s="64" t="s">
        <v>1461</v>
      </c>
      <c r="B23" s="64" t="s">
        <v>1462</v>
      </c>
      <c r="C23" s="66" t="s">
        <v>1416</v>
      </c>
      <c r="D23" s="64" t="s">
        <v>1417</v>
      </c>
      <c r="E23" s="64" t="s">
        <v>1463</v>
      </c>
    </row>
    <row r="24" ht="15.0" customHeight="1">
      <c r="A24" s="64" t="s">
        <v>1464</v>
      </c>
      <c r="B24" s="64" t="s">
        <v>1465</v>
      </c>
      <c r="C24" s="64" t="s">
        <v>1466</v>
      </c>
      <c r="D24" s="64" t="s">
        <v>1467</v>
      </c>
      <c r="E24" s="64"/>
    </row>
    <row r="25" ht="15.0" customHeight="1">
      <c r="A25" s="64" t="s">
        <v>1468</v>
      </c>
      <c r="B25" s="64" t="s">
        <v>1469</v>
      </c>
      <c r="C25" s="67" t="s">
        <v>1434</v>
      </c>
      <c r="D25" s="64" t="s">
        <v>429</v>
      </c>
      <c r="E25" s="64"/>
    </row>
    <row r="26" ht="15.0" customHeight="1">
      <c r="A26" s="64" t="s">
        <v>1470</v>
      </c>
      <c r="B26" s="64" t="s">
        <v>1471</v>
      </c>
      <c r="C26" s="66" t="s">
        <v>1416</v>
      </c>
      <c r="D26" s="64" t="s">
        <v>1417</v>
      </c>
      <c r="E26" s="64" t="s">
        <v>1472</v>
      </c>
    </row>
    <row r="27" ht="15.0" customHeight="1">
      <c r="A27" s="64" t="s">
        <v>1473</v>
      </c>
      <c r="B27" s="64" t="s">
        <v>1474</v>
      </c>
      <c r="C27" s="64" t="s">
        <v>1421</v>
      </c>
      <c r="D27" s="64" t="s">
        <v>415</v>
      </c>
      <c r="E27" s="64" t="s">
        <v>1475</v>
      </c>
    </row>
    <row r="28" ht="15.0" customHeight="1">
      <c r="A28" s="64" t="s">
        <v>1476</v>
      </c>
      <c r="B28" s="64" t="s">
        <v>1477</v>
      </c>
      <c r="C28" s="66" t="s">
        <v>1416</v>
      </c>
      <c r="D28" s="64" t="s">
        <v>1417</v>
      </c>
      <c r="E28" s="64" t="s">
        <v>1478</v>
      </c>
    </row>
    <row r="29" ht="15.0" customHeight="1">
      <c r="A29" s="64" t="s">
        <v>1479</v>
      </c>
      <c r="B29" s="64" t="s">
        <v>1480</v>
      </c>
      <c r="C29" s="66" t="s">
        <v>1416</v>
      </c>
      <c r="D29" s="64" t="s">
        <v>1417</v>
      </c>
      <c r="E29" s="64" t="s">
        <v>1481</v>
      </c>
    </row>
    <row r="30" ht="15.0" customHeight="1">
      <c r="A30" s="64" t="s">
        <v>1482</v>
      </c>
      <c r="B30" s="64" t="s">
        <v>1483</v>
      </c>
      <c r="C30" s="66" t="s">
        <v>1416</v>
      </c>
      <c r="D30" s="64" t="s">
        <v>1417</v>
      </c>
      <c r="E30" s="64"/>
    </row>
    <row r="31" ht="15.0" customHeight="1">
      <c r="A31" s="64" t="s">
        <v>1484</v>
      </c>
      <c r="B31" s="64" t="s">
        <v>1485</v>
      </c>
      <c r="C31" s="65" t="s">
        <v>1486</v>
      </c>
      <c r="D31" s="64" t="s">
        <v>1137</v>
      </c>
      <c r="E31" s="64" t="s">
        <v>1487</v>
      </c>
    </row>
    <row r="32" ht="15.0" customHeight="1">
      <c r="A32" s="64" t="s">
        <v>1488</v>
      </c>
      <c r="B32" s="64" t="s">
        <v>1489</v>
      </c>
      <c r="C32" s="66" t="s">
        <v>1416</v>
      </c>
      <c r="D32" s="64" t="s">
        <v>1417</v>
      </c>
      <c r="E32" s="64" t="s">
        <v>1490</v>
      </c>
    </row>
    <row r="33" ht="15.0" customHeight="1">
      <c r="A33" s="64" t="s">
        <v>1491</v>
      </c>
      <c r="B33" s="64" t="s">
        <v>1492</v>
      </c>
      <c r="C33" s="66" t="s">
        <v>1416</v>
      </c>
      <c r="D33" s="64" t="s">
        <v>1417</v>
      </c>
      <c r="E33" s="64"/>
    </row>
    <row r="34" ht="15.0" customHeight="1">
      <c r="A34" s="64" t="s">
        <v>1493</v>
      </c>
      <c r="B34" s="64" t="s">
        <v>1494</v>
      </c>
      <c r="C34" s="66" t="s">
        <v>1416</v>
      </c>
      <c r="D34" s="64" t="s">
        <v>1417</v>
      </c>
      <c r="E34" s="64" t="s">
        <v>1495</v>
      </c>
    </row>
    <row r="35" ht="15.0" customHeight="1">
      <c r="A35" s="64" t="s">
        <v>1496</v>
      </c>
      <c r="B35" s="64" t="s">
        <v>1497</v>
      </c>
      <c r="C35" s="65" t="s">
        <v>1486</v>
      </c>
      <c r="D35" s="64" t="s">
        <v>1137</v>
      </c>
      <c r="E35" s="64" t="s">
        <v>1487</v>
      </c>
    </row>
    <row r="36" ht="15.0" customHeight="1">
      <c r="A36" s="64" t="s">
        <v>1498</v>
      </c>
      <c r="B36" s="64" t="s">
        <v>1499</v>
      </c>
      <c r="C36" s="65" t="s">
        <v>1413</v>
      </c>
      <c r="D36" s="64" t="s">
        <v>1162</v>
      </c>
      <c r="E36" s="64"/>
    </row>
    <row r="37" ht="15.0" customHeight="1">
      <c r="A37" s="64" t="s">
        <v>1500</v>
      </c>
      <c r="B37" s="64" t="s">
        <v>1501</v>
      </c>
      <c r="C37" s="66" t="s">
        <v>1416</v>
      </c>
      <c r="D37" s="64" t="s">
        <v>1417</v>
      </c>
      <c r="E37" s="64" t="s">
        <v>1502</v>
      </c>
    </row>
    <row r="38" ht="15.0" customHeight="1">
      <c r="A38" s="64" t="s">
        <v>1503</v>
      </c>
      <c r="B38" s="64" t="s">
        <v>1504</v>
      </c>
      <c r="C38" s="66" t="s">
        <v>1416</v>
      </c>
      <c r="D38" s="64" t="s">
        <v>1417</v>
      </c>
      <c r="E38" s="64"/>
    </row>
    <row r="39" ht="15.0" customHeight="1">
      <c r="A39" s="64" t="s">
        <v>1505</v>
      </c>
      <c r="B39" s="64" t="s">
        <v>1506</v>
      </c>
      <c r="C39" s="66" t="s">
        <v>1416</v>
      </c>
      <c r="D39" s="64" t="s">
        <v>1417</v>
      </c>
      <c r="E39" s="64"/>
    </row>
    <row r="40" ht="15.0" customHeight="1">
      <c r="A40" s="64" t="s">
        <v>1507</v>
      </c>
      <c r="B40" s="64" t="s">
        <v>1508</v>
      </c>
      <c r="C40" s="65" t="s">
        <v>1413</v>
      </c>
      <c r="D40" s="64" t="s">
        <v>1170</v>
      </c>
      <c r="E40" s="64"/>
    </row>
    <row r="41" ht="15.0" customHeight="1">
      <c r="A41" s="64" t="s">
        <v>1509</v>
      </c>
      <c r="B41" s="64" t="s">
        <v>1510</v>
      </c>
      <c r="C41" s="67" t="s">
        <v>1434</v>
      </c>
      <c r="D41" s="64" t="s">
        <v>310</v>
      </c>
      <c r="E41" s="64"/>
    </row>
    <row r="42" ht="15.0" customHeight="1">
      <c r="A42" s="64" t="s">
        <v>1511</v>
      </c>
      <c r="B42" s="64" t="s">
        <v>1512</v>
      </c>
      <c r="C42" s="68" t="s">
        <v>1513</v>
      </c>
      <c r="D42" s="64" t="s">
        <v>739</v>
      </c>
      <c r="E42" s="64"/>
    </row>
    <row r="43" ht="15.0" customHeight="1">
      <c r="A43" s="64" t="s">
        <v>1514</v>
      </c>
      <c r="B43" s="64" t="s">
        <v>1515</v>
      </c>
      <c r="C43" s="66" t="s">
        <v>1416</v>
      </c>
      <c r="D43" s="64" t="s">
        <v>1417</v>
      </c>
      <c r="E43" s="64"/>
    </row>
    <row r="44" ht="15.0" customHeight="1">
      <c r="A44" s="64" t="s">
        <v>1516</v>
      </c>
      <c r="B44" s="64" t="s">
        <v>1517</v>
      </c>
      <c r="C44" s="68" t="s">
        <v>1513</v>
      </c>
      <c r="D44" s="64" t="s">
        <v>1518</v>
      </c>
      <c r="E44" s="64"/>
    </row>
    <row r="45" ht="15.0" customHeight="1">
      <c r="A45" s="64" t="s">
        <v>1519</v>
      </c>
      <c r="B45" s="64" t="s">
        <v>1520</v>
      </c>
      <c r="C45" s="64" t="s">
        <v>1421</v>
      </c>
      <c r="D45" s="64" t="s">
        <v>543</v>
      </c>
      <c r="E45" s="64"/>
    </row>
    <row r="46" ht="15.0" customHeight="1">
      <c r="A46" s="64" t="s">
        <v>1521</v>
      </c>
      <c r="B46" s="64" t="s">
        <v>1522</v>
      </c>
      <c r="C46" s="66" t="s">
        <v>1416</v>
      </c>
      <c r="D46" s="64" t="s">
        <v>1417</v>
      </c>
      <c r="E46" s="64" t="s">
        <v>1523</v>
      </c>
    </row>
    <row r="47" ht="15.0" customHeight="1">
      <c r="A47" s="64" t="s">
        <v>1524</v>
      </c>
      <c r="B47" s="64" t="s">
        <v>1525</v>
      </c>
      <c r="C47" s="67" t="s">
        <v>1434</v>
      </c>
      <c r="D47" s="64" t="s">
        <v>482</v>
      </c>
      <c r="E47" s="64"/>
    </row>
    <row r="48" ht="15.0" customHeight="1">
      <c r="A48" s="64" t="s">
        <v>1526</v>
      </c>
      <c r="B48" s="64" t="s">
        <v>1527</v>
      </c>
      <c r="C48" s="64" t="s">
        <v>1421</v>
      </c>
      <c r="D48" s="64" t="s">
        <v>1528</v>
      </c>
      <c r="E48" s="64"/>
    </row>
    <row r="49" ht="15.0" customHeight="1">
      <c r="A49" s="64" t="s">
        <v>1529</v>
      </c>
      <c r="B49" s="64" t="s">
        <v>1530</v>
      </c>
      <c r="C49" s="66" t="s">
        <v>1416</v>
      </c>
      <c r="D49" s="64" t="s">
        <v>1417</v>
      </c>
      <c r="E49" s="64" t="s">
        <v>1531</v>
      </c>
    </row>
    <row r="50" ht="15.0" customHeight="1">
      <c r="A50" s="64" t="s">
        <v>1532</v>
      </c>
      <c r="B50" s="64" t="s">
        <v>1533</v>
      </c>
      <c r="C50" s="67" t="s">
        <v>1434</v>
      </c>
      <c r="D50" s="64" t="s">
        <v>610</v>
      </c>
      <c r="E50" s="64"/>
    </row>
    <row r="51" ht="15.0" customHeight="1">
      <c r="A51" s="64" t="s">
        <v>1534</v>
      </c>
      <c r="B51" s="64" t="s">
        <v>1535</v>
      </c>
      <c r="C51" s="64" t="s">
        <v>1421</v>
      </c>
      <c r="D51" s="64" t="s">
        <v>529</v>
      </c>
      <c r="E51" s="64"/>
    </row>
    <row r="52" ht="15.0" customHeight="1">
      <c r="A52" s="64" t="s">
        <v>1536</v>
      </c>
      <c r="B52" s="64" t="s">
        <v>1537</v>
      </c>
      <c r="C52" s="67" t="s">
        <v>1434</v>
      </c>
      <c r="D52" s="64" t="s">
        <v>786</v>
      </c>
      <c r="E52" s="64"/>
    </row>
    <row r="53" ht="21.75" customHeight="1">
      <c r="A53" s="64" t="s">
        <v>1538</v>
      </c>
      <c r="B53" s="64" t="s">
        <v>1539</v>
      </c>
      <c r="C53" s="64" t="s">
        <v>1421</v>
      </c>
      <c r="D53" s="64" t="s">
        <v>1540</v>
      </c>
      <c r="E53" s="64"/>
    </row>
    <row r="54" ht="15.0" customHeight="1">
      <c r="A54" s="64" t="s">
        <v>1541</v>
      </c>
      <c r="B54" s="64" t="s">
        <v>1542</v>
      </c>
      <c r="C54" s="67" t="s">
        <v>1434</v>
      </c>
      <c r="D54" s="64" t="s">
        <v>617</v>
      </c>
      <c r="E54" s="64"/>
    </row>
    <row r="55" ht="15.0" customHeight="1">
      <c r="A55" s="64" t="s">
        <v>1543</v>
      </c>
      <c r="B55" s="64" t="s">
        <v>1544</v>
      </c>
      <c r="C55" s="68" t="s">
        <v>1513</v>
      </c>
      <c r="D55" s="64" t="s">
        <v>596</v>
      </c>
      <c r="E55" s="64"/>
    </row>
    <row r="56" ht="15.0" customHeight="1">
      <c r="A56" s="64" t="s">
        <v>1545</v>
      </c>
      <c r="B56" s="64" t="s">
        <v>1546</v>
      </c>
      <c r="C56" s="66" t="s">
        <v>1416</v>
      </c>
      <c r="D56" s="64" t="s">
        <v>1417</v>
      </c>
      <c r="E56" s="64" t="s">
        <v>1547</v>
      </c>
    </row>
    <row r="57" ht="15.0" customHeight="1">
      <c r="A57" s="64" t="s">
        <v>1548</v>
      </c>
      <c r="B57" s="64" t="s">
        <v>1549</v>
      </c>
      <c r="C57" s="65" t="s">
        <v>1413</v>
      </c>
      <c r="D57" s="64" t="s">
        <v>1215</v>
      </c>
      <c r="E57" s="64" t="s">
        <v>1550</v>
      </c>
    </row>
    <row r="58" ht="15.0" customHeight="1">
      <c r="A58" s="64" t="s">
        <v>1551</v>
      </c>
      <c r="B58" s="64" t="s">
        <v>1552</v>
      </c>
      <c r="C58" s="66" t="s">
        <v>1416</v>
      </c>
      <c r="D58" s="64" t="s">
        <v>1417</v>
      </c>
      <c r="E58" s="64" t="s">
        <v>1523</v>
      </c>
    </row>
    <row r="59" ht="15.0" customHeight="1">
      <c r="A59" s="64" t="s">
        <v>1553</v>
      </c>
      <c r="B59" s="64" t="s">
        <v>1554</v>
      </c>
      <c r="C59" s="67" t="s">
        <v>1434</v>
      </c>
      <c r="D59" s="64" t="s">
        <v>1008</v>
      </c>
      <c r="E59" s="64"/>
    </row>
    <row r="60" ht="15.0" customHeight="1">
      <c r="A60" s="64" t="s">
        <v>1555</v>
      </c>
      <c r="B60" s="64" t="s">
        <v>1556</v>
      </c>
      <c r="C60" s="64" t="s">
        <v>1449</v>
      </c>
      <c r="D60" s="64" t="s">
        <v>1557</v>
      </c>
      <c r="E60" s="64" t="s">
        <v>1558</v>
      </c>
    </row>
    <row r="61" ht="15.0" customHeight="1">
      <c r="A61" s="64" t="s">
        <v>1559</v>
      </c>
      <c r="B61" s="64" t="s">
        <v>1560</v>
      </c>
      <c r="C61" s="64" t="s">
        <v>1421</v>
      </c>
      <c r="D61" s="64" t="s">
        <v>1561</v>
      </c>
      <c r="E61" s="64"/>
    </row>
    <row r="62" ht="15.0" customHeight="1">
      <c r="A62" s="64" t="s">
        <v>1562</v>
      </c>
      <c r="B62" s="64" t="s">
        <v>1563</v>
      </c>
      <c r="C62" s="64" t="s">
        <v>1466</v>
      </c>
      <c r="D62" s="64" t="s">
        <v>1564</v>
      </c>
      <c r="E62" s="64"/>
    </row>
    <row r="63" ht="15.75" customHeight="1">
      <c r="A63" s="19"/>
      <c r="B63" s="19"/>
      <c r="C63" s="19"/>
      <c r="D63" s="19"/>
      <c r="E63" s="19"/>
    </row>
    <row r="64" ht="15.0" customHeight="1">
      <c r="A64" s="62" t="s">
        <v>1565</v>
      </c>
      <c r="B64" s="19"/>
      <c r="C64" s="19"/>
      <c r="D64" s="19"/>
      <c r="E64" s="19"/>
    </row>
    <row r="65" ht="15.0" customHeight="1">
      <c r="A65" s="63" t="s">
        <v>1566</v>
      </c>
      <c r="B65" s="63" t="s">
        <v>1407</v>
      </c>
      <c r="C65" s="63" t="s">
        <v>1408</v>
      </c>
      <c r="D65" s="63" t="s">
        <v>1409</v>
      </c>
      <c r="E65" s="19"/>
    </row>
    <row r="66" ht="21.75" customHeight="1">
      <c r="A66" s="64" t="s">
        <v>1567</v>
      </c>
      <c r="B66" s="64" t="s">
        <v>1568</v>
      </c>
      <c r="C66" s="68" t="s">
        <v>1513</v>
      </c>
      <c r="D66" s="64" t="s">
        <v>512</v>
      </c>
      <c r="E66" s="19"/>
    </row>
    <row r="67" ht="15.0" customHeight="1">
      <c r="A67" s="64" t="s">
        <v>1569</v>
      </c>
      <c r="B67" s="64" t="s">
        <v>1570</v>
      </c>
      <c r="C67" s="68" t="s">
        <v>1513</v>
      </c>
      <c r="D67" s="64" t="s">
        <v>662</v>
      </c>
      <c r="E67" s="19"/>
    </row>
    <row r="68" ht="32.25" customHeight="1">
      <c r="A68" s="64" t="s">
        <v>1571</v>
      </c>
      <c r="B68" s="64" t="s">
        <v>1572</v>
      </c>
      <c r="C68" s="67" t="s">
        <v>1434</v>
      </c>
      <c r="D68" s="64" t="s">
        <v>230</v>
      </c>
      <c r="E68" s="19"/>
    </row>
    <row r="69" ht="21.75" customHeight="1">
      <c r="A69" s="64" t="s">
        <v>1573</v>
      </c>
      <c r="B69" s="64" t="s">
        <v>1574</v>
      </c>
      <c r="C69" s="67" t="s">
        <v>1575</v>
      </c>
      <c r="D69" s="64" t="s">
        <v>1576</v>
      </c>
      <c r="E69" s="19"/>
    </row>
    <row r="70" ht="15.0" customHeight="1">
      <c r="A70" s="64" t="s">
        <v>1577</v>
      </c>
      <c r="B70" s="64" t="s">
        <v>1578</v>
      </c>
      <c r="C70" s="67" t="s">
        <v>1434</v>
      </c>
      <c r="D70" s="64" t="s">
        <v>550</v>
      </c>
      <c r="E70" s="19"/>
    </row>
    <row r="71" ht="21.75" customHeight="1">
      <c r="A71" s="64" t="s">
        <v>1579</v>
      </c>
      <c r="B71" s="64" t="s">
        <v>1580</v>
      </c>
      <c r="C71" s="67" t="s">
        <v>1434</v>
      </c>
      <c r="D71" s="64" t="s">
        <v>1581</v>
      </c>
      <c r="E71" s="19"/>
    </row>
    <row r="72" ht="15.0" customHeight="1">
      <c r="A72" s="64" t="s">
        <v>1582</v>
      </c>
      <c r="B72" s="64" t="s">
        <v>1583</v>
      </c>
      <c r="C72" s="68" t="s">
        <v>1513</v>
      </c>
      <c r="D72" s="64" t="s">
        <v>294</v>
      </c>
      <c r="E72" s="19"/>
    </row>
    <row r="73" ht="21.75" customHeight="1">
      <c r="A73" s="64" t="s">
        <v>1584</v>
      </c>
      <c r="B73" s="64" t="s">
        <v>1585</v>
      </c>
      <c r="C73" s="67" t="s">
        <v>1434</v>
      </c>
      <c r="D73" s="64" t="s">
        <v>684</v>
      </c>
      <c r="E73" s="19"/>
    </row>
    <row r="74" ht="15.0" customHeight="1">
      <c r="A74" s="64" t="s">
        <v>1586</v>
      </c>
      <c r="B74" s="64" t="s">
        <v>1587</v>
      </c>
      <c r="C74" s="65" t="s">
        <v>1413</v>
      </c>
      <c r="D74" s="64" t="s">
        <v>1200</v>
      </c>
      <c r="E74" s="19"/>
    </row>
    <row r="75" ht="15.0" customHeight="1">
      <c r="A75" s="64" t="s">
        <v>1588</v>
      </c>
      <c r="B75" s="64" t="s">
        <v>1589</v>
      </c>
      <c r="C75" s="65" t="s">
        <v>1413</v>
      </c>
      <c r="D75" s="64" t="s">
        <v>1185</v>
      </c>
      <c r="E75" s="19"/>
    </row>
    <row r="76" ht="15.0" customHeight="1">
      <c r="A76" s="64" t="s">
        <v>1590</v>
      </c>
      <c r="B76" s="64" t="s">
        <v>1591</v>
      </c>
      <c r="C76" s="65" t="s">
        <v>1413</v>
      </c>
      <c r="D76" s="64" t="s">
        <v>1592</v>
      </c>
      <c r="E76" s="19"/>
    </row>
    <row r="77" ht="21.75" customHeight="1">
      <c r="A77" s="64" t="s">
        <v>1593</v>
      </c>
      <c r="B77" s="64" t="s">
        <v>1594</v>
      </c>
      <c r="C77" s="68" t="s">
        <v>1513</v>
      </c>
      <c r="D77" s="64" t="s">
        <v>408</v>
      </c>
      <c r="E77" s="19"/>
    </row>
    <row r="78" ht="15.0" customHeight="1">
      <c r="A78" s="64" t="s">
        <v>1595</v>
      </c>
      <c r="B78" s="64" t="s">
        <v>1596</v>
      </c>
      <c r="C78" s="67" t="s">
        <v>1434</v>
      </c>
      <c r="D78" s="64" t="s">
        <v>779</v>
      </c>
      <c r="E78" s="19"/>
    </row>
    <row r="79" ht="15.0" customHeight="1">
      <c r="A79" s="64" t="s">
        <v>1597</v>
      </c>
      <c r="B79" s="64" t="s">
        <v>1598</v>
      </c>
      <c r="C79" s="67" t="s">
        <v>1434</v>
      </c>
      <c r="D79" s="64" t="s">
        <v>302</v>
      </c>
      <c r="E79" s="19"/>
    </row>
    <row r="80" ht="15.75" customHeight="1">
      <c r="A80" s="19"/>
      <c r="B80" s="19"/>
      <c r="C80" s="19"/>
      <c r="D80" s="19"/>
      <c r="E80" s="19"/>
    </row>
    <row r="81" ht="15.75" customHeight="1">
      <c r="A81" s="19"/>
      <c r="B81" s="19"/>
      <c r="C81" s="19"/>
      <c r="D81" s="19"/>
      <c r="E81" s="19"/>
    </row>
    <row r="82" ht="15.75" customHeight="1">
      <c r="A82" s="19"/>
      <c r="B82" s="19"/>
      <c r="C82" s="19"/>
      <c r="D82" s="19"/>
      <c r="E82" s="19"/>
    </row>
    <row r="83" ht="15.75" customHeight="1">
      <c r="A83" s="19"/>
      <c r="B83" s="19"/>
      <c r="C83" s="19"/>
      <c r="D83" s="19"/>
      <c r="E83" s="19"/>
    </row>
    <row r="84" ht="15.75" customHeight="1">
      <c r="A84" s="19"/>
      <c r="B84" s="19"/>
      <c r="C84" s="19"/>
      <c r="D84" s="19"/>
      <c r="E84" s="19"/>
    </row>
    <row r="85" ht="15.75" customHeight="1">
      <c r="A85" s="19"/>
      <c r="B85" s="19"/>
      <c r="C85" s="19"/>
      <c r="D85" s="19"/>
      <c r="E85" s="19"/>
    </row>
    <row r="86" ht="15.75" customHeight="1">
      <c r="A86" s="19"/>
      <c r="B86" s="19"/>
      <c r="C86" s="19"/>
      <c r="D86" s="19"/>
      <c r="E86" s="19"/>
    </row>
    <row r="87" ht="15.75" customHeight="1">
      <c r="A87" s="19"/>
      <c r="B87" s="19"/>
      <c r="C87" s="19"/>
      <c r="D87" s="19"/>
      <c r="E87" s="19"/>
    </row>
    <row r="88" ht="15.75" customHeight="1">
      <c r="A88" s="19"/>
      <c r="B88" s="19"/>
      <c r="C88" s="19"/>
      <c r="D88" s="19"/>
      <c r="E88" s="19"/>
    </row>
    <row r="89" ht="15.75" customHeight="1">
      <c r="A89" s="19"/>
      <c r="B89" s="19"/>
      <c r="C89" s="19"/>
      <c r="D89" s="19"/>
      <c r="E89" s="19"/>
    </row>
    <row r="90" ht="15.75" customHeight="1">
      <c r="A90" s="19"/>
      <c r="B90" s="19"/>
      <c r="C90" s="19"/>
      <c r="D90" s="19"/>
      <c r="E90" s="19"/>
    </row>
    <row r="91" ht="15.75" customHeight="1">
      <c r="A91" s="19"/>
      <c r="B91" s="19"/>
      <c r="C91" s="19"/>
      <c r="D91" s="19"/>
      <c r="E91" s="19"/>
    </row>
    <row r="92" ht="15.75" customHeight="1">
      <c r="A92" s="19"/>
      <c r="B92" s="19"/>
      <c r="C92" s="19"/>
      <c r="D92" s="19"/>
      <c r="E92" s="19"/>
    </row>
    <row r="93" ht="15.75" customHeight="1">
      <c r="A93" s="19"/>
      <c r="B93" s="19"/>
      <c r="C93" s="19"/>
      <c r="D93" s="19"/>
      <c r="E93" s="19"/>
    </row>
    <row r="94" ht="15.75" customHeight="1">
      <c r="A94" s="19"/>
      <c r="B94" s="19"/>
      <c r="C94" s="19"/>
      <c r="D94" s="19"/>
      <c r="E94" s="19"/>
    </row>
    <row r="95" ht="15.75" customHeight="1">
      <c r="A95" s="19"/>
      <c r="B95" s="19"/>
      <c r="C95" s="19"/>
      <c r="D95" s="19"/>
      <c r="E95" s="19"/>
    </row>
    <row r="96" ht="15.75" customHeight="1">
      <c r="A96" s="19"/>
      <c r="B96" s="19"/>
      <c r="C96" s="19"/>
      <c r="D96" s="19"/>
      <c r="E96" s="19"/>
    </row>
    <row r="97" ht="15.75" customHeight="1">
      <c r="A97" s="19"/>
      <c r="B97" s="19"/>
      <c r="C97" s="19"/>
      <c r="D97" s="19"/>
      <c r="E97" s="19"/>
    </row>
    <row r="98" ht="15.75" customHeight="1">
      <c r="A98" s="19"/>
      <c r="B98" s="19"/>
      <c r="C98" s="19"/>
      <c r="D98" s="19"/>
      <c r="E98" s="19"/>
    </row>
    <row r="99" ht="15.75" customHeight="1">
      <c r="A99" s="19"/>
      <c r="B99" s="19"/>
      <c r="C99" s="19"/>
      <c r="D99" s="19"/>
      <c r="E99" s="19"/>
    </row>
    <row r="100" ht="15.75" customHeight="1">
      <c r="A100" s="19"/>
      <c r="B100" s="19"/>
      <c r="C100" s="19"/>
      <c r="D100" s="19"/>
      <c r="E100" s="19"/>
    </row>
    <row r="101" ht="15.75" customHeight="1">
      <c r="A101" s="19"/>
      <c r="B101" s="19"/>
      <c r="C101" s="19"/>
      <c r="D101" s="19"/>
      <c r="E101" s="19"/>
    </row>
    <row r="102" ht="15.75" customHeight="1">
      <c r="A102" s="19"/>
      <c r="B102" s="19"/>
      <c r="C102" s="19"/>
      <c r="D102" s="19"/>
      <c r="E102" s="19"/>
    </row>
    <row r="103" ht="15.75" customHeight="1">
      <c r="A103" s="19"/>
      <c r="B103" s="19"/>
      <c r="C103" s="19"/>
      <c r="D103" s="19"/>
      <c r="E103" s="19"/>
    </row>
    <row r="104" ht="15.75" customHeight="1">
      <c r="A104" s="19"/>
      <c r="B104" s="19"/>
      <c r="C104" s="19"/>
      <c r="D104" s="19"/>
      <c r="E104" s="19"/>
    </row>
    <row r="105" ht="15.75" customHeight="1">
      <c r="A105" s="19"/>
      <c r="B105" s="19"/>
      <c r="C105" s="19"/>
      <c r="D105" s="19"/>
      <c r="E105" s="19"/>
    </row>
    <row r="106" ht="15.75" customHeight="1">
      <c r="A106" s="19"/>
      <c r="B106" s="19"/>
      <c r="C106" s="19"/>
      <c r="D106" s="19"/>
      <c r="E106" s="19"/>
    </row>
    <row r="107" ht="15.75" customHeight="1">
      <c r="A107" s="19"/>
      <c r="B107" s="19"/>
      <c r="C107" s="19"/>
      <c r="D107" s="19"/>
      <c r="E107" s="19"/>
    </row>
    <row r="108" ht="15.75" customHeight="1">
      <c r="A108" s="19"/>
      <c r="B108" s="19"/>
      <c r="C108" s="19"/>
      <c r="D108" s="19"/>
      <c r="E108" s="19"/>
    </row>
    <row r="109" ht="15.75" customHeight="1">
      <c r="A109" s="19"/>
      <c r="B109" s="19"/>
      <c r="C109" s="19"/>
      <c r="D109" s="19"/>
      <c r="E109" s="19"/>
    </row>
    <row r="110" ht="15.75" customHeight="1">
      <c r="A110" s="19"/>
      <c r="B110" s="19"/>
      <c r="C110" s="19"/>
      <c r="D110" s="19"/>
      <c r="E110" s="19"/>
    </row>
    <row r="111" ht="15.75" customHeight="1">
      <c r="A111" s="19"/>
      <c r="B111" s="19"/>
      <c r="C111" s="19"/>
      <c r="D111" s="19"/>
      <c r="E111" s="19"/>
    </row>
    <row r="112" ht="15.75" customHeight="1">
      <c r="A112" s="19"/>
      <c r="B112" s="19"/>
      <c r="C112" s="19"/>
      <c r="D112" s="19"/>
      <c r="E112" s="19"/>
    </row>
    <row r="113" ht="15.75" customHeight="1">
      <c r="A113" s="19"/>
      <c r="B113" s="19"/>
      <c r="C113" s="19"/>
      <c r="D113" s="19"/>
      <c r="E113" s="19"/>
    </row>
    <row r="114" ht="15.75" customHeight="1">
      <c r="A114" s="19"/>
      <c r="B114" s="19"/>
      <c r="C114" s="19"/>
      <c r="D114" s="19"/>
      <c r="E114" s="19"/>
    </row>
    <row r="115" ht="15.75" customHeight="1">
      <c r="A115" s="19"/>
      <c r="B115" s="19"/>
      <c r="C115" s="19"/>
      <c r="D115" s="19"/>
      <c r="E115" s="19"/>
    </row>
    <row r="116" ht="15.75" customHeight="1">
      <c r="A116" s="19"/>
      <c r="B116" s="19"/>
      <c r="C116" s="19"/>
      <c r="D116" s="19"/>
      <c r="E116" s="19"/>
    </row>
    <row r="117" ht="15.75" customHeight="1">
      <c r="A117" s="19"/>
      <c r="B117" s="19"/>
      <c r="C117" s="19"/>
      <c r="D117" s="19"/>
      <c r="E117" s="19"/>
    </row>
    <row r="118" ht="15.75" customHeight="1">
      <c r="A118" s="19"/>
      <c r="B118" s="19"/>
      <c r="C118" s="19"/>
      <c r="D118" s="19"/>
      <c r="E118" s="19"/>
    </row>
    <row r="119" ht="15.75" customHeight="1">
      <c r="A119" s="19"/>
      <c r="B119" s="19"/>
      <c r="C119" s="19"/>
      <c r="D119" s="19"/>
      <c r="E119" s="19"/>
    </row>
    <row r="120" ht="15.75" customHeight="1">
      <c r="A120" s="19"/>
      <c r="B120" s="19"/>
      <c r="C120" s="19"/>
      <c r="D120" s="19"/>
      <c r="E120" s="19"/>
    </row>
    <row r="121" ht="15.75" customHeight="1">
      <c r="A121" s="19"/>
      <c r="B121" s="19"/>
      <c r="C121" s="19"/>
      <c r="D121" s="19"/>
      <c r="E121" s="19"/>
    </row>
    <row r="122" ht="15.75" customHeight="1">
      <c r="A122" s="19"/>
      <c r="B122" s="19"/>
      <c r="C122" s="19"/>
      <c r="D122" s="19"/>
      <c r="E122" s="19"/>
    </row>
    <row r="123" ht="15.75" customHeight="1">
      <c r="A123" s="19"/>
      <c r="B123" s="19"/>
      <c r="C123" s="19"/>
      <c r="D123" s="19"/>
      <c r="E123" s="19"/>
    </row>
    <row r="124" ht="15.75" customHeight="1">
      <c r="A124" s="19"/>
      <c r="B124" s="19"/>
      <c r="C124" s="19"/>
      <c r="D124" s="19"/>
      <c r="E124" s="19"/>
    </row>
    <row r="125" ht="15.75" customHeight="1">
      <c r="A125" s="19"/>
      <c r="B125" s="19"/>
      <c r="C125" s="19"/>
      <c r="D125" s="19"/>
      <c r="E125" s="19"/>
    </row>
    <row r="126" ht="15.75" customHeight="1">
      <c r="A126" s="19"/>
      <c r="B126" s="19"/>
      <c r="C126" s="19"/>
      <c r="D126" s="19"/>
      <c r="E126" s="19"/>
    </row>
    <row r="127" ht="15.75" customHeight="1">
      <c r="A127" s="19"/>
      <c r="B127" s="19"/>
      <c r="C127" s="19"/>
      <c r="D127" s="19"/>
      <c r="E127" s="19"/>
    </row>
    <row r="128" ht="15.75" customHeight="1">
      <c r="A128" s="19"/>
      <c r="B128" s="19"/>
      <c r="C128" s="19"/>
      <c r="D128" s="19"/>
      <c r="E128" s="19"/>
    </row>
    <row r="129" ht="15.75" customHeight="1">
      <c r="A129" s="19"/>
      <c r="B129" s="19"/>
      <c r="C129" s="19"/>
      <c r="D129" s="19"/>
      <c r="E129" s="19"/>
    </row>
    <row r="130" ht="15.75" customHeight="1">
      <c r="A130" s="19"/>
      <c r="B130" s="19"/>
      <c r="C130" s="19"/>
      <c r="D130" s="19"/>
      <c r="E130" s="19"/>
    </row>
    <row r="131" ht="15.75" customHeight="1">
      <c r="A131" s="19"/>
      <c r="B131" s="19"/>
      <c r="C131" s="19"/>
      <c r="D131" s="19"/>
      <c r="E131" s="19"/>
    </row>
    <row r="132" ht="15.75" customHeight="1">
      <c r="A132" s="19"/>
      <c r="B132" s="19"/>
      <c r="C132" s="19"/>
      <c r="D132" s="19"/>
      <c r="E132" s="19"/>
    </row>
    <row r="133" ht="15.75" customHeight="1">
      <c r="A133" s="19"/>
      <c r="B133" s="19"/>
      <c r="C133" s="19"/>
      <c r="D133" s="19"/>
      <c r="E133" s="19"/>
    </row>
    <row r="134" ht="15.75" customHeight="1">
      <c r="A134" s="19"/>
      <c r="B134" s="19"/>
      <c r="C134" s="19"/>
      <c r="D134" s="19"/>
      <c r="E134" s="19"/>
    </row>
    <row r="135" ht="15.75" customHeight="1">
      <c r="A135" s="19"/>
      <c r="B135" s="19"/>
      <c r="C135" s="19"/>
      <c r="D135" s="19"/>
      <c r="E135" s="19"/>
    </row>
    <row r="136" ht="15.75" customHeight="1">
      <c r="A136" s="19"/>
      <c r="B136" s="19"/>
      <c r="C136" s="19"/>
      <c r="D136" s="19"/>
      <c r="E136" s="19"/>
    </row>
    <row r="137" ht="15.75" customHeight="1">
      <c r="A137" s="19"/>
      <c r="B137" s="19"/>
      <c r="C137" s="19"/>
      <c r="D137" s="19"/>
      <c r="E137" s="19"/>
    </row>
    <row r="138" ht="15.75" customHeight="1">
      <c r="A138" s="19"/>
      <c r="B138" s="19"/>
      <c r="C138" s="19"/>
      <c r="D138" s="19"/>
      <c r="E138" s="19"/>
    </row>
    <row r="139" ht="15.75" customHeight="1">
      <c r="A139" s="19"/>
      <c r="B139" s="19"/>
      <c r="C139" s="19"/>
      <c r="D139" s="19"/>
      <c r="E139" s="19"/>
    </row>
    <row r="140" ht="15.75" customHeight="1">
      <c r="A140" s="19"/>
      <c r="B140" s="19"/>
      <c r="C140" s="19"/>
      <c r="D140" s="19"/>
      <c r="E140" s="19"/>
    </row>
    <row r="141" ht="15.75" customHeight="1">
      <c r="A141" s="19"/>
      <c r="B141" s="19"/>
      <c r="C141" s="19"/>
      <c r="D141" s="19"/>
      <c r="E141" s="19"/>
    </row>
    <row r="142" ht="15.75" customHeight="1">
      <c r="A142" s="19"/>
      <c r="B142" s="19"/>
      <c r="C142" s="19"/>
      <c r="D142" s="19"/>
      <c r="E142" s="19"/>
    </row>
    <row r="143" ht="15.75" customHeight="1">
      <c r="A143" s="19"/>
      <c r="B143" s="19"/>
      <c r="C143" s="19"/>
      <c r="D143" s="19"/>
      <c r="E143" s="19"/>
    </row>
    <row r="144" ht="15.75" customHeight="1">
      <c r="A144" s="19"/>
      <c r="B144" s="19"/>
      <c r="C144" s="19"/>
      <c r="D144" s="19"/>
      <c r="E144" s="19"/>
    </row>
    <row r="145" ht="15.75" customHeight="1">
      <c r="A145" s="19"/>
      <c r="B145" s="19"/>
      <c r="C145" s="19"/>
      <c r="D145" s="19"/>
      <c r="E145" s="19"/>
    </row>
    <row r="146" ht="15.75" customHeight="1">
      <c r="A146" s="19"/>
      <c r="B146" s="19"/>
      <c r="C146" s="19"/>
      <c r="D146" s="19"/>
      <c r="E146" s="19"/>
    </row>
    <row r="147" ht="15.75" customHeight="1">
      <c r="A147" s="19"/>
      <c r="B147" s="19"/>
      <c r="C147" s="19"/>
      <c r="D147" s="19"/>
      <c r="E147" s="19"/>
    </row>
    <row r="148" ht="15.75" customHeight="1">
      <c r="A148" s="19"/>
      <c r="B148" s="19"/>
      <c r="C148" s="19"/>
      <c r="D148" s="19"/>
      <c r="E148" s="19"/>
    </row>
    <row r="149" ht="15.75" customHeight="1">
      <c r="A149" s="19"/>
      <c r="B149" s="19"/>
      <c r="C149" s="19"/>
      <c r="D149" s="19"/>
      <c r="E149" s="19"/>
    </row>
    <row r="150" ht="15.75" customHeight="1">
      <c r="A150" s="19"/>
      <c r="B150" s="19"/>
      <c r="C150" s="19"/>
      <c r="D150" s="19"/>
      <c r="E150" s="19"/>
    </row>
    <row r="151" ht="15.75" customHeight="1">
      <c r="A151" s="19"/>
      <c r="B151" s="19"/>
      <c r="C151" s="19"/>
      <c r="D151" s="19"/>
      <c r="E151" s="19"/>
    </row>
    <row r="152" ht="15.75" customHeight="1">
      <c r="A152" s="19"/>
      <c r="B152" s="19"/>
      <c r="C152" s="19"/>
      <c r="D152" s="19"/>
      <c r="E152" s="19"/>
    </row>
    <row r="153" ht="15.75" customHeight="1">
      <c r="A153" s="19"/>
      <c r="B153" s="19"/>
      <c r="C153" s="19"/>
      <c r="D153" s="19"/>
      <c r="E153" s="19"/>
    </row>
    <row r="154" ht="15.75" customHeight="1">
      <c r="A154" s="19"/>
      <c r="B154" s="19"/>
      <c r="C154" s="19"/>
      <c r="D154" s="19"/>
      <c r="E154" s="19"/>
    </row>
    <row r="155" ht="15.75" customHeight="1">
      <c r="A155" s="19"/>
      <c r="B155" s="19"/>
      <c r="C155" s="19"/>
      <c r="D155" s="19"/>
      <c r="E155" s="19"/>
    </row>
    <row r="156" ht="15.75" customHeight="1">
      <c r="A156" s="19"/>
      <c r="B156" s="19"/>
      <c r="C156" s="19"/>
      <c r="D156" s="19"/>
      <c r="E156" s="19"/>
    </row>
    <row r="157" ht="15.75" customHeight="1">
      <c r="A157" s="19"/>
      <c r="B157" s="19"/>
      <c r="C157" s="19"/>
      <c r="D157" s="19"/>
      <c r="E157" s="19"/>
    </row>
    <row r="158" ht="15.75" customHeight="1">
      <c r="A158" s="19"/>
      <c r="B158" s="19"/>
      <c r="C158" s="19"/>
      <c r="D158" s="19"/>
      <c r="E158" s="19"/>
    </row>
    <row r="159" ht="15.75" customHeight="1">
      <c r="A159" s="19"/>
      <c r="B159" s="19"/>
      <c r="C159" s="19"/>
      <c r="D159" s="19"/>
      <c r="E159" s="19"/>
    </row>
    <row r="160" ht="15.75" customHeight="1">
      <c r="A160" s="19"/>
      <c r="B160" s="19"/>
      <c r="C160" s="19"/>
      <c r="D160" s="19"/>
      <c r="E160" s="19"/>
    </row>
    <row r="161" ht="15.75" customHeight="1">
      <c r="A161" s="19"/>
      <c r="B161" s="19"/>
      <c r="C161" s="19"/>
      <c r="D161" s="19"/>
      <c r="E161" s="19"/>
    </row>
    <row r="162" ht="15.75" customHeight="1">
      <c r="A162" s="19"/>
      <c r="B162" s="19"/>
      <c r="C162" s="19"/>
      <c r="D162" s="19"/>
      <c r="E162" s="19"/>
    </row>
    <row r="163" ht="15.75" customHeight="1">
      <c r="A163" s="19"/>
      <c r="B163" s="19"/>
      <c r="C163" s="19"/>
      <c r="D163" s="19"/>
      <c r="E163" s="19"/>
    </row>
    <row r="164" ht="15.75" customHeight="1">
      <c r="A164" s="19"/>
      <c r="B164" s="19"/>
      <c r="C164" s="19"/>
      <c r="D164" s="19"/>
      <c r="E164" s="19"/>
    </row>
    <row r="165" ht="15.75" customHeight="1">
      <c r="A165" s="19"/>
      <c r="B165" s="19"/>
      <c r="C165" s="19"/>
      <c r="D165" s="19"/>
      <c r="E165" s="19"/>
    </row>
    <row r="166" ht="15.75" customHeight="1">
      <c r="A166" s="19"/>
      <c r="B166" s="19"/>
      <c r="C166" s="19"/>
      <c r="D166" s="19"/>
      <c r="E166" s="19"/>
    </row>
    <row r="167" ht="15.75" customHeight="1">
      <c r="A167" s="19"/>
      <c r="B167" s="19"/>
      <c r="C167" s="19"/>
      <c r="D167" s="19"/>
      <c r="E167" s="19"/>
    </row>
    <row r="168" ht="15.75" customHeight="1">
      <c r="A168" s="19"/>
      <c r="B168" s="19"/>
      <c r="C168" s="19"/>
      <c r="D168" s="19"/>
      <c r="E168" s="19"/>
    </row>
    <row r="169" ht="15.75" customHeight="1">
      <c r="A169" s="19"/>
      <c r="B169" s="19"/>
      <c r="C169" s="19"/>
      <c r="D169" s="19"/>
      <c r="E169" s="19"/>
    </row>
    <row r="170" ht="15.75" customHeight="1">
      <c r="A170" s="19"/>
      <c r="B170" s="19"/>
      <c r="C170" s="19"/>
      <c r="D170" s="19"/>
      <c r="E170" s="19"/>
    </row>
    <row r="171" ht="15.75" customHeight="1">
      <c r="A171" s="19"/>
      <c r="B171" s="19"/>
      <c r="C171" s="19"/>
      <c r="D171" s="19"/>
      <c r="E171" s="19"/>
    </row>
    <row r="172" ht="15.75" customHeight="1">
      <c r="A172" s="19"/>
      <c r="B172" s="19"/>
      <c r="C172" s="19"/>
      <c r="D172" s="19"/>
      <c r="E172" s="19"/>
    </row>
    <row r="173" ht="15.75" customHeight="1">
      <c r="A173" s="19"/>
      <c r="B173" s="19"/>
      <c r="C173" s="19"/>
      <c r="D173" s="19"/>
      <c r="E173" s="19"/>
    </row>
    <row r="174" ht="15.75" customHeight="1">
      <c r="A174" s="19"/>
      <c r="B174" s="19"/>
      <c r="C174" s="19"/>
      <c r="D174" s="19"/>
      <c r="E174" s="19"/>
    </row>
    <row r="175" ht="15.75" customHeight="1">
      <c r="A175" s="19"/>
      <c r="B175" s="19"/>
      <c r="C175" s="19"/>
      <c r="D175" s="19"/>
      <c r="E175" s="19"/>
    </row>
    <row r="176" ht="15.75" customHeight="1">
      <c r="A176" s="19"/>
      <c r="B176" s="19"/>
      <c r="C176" s="19"/>
      <c r="D176" s="19"/>
      <c r="E176" s="19"/>
    </row>
    <row r="177" ht="15.75" customHeight="1">
      <c r="A177" s="19"/>
      <c r="B177" s="19"/>
      <c r="C177" s="19"/>
      <c r="D177" s="19"/>
      <c r="E177" s="19"/>
    </row>
    <row r="178" ht="15.75" customHeight="1">
      <c r="A178" s="19"/>
      <c r="B178" s="19"/>
      <c r="C178" s="19"/>
      <c r="D178" s="19"/>
      <c r="E178" s="19"/>
    </row>
    <row r="179" ht="15.75" customHeight="1">
      <c r="A179" s="19"/>
      <c r="B179" s="19"/>
      <c r="C179" s="19"/>
      <c r="D179" s="19"/>
      <c r="E179" s="19"/>
    </row>
    <row r="180" ht="15.75" customHeight="1">
      <c r="A180" s="19"/>
      <c r="B180" s="19"/>
      <c r="C180" s="19"/>
      <c r="D180" s="19"/>
      <c r="E180" s="19"/>
    </row>
    <row r="181" ht="15.75" customHeight="1">
      <c r="A181" s="19"/>
      <c r="B181" s="19"/>
      <c r="C181" s="19"/>
      <c r="D181" s="19"/>
      <c r="E181" s="19"/>
    </row>
    <row r="182" ht="15.75" customHeight="1">
      <c r="A182" s="19"/>
      <c r="B182" s="19"/>
      <c r="C182" s="19"/>
      <c r="D182" s="19"/>
      <c r="E182" s="19"/>
    </row>
    <row r="183" ht="15.75" customHeight="1">
      <c r="A183" s="19"/>
      <c r="B183" s="19"/>
      <c r="C183" s="19"/>
      <c r="D183" s="19"/>
      <c r="E183" s="19"/>
    </row>
    <row r="184" ht="15.75" customHeight="1">
      <c r="A184" s="19"/>
      <c r="B184" s="19"/>
      <c r="C184" s="19"/>
      <c r="D184" s="19"/>
      <c r="E184" s="19"/>
    </row>
    <row r="185" ht="15.75" customHeight="1">
      <c r="A185" s="19"/>
      <c r="B185" s="19"/>
      <c r="C185" s="19"/>
      <c r="D185" s="19"/>
      <c r="E185" s="19"/>
    </row>
    <row r="186" ht="15.75" customHeight="1">
      <c r="A186" s="19"/>
      <c r="B186" s="19"/>
      <c r="C186" s="19"/>
      <c r="D186" s="19"/>
      <c r="E186" s="19"/>
    </row>
    <row r="187" ht="15.75" customHeight="1">
      <c r="A187" s="19"/>
      <c r="B187" s="19"/>
      <c r="C187" s="19"/>
      <c r="D187" s="19"/>
      <c r="E187" s="19"/>
    </row>
    <row r="188" ht="15.75" customHeight="1">
      <c r="A188" s="19"/>
      <c r="B188" s="19"/>
      <c r="C188" s="19"/>
      <c r="D188" s="19"/>
      <c r="E188" s="19"/>
    </row>
    <row r="189" ht="15.75" customHeight="1">
      <c r="A189" s="19"/>
      <c r="B189" s="19"/>
      <c r="C189" s="19"/>
      <c r="D189" s="19"/>
      <c r="E189" s="19"/>
    </row>
    <row r="190" ht="15.75" customHeight="1">
      <c r="A190" s="19"/>
      <c r="B190" s="19"/>
      <c r="C190" s="19"/>
      <c r="D190" s="19"/>
      <c r="E190" s="19"/>
    </row>
    <row r="191" ht="15.75" customHeight="1">
      <c r="A191" s="19"/>
      <c r="B191" s="19"/>
      <c r="C191" s="19"/>
      <c r="D191" s="19"/>
      <c r="E191" s="19"/>
    </row>
    <row r="192" ht="15.75" customHeight="1">
      <c r="A192" s="19"/>
      <c r="B192" s="19"/>
      <c r="C192" s="19"/>
      <c r="D192" s="19"/>
      <c r="E192" s="19"/>
    </row>
    <row r="193" ht="15.75" customHeight="1">
      <c r="A193" s="19"/>
      <c r="B193" s="19"/>
      <c r="C193" s="19"/>
      <c r="D193" s="19"/>
      <c r="E193" s="19"/>
    </row>
    <row r="194" ht="15.75" customHeight="1">
      <c r="A194" s="19"/>
      <c r="B194" s="19"/>
      <c r="C194" s="19"/>
      <c r="D194" s="19"/>
      <c r="E194" s="19"/>
    </row>
    <row r="195" ht="15.75" customHeight="1">
      <c r="A195" s="19"/>
      <c r="B195" s="19"/>
      <c r="C195" s="19"/>
      <c r="D195" s="19"/>
      <c r="E195" s="19"/>
    </row>
    <row r="196" ht="15.75" customHeight="1">
      <c r="A196" s="19"/>
      <c r="B196" s="19"/>
      <c r="C196" s="19"/>
      <c r="D196" s="19"/>
      <c r="E196" s="19"/>
    </row>
    <row r="197" ht="15.75" customHeight="1">
      <c r="A197" s="19"/>
      <c r="B197" s="19"/>
      <c r="C197" s="19"/>
      <c r="D197" s="19"/>
      <c r="E197" s="19"/>
    </row>
    <row r="198" ht="15.75" customHeight="1">
      <c r="A198" s="19"/>
      <c r="B198" s="19"/>
      <c r="C198" s="19"/>
      <c r="D198" s="19"/>
      <c r="E198" s="19"/>
    </row>
    <row r="199" ht="15.75" customHeight="1">
      <c r="A199" s="19"/>
      <c r="B199" s="19"/>
      <c r="C199" s="19"/>
      <c r="D199" s="19"/>
      <c r="E199" s="19"/>
    </row>
    <row r="200" ht="15.75" customHeight="1">
      <c r="A200" s="19"/>
      <c r="B200" s="19"/>
      <c r="C200" s="19"/>
      <c r="D200" s="19"/>
      <c r="E200" s="19"/>
    </row>
    <row r="201" ht="15.75" customHeight="1">
      <c r="A201" s="19"/>
      <c r="B201" s="19"/>
      <c r="C201" s="19"/>
      <c r="D201" s="19"/>
      <c r="E201" s="19"/>
    </row>
    <row r="202" ht="15.75" customHeight="1">
      <c r="A202" s="19"/>
      <c r="B202" s="19"/>
      <c r="C202" s="19"/>
      <c r="D202" s="19"/>
      <c r="E202" s="19"/>
    </row>
    <row r="203" ht="15.75" customHeight="1">
      <c r="A203" s="19"/>
      <c r="B203" s="19"/>
      <c r="C203" s="19"/>
      <c r="D203" s="19"/>
      <c r="E203" s="19"/>
    </row>
    <row r="204" ht="15.75" customHeight="1">
      <c r="A204" s="19"/>
      <c r="B204" s="19"/>
      <c r="C204" s="19"/>
      <c r="D204" s="19"/>
      <c r="E204" s="19"/>
    </row>
    <row r="205" ht="15.75" customHeight="1">
      <c r="A205" s="19"/>
      <c r="B205" s="19"/>
      <c r="C205" s="19"/>
      <c r="D205" s="19"/>
      <c r="E205" s="19"/>
    </row>
    <row r="206" ht="15.75" customHeight="1">
      <c r="A206" s="19"/>
      <c r="B206" s="19"/>
      <c r="C206" s="19"/>
      <c r="D206" s="19"/>
      <c r="E206" s="19"/>
    </row>
    <row r="207" ht="15.75" customHeight="1">
      <c r="A207" s="19"/>
      <c r="B207" s="19"/>
      <c r="C207" s="19"/>
      <c r="D207" s="19"/>
      <c r="E207" s="19"/>
    </row>
    <row r="208" ht="15.75" customHeight="1">
      <c r="A208" s="19"/>
      <c r="B208" s="19"/>
      <c r="C208" s="19"/>
      <c r="D208" s="19"/>
      <c r="E208" s="19"/>
    </row>
    <row r="209" ht="15.75" customHeight="1">
      <c r="A209" s="19"/>
      <c r="B209" s="19"/>
      <c r="C209" s="19"/>
      <c r="D209" s="19"/>
      <c r="E209" s="19"/>
    </row>
    <row r="210" ht="15.75" customHeight="1">
      <c r="A210" s="19"/>
      <c r="B210" s="19"/>
      <c r="C210" s="19"/>
      <c r="D210" s="19"/>
      <c r="E210" s="19"/>
    </row>
    <row r="211" ht="15.75" customHeight="1">
      <c r="A211" s="19"/>
      <c r="B211" s="19"/>
      <c r="C211" s="19"/>
      <c r="D211" s="19"/>
      <c r="E211" s="19"/>
    </row>
    <row r="212" ht="15.75" customHeight="1">
      <c r="A212" s="19"/>
      <c r="B212" s="19"/>
      <c r="C212" s="19"/>
      <c r="D212" s="19"/>
      <c r="E212" s="19"/>
    </row>
    <row r="213" ht="15.75" customHeight="1">
      <c r="A213" s="19"/>
      <c r="B213" s="19"/>
      <c r="C213" s="19"/>
      <c r="D213" s="19"/>
      <c r="E213" s="19"/>
    </row>
    <row r="214" ht="15.75" customHeight="1">
      <c r="A214" s="19"/>
      <c r="B214" s="19"/>
      <c r="C214" s="19"/>
      <c r="D214" s="19"/>
      <c r="E214" s="19"/>
    </row>
    <row r="215" ht="15.75" customHeight="1">
      <c r="A215" s="19"/>
      <c r="B215" s="19"/>
      <c r="C215" s="19"/>
      <c r="D215" s="19"/>
      <c r="E215" s="19"/>
    </row>
    <row r="216" ht="15.75" customHeight="1">
      <c r="A216" s="19"/>
      <c r="B216" s="19"/>
      <c r="C216" s="19"/>
      <c r="D216" s="19"/>
      <c r="E216" s="19"/>
    </row>
    <row r="217" ht="15.75" customHeight="1">
      <c r="A217" s="19"/>
      <c r="B217" s="19"/>
      <c r="C217" s="19"/>
      <c r="D217" s="19"/>
      <c r="E217" s="19"/>
    </row>
    <row r="218" ht="15.75" customHeight="1">
      <c r="A218" s="19"/>
      <c r="B218" s="19"/>
      <c r="C218" s="19"/>
      <c r="D218" s="19"/>
      <c r="E218" s="19"/>
    </row>
    <row r="219" ht="15.75" customHeight="1">
      <c r="A219" s="19"/>
      <c r="B219" s="19"/>
      <c r="C219" s="19"/>
      <c r="D219" s="19"/>
      <c r="E219" s="19"/>
    </row>
    <row r="220" ht="15.75" customHeight="1">
      <c r="A220" s="19"/>
      <c r="B220" s="19"/>
      <c r="C220" s="19"/>
      <c r="D220" s="19"/>
      <c r="E220" s="19"/>
    </row>
    <row r="221" ht="15.75" customHeight="1">
      <c r="A221" s="19"/>
      <c r="B221" s="19"/>
      <c r="C221" s="19"/>
      <c r="D221" s="19"/>
      <c r="E221" s="19"/>
    </row>
    <row r="222" ht="15.75" customHeight="1">
      <c r="A222" s="19"/>
      <c r="B222" s="19"/>
      <c r="C222" s="19"/>
      <c r="D222" s="19"/>
      <c r="E222" s="19"/>
    </row>
    <row r="223" ht="15.75" customHeight="1">
      <c r="A223" s="19"/>
      <c r="B223" s="19"/>
      <c r="C223" s="19"/>
      <c r="D223" s="19"/>
      <c r="E223" s="19"/>
    </row>
    <row r="224" ht="15.75" customHeight="1">
      <c r="A224" s="19"/>
      <c r="B224" s="19"/>
      <c r="C224" s="19"/>
      <c r="D224" s="19"/>
      <c r="E224" s="19"/>
    </row>
    <row r="225" ht="15.75" customHeight="1">
      <c r="A225" s="19"/>
      <c r="B225" s="19"/>
      <c r="C225" s="19"/>
      <c r="D225" s="19"/>
      <c r="E225" s="19"/>
    </row>
    <row r="226" ht="15.75" customHeight="1">
      <c r="A226" s="19"/>
      <c r="B226" s="19"/>
      <c r="C226" s="19"/>
      <c r="D226" s="19"/>
      <c r="E226" s="19"/>
    </row>
    <row r="227" ht="15.75" customHeight="1">
      <c r="A227" s="19"/>
      <c r="B227" s="19"/>
      <c r="C227" s="19"/>
      <c r="D227" s="19"/>
      <c r="E227" s="19"/>
    </row>
    <row r="228" ht="15.75" customHeight="1">
      <c r="A228" s="19"/>
      <c r="B228" s="19"/>
      <c r="C228" s="19"/>
      <c r="D228" s="19"/>
      <c r="E228" s="19"/>
    </row>
    <row r="229" ht="15.75" customHeight="1">
      <c r="A229" s="19"/>
      <c r="B229" s="19"/>
      <c r="C229" s="19"/>
      <c r="D229" s="19"/>
      <c r="E229" s="19"/>
    </row>
    <row r="230" ht="15.75" customHeight="1">
      <c r="A230" s="19"/>
      <c r="B230" s="19"/>
      <c r="C230" s="19"/>
      <c r="D230" s="19"/>
      <c r="E230" s="19"/>
    </row>
    <row r="231" ht="15.75" customHeight="1">
      <c r="A231" s="19"/>
      <c r="B231" s="19"/>
      <c r="C231" s="19"/>
      <c r="D231" s="19"/>
      <c r="E231" s="19"/>
    </row>
    <row r="232" ht="15.75" customHeight="1">
      <c r="A232" s="19"/>
      <c r="B232" s="19"/>
      <c r="C232" s="19"/>
      <c r="D232" s="19"/>
      <c r="E232" s="19"/>
    </row>
    <row r="233" ht="15.75" customHeight="1">
      <c r="A233" s="19"/>
      <c r="B233" s="19"/>
      <c r="C233" s="19"/>
      <c r="D233" s="19"/>
      <c r="E233" s="19"/>
    </row>
    <row r="234" ht="15.75" customHeight="1">
      <c r="A234" s="19"/>
      <c r="B234" s="19"/>
      <c r="C234" s="19"/>
      <c r="D234" s="19"/>
      <c r="E234" s="19"/>
    </row>
    <row r="235" ht="15.75" customHeight="1">
      <c r="A235" s="19"/>
      <c r="B235" s="19"/>
      <c r="C235" s="19"/>
      <c r="D235" s="19"/>
      <c r="E235" s="19"/>
    </row>
    <row r="236" ht="15.75" customHeight="1">
      <c r="A236" s="19"/>
      <c r="B236" s="19"/>
      <c r="C236" s="19"/>
      <c r="D236" s="19"/>
      <c r="E236" s="19"/>
    </row>
    <row r="237" ht="15.75" customHeight="1">
      <c r="A237" s="19"/>
      <c r="B237" s="19"/>
      <c r="C237" s="19"/>
      <c r="D237" s="19"/>
      <c r="E237" s="19"/>
    </row>
    <row r="238" ht="15.75" customHeight="1">
      <c r="A238" s="19"/>
      <c r="B238" s="19"/>
      <c r="C238" s="19"/>
      <c r="D238" s="19"/>
      <c r="E238" s="19"/>
    </row>
    <row r="239" ht="15.75" customHeight="1">
      <c r="A239" s="19"/>
      <c r="B239" s="19"/>
      <c r="C239" s="19"/>
      <c r="D239" s="19"/>
      <c r="E239" s="19"/>
    </row>
    <row r="240" ht="15.75" customHeight="1">
      <c r="A240" s="19"/>
      <c r="B240" s="19"/>
      <c r="C240" s="19"/>
      <c r="D240" s="19"/>
      <c r="E240" s="19"/>
    </row>
    <row r="241" ht="15.75" customHeight="1">
      <c r="A241" s="19"/>
      <c r="B241" s="19"/>
      <c r="C241" s="19"/>
      <c r="D241" s="19"/>
      <c r="E241" s="19"/>
    </row>
    <row r="242" ht="15.75" customHeight="1">
      <c r="A242" s="19"/>
      <c r="B242" s="19"/>
      <c r="C242" s="19"/>
      <c r="D242" s="19"/>
      <c r="E242" s="19"/>
    </row>
    <row r="243" ht="15.75" customHeight="1">
      <c r="A243" s="19"/>
      <c r="B243" s="19"/>
      <c r="C243" s="19"/>
      <c r="D243" s="19"/>
      <c r="E243" s="19"/>
    </row>
    <row r="244" ht="15.75" customHeight="1">
      <c r="A244" s="19"/>
      <c r="B244" s="19"/>
      <c r="C244" s="19"/>
      <c r="D244" s="19"/>
      <c r="E244" s="19"/>
    </row>
    <row r="245" ht="15.75" customHeight="1">
      <c r="A245" s="19"/>
      <c r="B245" s="19"/>
      <c r="C245" s="19"/>
      <c r="D245" s="19"/>
      <c r="E245" s="19"/>
    </row>
    <row r="246" ht="15.75" customHeight="1">
      <c r="A246" s="19"/>
      <c r="B246" s="19"/>
      <c r="C246" s="19"/>
      <c r="D246" s="19"/>
      <c r="E246" s="19"/>
    </row>
    <row r="247" ht="15.75" customHeight="1">
      <c r="A247" s="19"/>
      <c r="B247" s="19"/>
      <c r="C247" s="19"/>
      <c r="D247" s="19"/>
      <c r="E247" s="19"/>
    </row>
    <row r="248" ht="15.75" customHeight="1">
      <c r="A248" s="19"/>
      <c r="B248" s="19"/>
      <c r="C248" s="19"/>
      <c r="D248" s="19"/>
      <c r="E248" s="19"/>
    </row>
    <row r="249" ht="15.75" customHeight="1">
      <c r="A249" s="19"/>
      <c r="B249" s="19"/>
      <c r="C249" s="19"/>
      <c r="D249" s="19"/>
      <c r="E249" s="19"/>
    </row>
    <row r="250" ht="15.75" customHeight="1">
      <c r="A250" s="19"/>
      <c r="B250" s="19"/>
      <c r="C250" s="19"/>
      <c r="D250" s="19"/>
      <c r="E250" s="19"/>
    </row>
    <row r="251" ht="15.75" customHeight="1">
      <c r="A251" s="19"/>
      <c r="B251" s="19"/>
      <c r="C251" s="19"/>
      <c r="D251" s="19"/>
      <c r="E251" s="19"/>
    </row>
    <row r="252" ht="15.75" customHeight="1">
      <c r="A252" s="19"/>
      <c r="B252" s="19"/>
      <c r="C252" s="19"/>
      <c r="D252" s="19"/>
      <c r="E252" s="19"/>
    </row>
    <row r="253" ht="15.75" customHeight="1">
      <c r="A253" s="19"/>
      <c r="B253" s="19"/>
      <c r="C253" s="19"/>
      <c r="D253" s="19"/>
      <c r="E253" s="19"/>
    </row>
    <row r="254" ht="15.75" customHeight="1">
      <c r="A254" s="19"/>
      <c r="B254" s="19"/>
      <c r="C254" s="19"/>
      <c r="D254" s="19"/>
      <c r="E254" s="19"/>
    </row>
    <row r="255" ht="15.75" customHeight="1">
      <c r="A255" s="19"/>
      <c r="B255" s="19"/>
      <c r="C255" s="19"/>
      <c r="D255" s="19"/>
      <c r="E255" s="19"/>
    </row>
    <row r="256" ht="15.75" customHeight="1">
      <c r="A256" s="19"/>
      <c r="B256" s="19"/>
      <c r="C256" s="19"/>
      <c r="D256" s="19"/>
      <c r="E256" s="19"/>
    </row>
    <row r="257" ht="15.75" customHeight="1">
      <c r="A257" s="19"/>
      <c r="B257" s="19"/>
      <c r="C257" s="19"/>
      <c r="D257" s="19"/>
      <c r="E257" s="19"/>
    </row>
    <row r="258" ht="15.75" customHeight="1">
      <c r="A258" s="19"/>
      <c r="B258" s="19"/>
      <c r="C258" s="19"/>
      <c r="D258" s="19"/>
      <c r="E258" s="19"/>
    </row>
    <row r="259" ht="15.75" customHeight="1">
      <c r="A259" s="19"/>
      <c r="B259" s="19"/>
      <c r="C259" s="19"/>
      <c r="D259" s="19"/>
      <c r="E259" s="19"/>
    </row>
    <row r="260" ht="15.75" customHeight="1">
      <c r="A260" s="19"/>
      <c r="B260" s="19"/>
      <c r="C260" s="19"/>
      <c r="D260" s="19"/>
      <c r="E260" s="19"/>
    </row>
    <row r="261" ht="15.75" customHeight="1">
      <c r="A261" s="19"/>
      <c r="B261" s="19"/>
      <c r="C261" s="19"/>
      <c r="D261" s="19"/>
      <c r="E261" s="19"/>
    </row>
    <row r="262" ht="15.75" customHeight="1">
      <c r="A262" s="19"/>
      <c r="B262" s="19"/>
      <c r="C262" s="19"/>
      <c r="D262" s="19"/>
      <c r="E262" s="19"/>
    </row>
    <row r="263" ht="15.75" customHeight="1">
      <c r="A263" s="19"/>
      <c r="B263" s="19"/>
      <c r="C263" s="19"/>
      <c r="D263" s="19"/>
      <c r="E263" s="19"/>
    </row>
    <row r="264" ht="15.75" customHeight="1">
      <c r="A264" s="19"/>
      <c r="B264" s="19"/>
      <c r="C264" s="19"/>
      <c r="D264" s="19"/>
      <c r="E264" s="19"/>
    </row>
    <row r="265" ht="15.75" customHeight="1">
      <c r="A265" s="19"/>
      <c r="B265" s="19"/>
      <c r="C265" s="19"/>
      <c r="D265" s="19"/>
      <c r="E265" s="19"/>
    </row>
    <row r="266" ht="15.75" customHeight="1">
      <c r="A266" s="19"/>
      <c r="B266" s="19"/>
      <c r="C266" s="19"/>
      <c r="D266" s="19"/>
      <c r="E266" s="19"/>
    </row>
    <row r="267" ht="15.75" customHeight="1">
      <c r="A267" s="19"/>
      <c r="B267" s="19"/>
      <c r="C267" s="19"/>
      <c r="D267" s="19"/>
      <c r="E267" s="19"/>
    </row>
    <row r="268" ht="15.75" customHeight="1">
      <c r="A268" s="19"/>
      <c r="B268" s="19"/>
      <c r="C268" s="19"/>
      <c r="D268" s="19"/>
      <c r="E268" s="19"/>
    </row>
    <row r="269" ht="15.75" customHeight="1">
      <c r="A269" s="19"/>
      <c r="B269" s="19"/>
      <c r="C269" s="19"/>
      <c r="D269" s="19"/>
      <c r="E269" s="19"/>
    </row>
    <row r="270" ht="15.75" customHeight="1">
      <c r="A270" s="19"/>
      <c r="B270" s="19"/>
      <c r="C270" s="19"/>
      <c r="D270" s="19"/>
      <c r="E270" s="19"/>
    </row>
    <row r="271" ht="15.75" customHeight="1">
      <c r="A271" s="19"/>
      <c r="B271" s="19"/>
      <c r="C271" s="19"/>
      <c r="D271" s="19"/>
      <c r="E271" s="19"/>
    </row>
    <row r="272" ht="15.75" customHeight="1">
      <c r="A272" s="19"/>
      <c r="B272" s="19"/>
      <c r="C272" s="19"/>
      <c r="D272" s="19"/>
      <c r="E272" s="19"/>
    </row>
    <row r="273" ht="15.75" customHeight="1">
      <c r="A273" s="19"/>
      <c r="B273" s="19"/>
      <c r="C273" s="19"/>
      <c r="D273" s="19"/>
      <c r="E273" s="19"/>
    </row>
    <row r="274" ht="15.75" customHeight="1">
      <c r="A274" s="19"/>
      <c r="B274" s="19"/>
      <c r="C274" s="19"/>
      <c r="D274" s="19"/>
      <c r="E274" s="19"/>
    </row>
    <row r="275" ht="15.75" customHeight="1">
      <c r="A275" s="19"/>
      <c r="B275" s="19"/>
      <c r="C275" s="19"/>
      <c r="D275" s="19"/>
      <c r="E275" s="19"/>
    </row>
    <row r="276" ht="15.75" customHeight="1">
      <c r="A276" s="19"/>
      <c r="B276" s="19"/>
      <c r="C276" s="19"/>
      <c r="D276" s="19"/>
      <c r="E276" s="19"/>
    </row>
    <row r="277" ht="15.75" customHeight="1">
      <c r="A277" s="19"/>
      <c r="B277" s="19"/>
      <c r="C277" s="19"/>
      <c r="D277" s="19"/>
      <c r="E277" s="19"/>
    </row>
    <row r="278" ht="15.75" customHeight="1">
      <c r="A278" s="19"/>
      <c r="B278" s="19"/>
      <c r="C278" s="19"/>
      <c r="D278" s="19"/>
      <c r="E278" s="19"/>
    </row>
    <row r="279" ht="15.75" customHeight="1">
      <c r="A279" s="19"/>
      <c r="B279" s="19"/>
      <c r="C279" s="19"/>
      <c r="D279" s="19"/>
      <c r="E279" s="19"/>
    </row>
    <row r="280" ht="15.75" customHeight="1">
      <c r="A280" s="19"/>
      <c r="B280" s="19"/>
      <c r="C280" s="19"/>
      <c r="D280" s="19"/>
      <c r="E280" s="19"/>
    </row>
    <row r="281" ht="15.75" customHeight="1">
      <c r="A281" s="19"/>
      <c r="B281" s="19"/>
      <c r="C281" s="19"/>
      <c r="D281" s="19"/>
      <c r="E281" s="19"/>
    </row>
    <row r="282" ht="15.75" customHeight="1">
      <c r="A282" s="19"/>
      <c r="B282" s="19"/>
      <c r="C282" s="19"/>
      <c r="D282" s="19"/>
      <c r="E282" s="19"/>
    </row>
    <row r="283" ht="15.75" customHeight="1">
      <c r="A283" s="19"/>
      <c r="B283" s="19"/>
      <c r="C283" s="19"/>
      <c r="D283" s="19"/>
      <c r="E283" s="19"/>
    </row>
    <row r="284" ht="15.75" customHeight="1">
      <c r="A284" s="19"/>
      <c r="B284" s="19"/>
      <c r="C284" s="19"/>
      <c r="D284" s="19"/>
      <c r="E284" s="19"/>
    </row>
    <row r="285" ht="15.75" customHeight="1">
      <c r="A285" s="19"/>
      <c r="B285" s="19"/>
      <c r="C285" s="19"/>
      <c r="D285" s="19"/>
      <c r="E285" s="19"/>
    </row>
    <row r="286" ht="15.75" customHeight="1">
      <c r="A286" s="19"/>
      <c r="B286" s="19"/>
      <c r="C286" s="19"/>
      <c r="D286" s="19"/>
      <c r="E286" s="19"/>
    </row>
    <row r="287" ht="15.75" customHeight="1">
      <c r="A287" s="19"/>
      <c r="B287" s="19"/>
      <c r="C287" s="19"/>
      <c r="D287" s="19"/>
      <c r="E287" s="19"/>
    </row>
    <row r="288" ht="15.75" customHeight="1">
      <c r="A288" s="19"/>
      <c r="B288" s="19"/>
      <c r="C288" s="19"/>
      <c r="D288" s="19"/>
      <c r="E288" s="19"/>
    </row>
    <row r="289" ht="15.75" customHeight="1">
      <c r="A289" s="19"/>
      <c r="B289" s="19"/>
      <c r="C289" s="19"/>
      <c r="D289" s="19"/>
      <c r="E289" s="19"/>
    </row>
    <row r="290" ht="15.75" customHeight="1">
      <c r="A290" s="19"/>
      <c r="B290" s="19"/>
      <c r="C290" s="19"/>
      <c r="D290" s="19"/>
      <c r="E290" s="19"/>
    </row>
    <row r="291" ht="15.75" customHeight="1">
      <c r="A291" s="19"/>
      <c r="B291" s="19"/>
      <c r="C291" s="19"/>
      <c r="D291" s="19"/>
      <c r="E291" s="19"/>
    </row>
    <row r="292" ht="15.75" customHeight="1">
      <c r="A292" s="19"/>
      <c r="B292" s="19"/>
      <c r="C292" s="19"/>
      <c r="D292" s="19"/>
      <c r="E292" s="19"/>
    </row>
    <row r="293" ht="15.75" customHeight="1">
      <c r="A293" s="19"/>
      <c r="B293" s="19"/>
      <c r="C293" s="19"/>
      <c r="D293" s="19"/>
      <c r="E293" s="19"/>
    </row>
    <row r="294" ht="15.75" customHeight="1">
      <c r="A294" s="19"/>
      <c r="B294" s="19"/>
      <c r="C294" s="19"/>
      <c r="D294" s="19"/>
      <c r="E294" s="19"/>
    </row>
    <row r="295" ht="15.75" customHeight="1">
      <c r="A295" s="19"/>
      <c r="B295" s="19"/>
      <c r="C295" s="19"/>
      <c r="D295" s="19"/>
      <c r="E295" s="19"/>
    </row>
    <row r="296" ht="15.75" customHeight="1">
      <c r="A296" s="19"/>
      <c r="B296" s="19"/>
      <c r="C296" s="19"/>
      <c r="D296" s="19"/>
      <c r="E296" s="19"/>
    </row>
    <row r="297" ht="15.75" customHeight="1">
      <c r="A297" s="19"/>
      <c r="B297" s="19"/>
      <c r="C297" s="19"/>
      <c r="D297" s="19"/>
      <c r="E297" s="19"/>
    </row>
    <row r="298" ht="15.75" customHeight="1">
      <c r="A298" s="19"/>
      <c r="B298" s="19"/>
      <c r="C298" s="19"/>
      <c r="D298" s="19"/>
      <c r="E298" s="19"/>
    </row>
    <row r="299" ht="15.75" customHeight="1">
      <c r="A299" s="19"/>
      <c r="B299" s="19"/>
      <c r="C299" s="19"/>
      <c r="D299" s="19"/>
      <c r="E299" s="19"/>
    </row>
    <row r="300" ht="15.75" customHeight="1">
      <c r="A300" s="19"/>
      <c r="B300" s="19"/>
      <c r="C300" s="19"/>
      <c r="D300" s="19"/>
      <c r="E300" s="19"/>
    </row>
    <row r="301" ht="15.75" customHeight="1">
      <c r="A301" s="19"/>
      <c r="B301" s="19"/>
      <c r="C301" s="19"/>
      <c r="D301" s="19"/>
      <c r="E301" s="19"/>
    </row>
    <row r="302" ht="15.75" customHeight="1">
      <c r="A302" s="19"/>
      <c r="B302" s="19"/>
      <c r="C302" s="19"/>
      <c r="D302" s="19"/>
      <c r="E302" s="19"/>
    </row>
    <row r="303" ht="15.75" customHeight="1">
      <c r="A303" s="19"/>
      <c r="B303" s="19"/>
      <c r="C303" s="19"/>
      <c r="D303" s="19"/>
      <c r="E303" s="19"/>
    </row>
    <row r="304" ht="15.75" customHeight="1">
      <c r="A304" s="19"/>
      <c r="B304" s="19"/>
      <c r="C304" s="19"/>
      <c r="D304" s="19"/>
      <c r="E304" s="19"/>
    </row>
    <row r="305" ht="15.75" customHeight="1">
      <c r="A305" s="19"/>
      <c r="B305" s="19"/>
      <c r="C305" s="19"/>
      <c r="D305" s="19"/>
      <c r="E305" s="19"/>
    </row>
    <row r="306" ht="15.75" customHeight="1">
      <c r="A306" s="19"/>
      <c r="B306" s="19"/>
      <c r="C306" s="19"/>
      <c r="D306" s="19"/>
      <c r="E306" s="19"/>
    </row>
    <row r="307" ht="15.75" customHeight="1">
      <c r="A307" s="19"/>
      <c r="B307" s="19"/>
      <c r="C307" s="19"/>
      <c r="D307" s="19"/>
      <c r="E307" s="19"/>
    </row>
    <row r="308" ht="15.75" customHeight="1">
      <c r="A308" s="19"/>
      <c r="B308" s="19"/>
      <c r="C308" s="19"/>
      <c r="D308" s="19"/>
      <c r="E308" s="19"/>
    </row>
    <row r="309" ht="15.75" customHeight="1">
      <c r="A309" s="19"/>
      <c r="B309" s="19"/>
      <c r="C309" s="19"/>
      <c r="D309" s="19"/>
      <c r="E309" s="19"/>
    </row>
    <row r="310" ht="15.75" customHeight="1">
      <c r="A310" s="19"/>
      <c r="B310" s="19"/>
      <c r="C310" s="19"/>
      <c r="D310" s="19"/>
      <c r="E310" s="19"/>
    </row>
    <row r="311" ht="15.75" customHeight="1">
      <c r="A311" s="19"/>
      <c r="B311" s="19"/>
      <c r="C311" s="19"/>
      <c r="D311" s="19"/>
      <c r="E311" s="19"/>
    </row>
    <row r="312" ht="15.75" customHeight="1">
      <c r="A312" s="19"/>
      <c r="B312" s="19"/>
      <c r="C312" s="19"/>
      <c r="D312" s="19"/>
      <c r="E312" s="19"/>
    </row>
    <row r="313" ht="15.75" customHeight="1">
      <c r="A313" s="19"/>
      <c r="B313" s="19"/>
      <c r="C313" s="19"/>
      <c r="D313" s="19"/>
      <c r="E313" s="19"/>
    </row>
    <row r="314" ht="15.75" customHeight="1">
      <c r="A314" s="19"/>
      <c r="B314" s="19"/>
      <c r="C314" s="19"/>
      <c r="D314" s="19"/>
      <c r="E314" s="19"/>
    </row>
    <row r="315" ht="15.75" customHeight="1">
      <c r="A315" s="19"/>
      <c r="B315" s="19"/>
      <c r="C315" s="19"/>
      <c r="D315" s="19"/>
      <c r="E315" s="19"/>
    </row>
    <row r="316" ht="15.75" customHeight="1">
      <c r="A316" s="19"/>
      <c r="B316" s="19"/>
      <c r="C316" s="19"/>
      <c r="D316" s="19"/>
      <c r="E316" s="19"/>
    </row>
    <row r="317" ht="15.75" customHeight="1">
      <c r="A317" s="19"/>
      <c r="B317" s="19"/>
      <c r="C317" s="19"/>
      <c r="D317" s="19"/>
      <c r="E317" s="19"/>
    </row>
    <row r="318" ht="15.75" customHeight="1">
      <c r="A318" s="19"/>
      <c r="B318" s="19"/>
      <c r="C318" s="19"/>
      <c r="D318" s="19"/>
      <c r="E318" s="19"/>
    </row>
    <row r="319" ht="15.75" customHeight="1">
      <c r="A319" s="19"/>
      <c r="B319" s="19"/>
      <c r="C319" s="19"/>
      <c r="D319" s="19"/>
      <c r="E319" s="19"/>
    </row>
    <row r="320" ht="15.75" customHeight="1">
      <c r="A320" s="19"/>
      <c r="B320" s="19"/>
      <c r="C320" s="19"/>
      <c r="D320" s="19"/>
      <c r="E320" s="19"/>
    </row>
    <row r="321" ht="15.75" customHeight="1">
      <c r="A321" s="19"/>
      <c r="B321" s="19"/>
      <c r="C321" s="19"/>
      <c r="D321" s="19"/>
      <c r="E321" s="19"/>
    </row>
    <row r="322" ht="15.75" customHeight="1">
      <c r="A322" s="19"/>
      <c r="B322" s="19"/>
      <c r="C322" s="19"/>
      <c r="D322" s="19"/>
      <c r="E322" s="19"/>
    </row>
    <row r="323" ht="15.75" customHeight="1">
      <c r="A323" s="19"/>
      <c r="B323" s="19"/>
      <c r="C323" s="19"/>
      <c r="D323" s="19"/>
      <c r="E323" s="19"/>
    </row>
    <row r="324" ht="15.75" customHeight="1">
      <c r="A324" s="19"/>
      <c r="B324" s="19"/>
      <c r="C324" s="19"/>
      <c r="D324" s="19"/>
      <c r="E324" s="19"/>
    </row>
    <row r="325" ht="15.75" customHeight="1">
      <c r="A325" s="19"/>
      <c r="B325" s="19"/>
      <c r="C325" s="19"/>
      <c r="D325" s="19"/>
      <c r="E325" s="19"/>
    </row>
    <row r="326" ht="15.75" customHeight="1">
      <c r="A326" s="19"/>
      <c r="B326" s="19"/>
      <c r="C326" s="19"/>
      <c r="D326" s="19"/>
      <c r="E326" s="19"/>
    </row>
    <row r="327" ht="15.75" customHeight="1">
      <c r="A327" s="19"/>
      <c r="B327" s="19"/>
      <c r="C327" s="19"/>
      <c r="D327" s="19"/>
      <c r="E327" s="19"/>
    </row>
    <row r="328" ht="15.75" customHeight="1">
      <c r="A328" s="19"/>
      <c r="B328" s="19"/>
      <c r="C328" s="19"/>
      <c r="D328" s="19"/>
      <c r="E328" s="19"/>
    </row>
    <row r="329" ht="15.75" customHeight="1">
      <c r="A329" s="19"/>
      <c r="B329" s="19"/>
      <c r="C329" s="19"/>
      <c r="D329" s="19"/>
      <c r="E329" s="19"/>
    </row>
    <row r="330" ht="15.75" customHeight="1">
      <c r="A330" s="19"/>
      <c r="B330" s="19"/>
      <c r="C330" s="19"/>
      <c r="D330" s="19"/>
      <c r="E330" s="19"/>
    </row>
    <row r="331" ht="15.75" customHeight="1">
      <c r="A331" s="19"/>
      <c r="B331" s="19"/>
      <c r="C331" s="19"/>
      <c r="D331" s="19"/>
      <c r="E331" s="19"/>
    </row>
    <row r="332" ht="15.75" customHeight="1">
      <c r="A332" s="19"/>
      <c r="B332" s="19"/>
      <c r="C332" s="19"/>
      <c r="D332" s="19"/>
      <c r="E332" s="19"/>
    </row>
    <row r="333" ht="15.75" customHeight="1">
      <c r="A333" s="19"/>
      <c r="B333" s="19"/>
      <c r="C333" s="19"/>
      <c r="D333" s="19"/>
      <c r="E333" s="19"/>
    </row>
    <row r="334" ht="15.75" customHeight="1">
      <c r="A334" s="19"/>
      <c r="B334" s="19"/>
      <c r="C334" s="19"/>
      <c r="D334" s="19"/>
      <c r="E334" s="19"/>
    </row>
    <row r="335" ht="15.75" customHeight="1">
      <c r="A335" s="19"/>
      <c r="B335" s="19"/>
      <c r="C335" s="19"/>
      <c r="D335" s="19"/>
      <c r="E335" s="19"/>
    </row>
    <row r="336" ht="15.75" customHeight="1">
      <c r="A336" s="19"/>
      <c r="B336" s="19"/>
      <c r="C336" s="19"/>
      <c r="D336" s="19"/>
      <c r="E336" s="19"/>
    </row>
    <row r="337" ht="15.75" customHeight="1">
      <c r="A337" s="19"/>
      <c r="B337" s="19"/>
      <c r="C337" s="19"/>
      <c r="D337" s="19"/>
      <c r="E337" s="19"/>
    </row>
    <row r="338" ht="15.75" customHeight="1">
      <c r="A338" s="19"/>
      <c r="B338" s="19"/>
      <c r="C338" s="19"/>
      <c r="D338" s="19"/>
      <c r="E338" s="19"/>
    </row>
    <row r="339" ht="15.75" customHeight="1">
      <c r="A339" s="19"/>
      <c r="B339" s="19"/>
      <c r="C339" s="19"/>
      <c r="D339" s="19"/>
      <c r="E339" s="19"/>
    </row>
    <row r="340" ht="15.75" customHeight="1">
      <c r="A340" s="19"/>
      <c r="B340" s="19"/>
      <c r="C340" s="19"/>
      <c r="D340" s="19"/>
      <c r="E340" s="19"/>
    </row>
    <row r="341" ht="15.75" customHeight="1">
      <c r="A341" s="19"/>
      <c r="B341" s="19"/>
      <c r="C341" s="19"/>
      <c r="D341" s="19"/>
      <c r="E341" s="19"/>
    </row>
    <row r="342" ht="15.75" customHeight="1">
      <c r="A342" s="19"/>
      <c r="B342" s="19"/>
      <c r="C342" s="19"/>
      <c r="D342" s="19"/>
      <c r="E342" s="19"/>
    </row>
    <row r="343" ht="15.75" customHeight="1">
      <c r="A343" s="19"/>
      <c r="B343" s="19"/>
      <c r="C343" s="19"/>
      <c r="D343" s="19"/>
      <c r="E343" s="19"/>
    </row>
    <row r="344" ht="15.75" customHeight="1">
      <c r="A344" s="19"/>
      <c r="B344" s="19"/>
      <c r="C344" s="19"/>
      <c r="D344" s="19"/>
      <c r="E344" s="19"/>
    </row>
    <row r="345" ht="15.75" customHeight="1">
      <c r="A345" s="19"/>
      <c r="B345" s="19"/>
      <c r="C345" s="19"/>
      <c r="D345" s="19"/>
      <c r="E345" s="19"/>
    </row>
    <row r="346" ht="15.75" customHeight="1">
      <c r="A346" s="19"/>
      <c r="B346" s="19"/>
      <c r="C346" s="19"/>
      <c r="D346" s="19"/>
      <c r="E346" s="19"/>
    </row>
    <row r="347" ht="15.75" customHeight="1">
      <c r="A347" s="19"/>
      <c r="B347" s="19"/>
      <c r="C347" s="19"/>
      <c r="D347" s="19"/>
      <c r="E347" s="19"/>
    </row>
    <row r="348" ht="15.75" customHeight="1">
      <c r="A348" s="19"/>
      <c r="B348" s="19"/>
      <c r="C348" s="19"/>
      <c r="D348" s="19"/>
      <c r="E348" s="19"/>
    </row>
    <row r="349" ht="15.75" customHeight="1">
      <c r="A349" s="19"/>
      <c r="B349" s="19"/>
      <c r="C349" s="19"/>
      <c r="D349" s="19"/>
      <c r="E349" s="19"/>
    </row>
    <row r="350" ht="15.75" customHeight="1">
      <c r="A350" s="19"/>
      <c r="B350" s="19"/>
      <c r="C350" s="19"/>
      <c r="D350" s="19"/>
      <c r="E350" s="19"/>
    </row>
    <row r="351" ht="15.75" customHeight="1">
      <c r="A351" s="19"/>
      <c r="B351" s="19"/>
      <c r="C351" s="19"/>
      <c r="D351" s="19"/>
      <c r="E351" s="19"/>
    </row>
    <row r="352" ht="15.75" customHeight="1">
      <c r="A352" s="19"/>
      <c r="B352" s="19"/>
      <c r="C352" s="19"/>
      <c r="D352" s="19"/>
      <c r="E352" s="19"/>
    </row>
    <row r="353" ht="15.75" customHeight="1">
      <c r="A353" s="19"/>
      <c r="B353" s="19"/>
      <c r="C353" s="19"/>
      <c r="D353" s="19"/>
      <c r="E353" s="19"/>
    </row>
    <row r="354" ht="15.75" customHeight="1">
      <c r="A354" s="19"/>
      <c r="B354" s="19"/>
      <c r="C354" s="19"/>
      <c r="D354" s="19"/>
      <c r="E354" s="19"/>
    </row>
    <row r="355" ht="15.75" customHeight="1">
      <c r="A355" s="19"/>
      <c r="B355" s="19"/>
      <c r="C355" s="19"/>
      <c r="D355" s="19"/>
      <c r="E355" s="19"/>
    </row>
    <row r="356" ht="15.75" customHeight="1">
      <c r="A356" s="19"/>
      <c r="B356" s="19"/>
      <c r="C356" s="19"/>
      <c r="D356" s="19"/>
      <c r="E356" s="19"/>
    </row>
    <row r="357" ht="15.75" customHeight="1">
      <c r="A357" s="19"/>
      <c r="B357" s="19"/>
      <c r="C357" s="19"/>
      <c r="D357" s="19"/>
      <c r="E357" s="19"/>
    </row>
    <row r="358" ht="15.75" customHeight="1">
      <c r="A358" s="19"/>
      <c r="B358" s="19"/>
      <c r="C358" s="19"/>
      <c r="D358" s="19"/>
      <c r="E358" s="19"/>
    </row>
    <row r="359" ht="15.75" customHeight="1">
      <c r="A359" s="19"/>
      <c r="B359" s="19"/>
      <c r="C359" s="19"/>
      <c r="D359" s="19"/>
      <c r="E359" s="19"/>
    </row>
    <row r="360" ht="15.75" customHeight="1">
      <c r="A360" s="19"/>
      <c r="B360" s="19"/>
      <c r="C360" s="19"/>
      <c r="D360" s="19"/>
      <c r="E360" s="19"/>
    </row>
    <row r="361" ht="15.75" customHeight="1">
      <c r="A361" s="19"/>
      <c r="B361" s="19"/>
      <c r="C361" s="19"/>
      <c r="D361" s="19"/>
      <c r="E361" s="19"/>
    </row>
    <row r="362" ht="15.75" customHeight="1">
      <c r="A362" s="19"/>
      <c r="B362" s="19"/>
      <c r="C362" s="19"/>
      <c r="D362" s="19"/>
      <c r="E362" s="19"/>
    </row>
    <row r="363" ht="15.75" customHeight="1">
      <c r="A363" s="19"/>
      <c r="B363" s="19"/>
      <c r="C363" s="19"/>
      <c r="D363" s="19"/>
      <c r="E363" s="19"/>
    </row>
    <row r="364" ht="15.75" customHeight="1">
      <c r="A364" s="19"/>
      <c r="B364" s="19"/>
      <c r="C364" s="19"/>
      <c r="D364" s="19"/>
      <c r="E364" s="19"/>
    </row>
    <row r="365" ht="15.75" customHeight="1">
      <c r="A365" s="19"/>
      <c r="B365" s="19"/>
      <c r="C365" s="19"/>
      <c r="D365" s="19"/>
      <c r="E365" s="19"/>
    </row>
    <row r="366" ht="15.75" customHeight="1">
      <c r="A366" s="19"/>
      <c r="B366" s="19"/>
      <c r="C366" s="19"/>
      <c r="D366" s="19"/>
      <c r="E366" s="19"/>
    </row>
    <row r="367" ht="15.75" customHeight="1">
      <c r="A367" s="19"/>
      <c r="B367" s="19"/>
      <c r="C367" s="19"/>
      <c r="D367" s="19"/>
      <c r="E367" s="19"/>
    </row>
    <row r="368" ht="15.75" customHeight="1">
      <c r="A368" s="19"/>
      <c r="B368" s="19"/>
      <c r="C368" s="19"/>
      <c r="D368" s="19"/>
      <c r="E368" s="19"/>
    </row>
    <row r="369" ht="15.75" customHeight="1">
      <c r="A369" s="19"/>
      <c r="B369" s="19"/>
      <c r="C369" s="19"/>
      <c r="D369" s="19"/>
      <c r="E369" s="19"/>
    </row>
    <row r="370" ht="15.75" customHeight="1">
      <c r="A370" s="19"/>
      <c r="B370" s="19"/>
      <c r="C370" s="19"/>
      <c r="D370" s="19"/>
      <c r="E370" s="19"/>
    </row>
    <row r="371" ht="15.75" customHeight="1">
      <c r="A371" s="19"/>
      <c r="B371" s="19"/>
      <c r="C371" s="19"/>
      <c r="D371" s="19"/>
      <c r="E371" s="19"/>
    </row>
    <row r="372" ht="15.75" customHeight="1">
      <c r="A372" s="19"/>
      <c r="B372" s="19"/>
      <c r="C372" s="19"/>
      <c r="D372" s="19"/>
      <c r="E372" s="19"/>
    </row>
    <row r="373" ht="15.75" customHeight="1">
      <c r="A373" s="19"/>
      <c r="B373" s="19"/>
      <c r="C373" s="19"/>
      <c r="D373" s="19"/>
      <c r="E373" s="19"/>
    </row>
    <row r="374" ht="15.75" customHeight="1">
      <c r="A374" s="19"/>
      <c r="B374" s="19"/>
      <c r="C374" s="19"/>
      <c r="D374" s="19"/>
      <c r="E374" s="19"/>
    </row>
    <row r="375" ht="15.75" customHeight="1">
      <c r="A375" s="19"/>
      <c r="B375" s="19"/>
      <c r="C375" s="19"/>
      <c r="D375" s="19"/>
      <c r="E375" s="19"/>
    </row>
    <row r="376" ht="15.75" customHeight="1">
      <c r="A376" s="19"/>
      <c r="B376" s="19"/>
      <c r="C376" s="19"/>
      <c r="D376" s="19"/>
      <c r="E376" s="19"/>
    </row>
    <row r="377" ht="15.75" customHeight="1">
      <c r="A377" s="19"/>
      <c r="B377" s="19"/>
      <c r="C377" s="19"/>
      <c r="D377" s="19"/>
      <c r="E377" s="19"/>
    </row>
    <row r="378" ht="15.75" customHeight="1">
      <c r="A378" s="19"/>
      <c r="B378" s="19"/>
      <c r="C378" s="19"/>
      <c r="D378" s="19"/>
      <c r="E378" s="19"/>
    </row>
    <row r="379" ht="15.75" customHeight="1">
      <c r="A379" s="19"/>
      <c r="B379" s="19"/>
      <c r="C379" s="19"/>
      <c r="D379" s="19"/>
      <c r="E379" s="19"/>
    </row>
    <row r="380" ht="15.75" customHeight="1">
      <c r="A380" s="19"/>
      <c r="B380" s="19"/>
      <c r="C380" s="19"/>
      <c r="D380" s="19"/>
      <c r="E380" s="19"/>
    </row>
    <row r="381" ht="15.75" customHeight="1">
      <c r="A381" s="19"/>
      <c r="B381" s="19"/>
      <c r="C381" s="19"/>
      <c r="D381" s="19"/>
      <c r="E381" s="19"/>
    </row>
    <row r="382" ht="15.75" customHeight="1">
      <c r="A382" s="19"/>
      <c r="B382" s="19"/>
      <c r="C382" s="19"/>
      <c r="D382" s="19"/>
      <c r="E382" s="19"/>
    </row>
    <row r="383" ht="15.75" customHeight="1">
      <c r="A383" s="19"/>
      <c r="B383" s="19"/>
      <c r="C383" s="19"/>
      <c r="D383" s="19"/>
      <c r="E383" s="19"/>
    </row>
    <row r="384" ht="15.75" customHeight="1">
      <c r="A384" s="19"/>
      <c r="B384" s="19"/>
      <c r="C384" s="19"/>
      <c r="D384" s="19"/>
      <c r="E384" s="19"/>
    </row>
    <row r="385" ht="15.75" customHeight="1">
      <c r="A385" s="19"/>
      <c r="B385" s="19"/>
      <c r="C385" s="19"/>
      <c r="D385" s="19"/>
      <c r="E385" s="19"/>
    </row>
    <row r="386" ht="15.75" customHeight="1">
      <c r="A386" s="19"/>
      <c r="B386" s="19"/>
      <c r="C386" s="19"/>
      <c r="D386" s="19"/>
      <c r="E386" s="19"/>
    </row>
    <row r="387" ht="15.75" customHeight="1">
      <c r="A387" s="19"/>
      <c r="B387" s="19"/>
      <c r="C387" s="19"/>
      <c r="D387" s="19"/>
      <c r="E387" s="19"/>
    </row>
    <row r="388" ht="15.75" customHeight="1">
      <c r="A388" s="19"/>
      <c r="B388" s="19"/>
      <c r="C388" s="19"/>
      <c r="D388" s="19"/>
      <c r="E388" s="19"/>
    </row>
    <row r="389" ht="15.75" customHeight="1">
      <c r="A389" s="19"/>
      <c r="B389" s="19"/>
      <c r="C389" s="19"/>
      <c r="D389" s="19"/>
      <c r="E389" s="19"/>
    </row>
    <row r="390" ht="15.75" customHeight="1">
      <c r="A390" s="19"/>
      <c r="B390" s="19"/>
      <c r="C390" s="19"/>
      <c r="D390" s="19"/>
      <c r="E390" s="19"/>
    </row>
    <row r="391" ht="15.75" customHeight="1">
      <c r="A391" s="19"/>
      <c r="B391" s="19"/>
      <c r="C391" s="19"/>
      <c r="D391" s="19"/>
      <c r="E391" s="19"/>
    </row>
    <row r="392" ht="15.75" customHeight="1">
      <c r="A392" s="19"/>
      <c r="B392" s="19"/>
      <c r="C392" s="19"/>
      <c r="D392" s="19"/>
      <c r="E392" s="19"/>
    </row>
    <row r="393" ht="15.75" customHeight="1">
      <c r="A393" s="19"/>
      <c r="B393" s="19"/>
      <c r="C393" s="19"/>
      <c r="D393" s="19"/>
      <c r="E393" s="19"/>
    </row>
    <row r="394" ht="15.75" customHeight="1">
      <c r="A394" s="19"/>
      <c r="B394" s="19"/>
      <c r="C394" s="19"/>
      <c r="D394" s="19"/>
      <c r="E394" s="19"/>
    </row>
    <row r="395" ht="15.75" customHeight="1">
      <c r="A395" s="19"/>
      <c r="B395" s="19"/>
      <c r="C395" s="19"/>
      <c r="D395" s="19"/>
      <c r="E395" s="19"/>
    </row>
    <row r="396" ht="15.75" customHeight="1">
      <c r="A396" s="19"/>
      <c r="B396" s="19"/>
      <c r="C396" s="19"/>
      <c r="D396" s="19"/>
      <c r="E396" s="19"/>
    </row>
    <row r="397" ht="15.75" customHeight="1">
      <c r="A397" s="19"/>
      <c r="B397" s="19"/>
      <c r="C397" s="19"/>
      <c r="D397" s="19"/>
      <c r="E397" s="19"/>
    </row>
    <row r="398" ht="15.75" customHeight="1">
      <c r="A398" s="19"/>
      <c r="B398" s="19"/>
      <c r="C398" s="19"/>
      <c r="D398" s="19"/>
      <c r="E398" s="19"/>
    </row>
    <row r="399" ht="15.75" customHeight="1">
      <c r="A399" s="19"/>
      <c r="B399" s="19"/>
      <c r="C399" s="19"/>
      <c r="D399" s="19"/>
      <c r="E399" s="19"/>
    </row>
    <row r="400" ht="15.75" customHeight="1">
      <c r="A400" s="19"/>
      <c r="B400" s="19"/>
      <c r="C400" s="19"/>
      <c r="D400" s="19"/>
      <c r="E400" s="19"/>
    </row>
    <row r="401" ht="15.75" customHeight="1">
      <c r="A401" s="19"/>
      <c r="B401" s="19"/>
      <c r="C401" s="19"/>
      <c r="D401" s="19"/>
      <c r="E401" s="19"/>
    </row>
    <row r="402" ht="15.75" customHeight="1">
      <c r="A402" s="19"/>
      <c r="B402" s="19"/>
      <c r="C402" s="19"/>
      <c r="D402" s="19"/>
      <c r="E402" s="19"/>
    </row>
    <row r="403" ht="15.75" customHeight="1">
      <c r="A403" s="19"/>
      <c r="B403" s="19"/>
      <c r="C403" s="19"/>
      <c r="D403" s="19"/>
      <c r="E403" s="19"/>
    </row>
    <row r="404" ht="15.75" customHeight="1">
      <c r="A404" s="19"/>
      <c r="B404" s="19"/>
      <c r="C404" s="19"/>
      <c r="D404" s="19"/>
      <c r="E404" s="19"/>
    </row>
    <row r="405" ht="15.75" customHeight="1">
      <c r="A405" s="19"/>
      <c r="B405" s="19"/>
      <c r="C405" s="19"/>
      <c r="D405" s="19"/>
      <c r="E405" s="19"/>
    </row>
    <row r="406" ht="15.75" customHeight="1">
      <c r="A406" s="19"/>
      <c r="B406" s="19"/>
      <c r="C406" s="19"/>
      <c r="D406" s="19"/>
      <c r="E406" s="19"/>
    </row>
    <row r="407" ht="15.75" customHeight="1">
      <c r="A407" s="19"/>
      <c r="B407" s="19"/>
      <c r="C407" s="19"/>
      <c r="D407" s="19"/>
      <c r="E407" s="19"/>
    </row>
    <row r="408" ht="15.75" customHeight="1">
      <c r="A408" s="19"/>
      <c r="B408" s="19"/>
      <c r="C408" s="19"/>
      <c r="D408" s="19"/>
      <c r="E408" s="19"/>
    </row>
    <row r="409" ht="15.75" customHeight="1">
      <c r="A409" s="19"/>
      <c r="B409" s="19"/>
      <c r="C409" s="19"/>
      <c r="D409" s="19"/>
      <c r="E409" s="19"/>
    </row>
    <row r="410" ht="15.75" customHeight="1">
      <c r="A410" s="19"/>
      <c r="B410" s="19"/>
      <c r="C410" s="19"/>
      <c r="D410" s="19"/>
      <c r="E410" s="19"/>
    </row>
    <row r="411" ht="15.75" customHeight="1">
      <c r="A411" s="19"/>
      <c r="B411" s="19"/>
      <c r="C411" s="19"/>
      <c r="D411" s="19"/>
      <c r="E411" s="19"/>
    </row>
    <row r="412" ht="15.75" customHeight="1">
      <c r="A412" s="19"/>
      <c r="B412" s="19"/>
      <c r="C412" s="19"/>
      <c r="D412" s="19"/>
      <c r="E412" s="19"/>
    </row>
    <row r="413" ht="15.75" customHeight="1">
      <c r="A413" s="19"/>
      <c r="B413" s="19"/>
      <c r="C413" s="19"/>
      <c r="D413" s="19"/>
      <c r="E413" s="19"/>
    </row>
    <row r="414" ht="15.75" customHeight="1">
      <c r="A414" s="19"/>
      <c r="B414" s="19"/>
      <c r="C414" s="19"/>
      <c r="D414" s="19"/>
      <c r="E414" s="19"/>
    </row>
    <row r="415" ht="15.75" customHeight="1">
      <c r="A415" s="19"/>
      <c r="B415" s="19"/>
      <c r="C415" s="19"/>
      <c r="D415" s="19"/>
      <c r="E415" s="19"/>
    </row>
    <row r="416" ht="15.75" customHeight="1">
      <c r="A416" s="19"/>
      <c r="B416" s="19"/>
      <c r="C416" s="19"/>
      <c r="D416" s="19"/>
      <c r="E416" s="19"/>
    </row>
    <row r="417" ht="15.75" customHeight="1">
      <c r="A417" s="19"/>
      <c r="B417" s="19"/>
      <c r="C417" s="19"/>
      <c r="D417" s="19"/>
      <c r="E417" s="19"/>
    </row>
    <row r="418" ht="15.75" customHeight="1">
      <c r="A418" s="19"/>
      <c r="B418" s="19"/>
      <c r="C418" s="19"/>
      <c r="D418" s="19"/>
      <c r="E418" s="19"/>
    </row>
    <row r="419" ht="15.75" customHeight="1">
      <c r="A419" s="19"/>
      <c r="B419" s="19"/>
      <c r="C419" s="19"/>
      <c r="D419" s="19"/>
      <c r="E419" s="19"/>
    </row>
    <row r="420" ht="15.75" customHeight="1">
      <c r="A420" s="19"/>
      <c r="B420" s="19"/>
      <c r="C420" s="19"/>
      <c r="D420" s="19"/>
      <c r="E420" s="19"/>
    </row>
    <row r="421" ht="15.75" customHeight="1">
      <c r="A421" s="19"/>
      <c r="B421" s="19"/>
      <c r="C421" s="19"/>
      <c r="D421" s="19"/>
      <c r="E421" s="19"/>
    </row>
    <row r="422" ht="15.75" customHeight="1">
      <c r="A422" s="19"/>
      <c r="B422" s="19"/>
      <c r="C422" s="19"/>
      <c r="D422" s="19"/>
      <c r="E422" s="19"/>
    </row>
    <row r="423" ht="15.75" customHeight="1">
      <c r="A423" s="19"/>
      <c r="B423" s="19"/>
      <c r="C423" s="19"/>
      <c r="D423" s="19"/>
      <c r="E423" s="19"/>
    </row>
    <row r="424" ht="15.75" customHeight="1">
      <c r="A424" s="19"/>
      <c r="B424" s="19"/>
      <c r="C424" s="19"/>
      <c r="D424" s="19"/>
      <c r="E424" s="19"/>
    </row>
    <row r="425" ht="15.75" customHeight="1">
      <c r="A425" s="19"/>
      <c r="B425" s="19"/>
      <c r="C425" s="19"/>
      <c r="D425" s="19"/>
      <c r="E425" s="19"/>
    </row>
    <row r="426" ht="15.75" customHeight="1">
      <c r="A426" s="19"/>
      <c r="B426" s="19"/>
      <c r="C426" s="19"/>
      <c r="D426" s="19"/>
      <c r="E426" s="19"/>
    </row>
    <row r="427" ht="15.75" customHeight="1">
      <c r="A427" s="19"/>
      <c r="B427" s="19"/>
      <c r="C427" s="19"/>
      <c r="D427" s="19"/>
      <c r="E427" s="19"/>
    </row>
    <row r="428" ht="15.75" customHeight="1">
      <c r="A428" s="19"/>
      <c r="B428" s="19"/>
      <c r="C428" s="19"/>
      <c r="D428" s="19"/>
      <c r="E428" s="19"/>
    </row>
    <row r="429" ht="15.75" customHeight="1">
      <c r="A429" s="19"/>
      <c r="B429" s="19"/>
      <c r="C429" s="19"/>
      <c r="D429" s="19"/>
      <c r="E429" s="19"/>
    </row>
    <row r="430" ht="15.75" customHeight="1">
      <c r="A430" s="19"/>
      <c r="B430" s="19"/>
      <c r="C430" s="19"/>
      <c r="D430" s="19"/>
      <c r="E430" s="19"/>
    </row>
    <row r="431" ht="15.75" customHeight="1">
      <c r="A431" s="19"/>
      <c r="B431" s="19"/>
      <c r="C431" s="19"/>
      <c r="D431" s="19"/>
      <c r="E431" s="19"/>
    </row>
    <row r="432" ht="15.75" customHeight="1">
      <c r="A432" s="19"/>
      <c r="B432" s="19"/>
      <c r="C432" s="19"/>
      <c r="D432" s="19"/>
      <c r="E432" s="19"/>
    </row>
    <row r="433" ht="15.75" customHeight="1">
      <c r="A433" s="19"/>
      <c r="B433" s="19"/>
      <c r="C433" s="19"/>
      <c r="D433" s="19"/>
      <c r="E433" s="19"/>
    </row>
    <row r="434" ht="15.75" customHeight="1">
      <c r="A434" s="19"/>
      <c r="B434" s="19"/>
      <c r="C434" s="19"/>
      <c r="D434" s="19"/>
      <c r="E434" s="19"/>
    </row>
    <row r="435" ht="15.75" customHeight="1">
      <c r="A435" s="19"/>
      <c r="B435" s="19"/>
      <c r="C435" s="19"/>
      <c r="D435" s="19"/>
      <c r="E435" s="19"/>
    </row>
    <row r="436" ht="15.75" customHeight="1">
      <c r="A436" s="19"/>
      <c r="B436" s="19"/>
      <c r="C436" s="19"/>
      <c r="D436" s="19"/>
      <c r="E436" s="19"/>
    </row>
    <row r="437" ht="15.75" customHeight="1">
      <c r="A437" s="19"/>
      <c r="B437" s="19"/>
      <c r="C437" s="19"/>
      <c r="D437" s="19"/>
      <c r="E437" s="19"/>
    </row>
    <row r="438" ht="15.75" customHeight="1">
      <c r="A438" s="19"/>
      <c r="B438" s="19"/>
      <c r="C438" s="19"/>
      <c r="D438" s="19"/>
      <c r="E438" s="19"/>
    </row>
    <row r="439" ht="15.75" customHeight="1">
      <c r="A439" s="19"/>
      <c r="B439" s="19"/>
      <c r="C439" s="19"/>
      <c r="D439" s="19"/>
      <c r="E439" s="19"/>
    </row>
    <row r="440" ht="15.75" customHeight="1">
      <c r="A440" s="19"/>
      <c r="B440" s="19"/>
      <c r="C440" s="19"/>
      <c r="D440" s="19"/>
      <c r="E440" s="19"/>
    </row>
    <row r="441" ht="15.75" customHeight="1">
      <c r="A441" s="19"/>
      <c r="B441" s="19"/>
      <c r="C441" s="19"/>
      <c r="D441" s="19"/>
      <c r="E441" s="19"/>
    </row>
    <row r="442" ht="15.75" customHeight="1">
      <c r="A442" s="19"/>
      <c r="B442" s="19"/>
      <c r="C442" s="19"/>
      <c r="D442" s="19"/>
      <c r="E442" s="19"/>
    </row>
    <row r="443" ht="15.75" customHeight="1">
      <c r="A443" s="19"/>
      <c r="B443" s="19"/>
      <c r="C443" s="19"/>
      <c r="D443" s="19"/>
      <c r="E443" s="19"/>
    </row>
    <row r="444" ht="15.75" customHeight="1">
      <c r="A444" s="19"/>
      <c r="B444" s="19"/>
      <c r="C444" s="19"/>
      <c r="D444" s="19"/>
      <c r="E444" s="19"/>
    </row>
    <row r="445" ht="15.75" customHeight="1">
      <c r="A445" s="19"/>
      <c r="B445" s="19"/>
      <c r="C445" s="19"/>
      <c r="D445" s="19"/>
      <c r="E445" s="19"/>
    </row>
    <row r="446" ht="15.75" customHeight="1">
      <c r="A446" s="19"/>
      <c r="B446" s="19"/>
      <c r="C446" s="19"/>
      <c r="D446" s="19"/>
      <c r="E446" s="19"/>
    </row>
    <row r="447" ht="15.75" customHeight="1">
      <c r="A447" s="19"/>
      <c r="B447" s="19"/>
      <c r="C447" s="19"/>
      <c r="D447" s="19"/>
      <c r="E447" s="19"/>
    </row>
    <row r="448" ht="15.75" customHeight="1">
      <c r="A448" s="19"/>
      <c r="B448" s="19"/>
      <c r="C448" s="19"/>
      <c r="D448" s="19"/>
      <c r="E448" s="19"/>
    </row>
    <row r="449" ht="15.75" customHeight="1">
      <c r="A449" s="19"/>
      <c r="B449" s="19"/>
      <c r="C449" s="19"/>
      <c r="D449" s="19"/>
      <c r="E449" s="19"/>
    </row>
    <row r="450" ht="15.75" customHeight="1">
      <c r="A450" s="19"/>
      <c r="B450" s="19"/>
      <c r="C450" s="19"/>
      <c r="D450" s="19"/>
      <c r="E450" s="19"/>
    </row>
    <row r="451" ht="15.75" customHeight="1">
      <c r="A451" s="19"/>
      <c r="B451" s="19"/>
      <c r="C451" s="19"/>
      <c r="D451" s="19"/>
      <c r="E451" s="19"/>
    </row>
    <row r="452" ht="15.75" customHeight="1">
      <c r="A452" s="19"/>
      <c r="B452" s="19"/>
      <c r="C452" s="19"/>
      <c r="D452" s="19"/>
      <c r="E452" s="19"/>
    </row>
    <row r="453" ht="15.75" customHeight="1">
      <c r="A453" s="19"/>
      <c r="B453" s="19"/>
      <c r="C453" s="19"/>
      <c r="D453" s="19"/>
      <c r="E453" s="19"/>
    </row>
    <row r="454" ht="15.75" customHeight="1">
      <c r="A454" s="19"/>
      <c r="B454" s="19"/>
      <c r="C454" s="19"/>
      <c r="D454" s="19"/>
      <c r="E454" s="19"/>
    </row>
    <row r="455" ht="15.75" customHeight="1">
      <c r="A455" s="19"/>
      <c r="B455" s="19"/>
      <c r="C455" s="19"/>
      <c r="D455" s="19"/>
      <c r="E455" s="19"/>
    </row>
    <row r="456" ht="15.75" customHeight="1">
      <c r="A456" s="19"/>
      <c r="B456" s="19"/>
      <c r="C456" s="19"/>
      <c r="D456" s="19"/>
      <c r="E456" s="19"/>
    </row>
    <row r="457" ht="15.75" customHeight="1">
      <c r="A457" s="19"/>
      <c r="B457" s="19"/>
      <c r="C457" s="19"/>
      <c r="D457" s="19"/>
      <c r="E457" s="19"/>
    </row>
    <row r="458" ht="15.75" customHeight="1">
      <c r="A458" s="19"/>
      <c r="B458" s="19"/>
      <c r="C458" s="19"/>
      <c r="D458" s="19"/>
      <c r="E458" s="19"/>
    </row>
    <row r="459" ht="15.75" customHeight="1">
      <c r="A459" s="19"/>
      <c r="B459" s="19"/>
      <c r="C459" s="19"/>
      <c r="D459" s="19"/>
      <c r="E459" s="19"/>
    </row>
    <row r="460" ht="15.75" customHeight="1">
      <c r="A460" s="19"/>
      <c r="B460" s="19"/>
      <c r="C460" s="19"/>
      <c r="D460" s="19"/>
      <c r="E460" s="19"/>
    </row>
    <row r="461" ht="15.75" customHeight="1">
      <c r="A461" s="19"/>
      <c r="B461" s="19"/>
      <c r="C461" s="19"/>
      <c r="D461" s="19"/>
      <c r="E461" s="19"/>
    </row>
    <row r="462" ht="15.75" customHeight="1">
      <c r="A462" s="19"/>
      <c r="B462" s="19"/>
      <c r="C462" s="19"/>
      <c r="D462" s="19"/>
      <c r="E462" s="19"/>
    </row>
    <row r="463" ht="15.75" customHeight="1">
      <c r="A463" s="19"/>
      <c r="B463" s="19"/>
      <c r="C463" s="19"/>
      <c r="D463" s="19"/>
      <c r="E463" s="19"/>
    </row>
    <row r="464" ht="15.75" customHeight="1">
      <c r="A464" s="19"/>
      <c r="B464" s="19"/>
      <c r="C464" s="19"/>
      <c r="D464" s="19"/>
      <c r="E464" s="19"/>
    </row>
    <row r="465" ht="15.75" customHeight="1">
      <c r="A465" s="19"/>
      <c r="B465" s="19"/>
      <c r="C465" s="19"/>
      <c r="D465" s="19"/>
      <c r="E465" s="19"/>
    </row>
    <row r="466" ht="15.75" customHeight="1">
      <c r="A466" s="19"/>
      <c r="B466" s="19"/>
      <c r="C466" s="19"/>
      <c r="D466" s="19"/>
      <c r="E466" s="19"/>
    </row>
    <row r="467" ht="15.75" customHeight="1">
      <c r="A467" s="19"/>
      <c r="B467" s="19"/>
      <c r="C467" s="19"/>
      <c r="D467" s="19"/>
      <c r="E467" s="19"/>
    </row>
    <row r="468" ht="15.75" customHeight="1">
      <c r="A468" s="19"/>
      <c r="B468" s="19"/>
      <c r="C468" s="19"/>
      <c r="D468" s="19"/>
      <c r="E468" s="19"/>
    </row>
    <row r="469" ht="15.75" customHeight="1">
      <c r="A469" s="19"/>
      <c r="B469" s="19"/>
      <c r="C469" s="19"/>
      <c r="D469" s="19"/>
      <c r="E469" s="19"/>
    </row>
    <row r="470" ht="15.75" customHeight="1">
      <c r="A470" s="19"/>
      <c r="B470" s="19"/>
      <c r="C470" s="19"/>
      <c r="D470" s="19"/>
      <c r="E470" s="19"/>
    </row>
    <row r="471" ht="15.75" customHeight="1">
      <c r="A471" s="19"/>
      <c r="B471" s="19"/>
      <c r="C471" s="19"/>
      <c r="D471" s="19"/>
      <c r="E471" s="19"/>
    </row>
    <row r="472" ht="15.75" customHeight="1">
      <c r="A472" s="19"/>
      <c r="B472" s="19"/>
      <c r="C472" s="19"/>
      <c r="D472" s="19"/>
      <c r="E472" s="19"/>
    </row>
    <row r="473" ht="15.75" customHeight="1">
      <c r="A473" s="19"/>
      <c r="B473" s="19"/>
      <c r="C473" s="19"/>
      <c r="D473" s="19"/>
      <c r="E473" s="19"/>
    </row>
    <row r="474" ht="15.75" customHeight="1">
      <c r="A474" s="19"/>
      <c r="B474" s="19"/>
      <c r="C474" s="19"/>
      <c r="D474" s="19"/>
      <c r="E474" s="19"/>
    </row>
    <row r="475" ht="15.75" customHeight="1">
      <c r="A475" s="19"/>
      <c r="B475" s="19"/>
      <c r="C475" s="19"/>
      <c r="D475" s="19"/>
      <c r="E475" s="19"/>
    </row>
    <row r="476" ht="15.75" customHeight="1">
      <c r="A476" s="19"/>
      <c r="B476" s="19"/>
      <c r="C476" s="19"/>
      <c r="D476" s="19"/>
      <c r="E476" s="19"/>
    </row>
    <row r="477" ht="15.75" customHeight="1">
      <c r="A477" s="19"/>
      <c r="B477" s="19"/>
      <c r="C477" s="19"/>
      <c r="D477" s="19"/>
      <c r="E477" s="19"/>
    </row>
    <row r="478" ht="15.75" customHeight="1">
      <c r="A478" s="19"/>
      <c r="B478" s="19"/>
      <c r="C478" s="19"/>
      <c r="D478" s="19"/>
      <c r="E478" s="19"/>
    </row>
    <row r="479" ht="15.75" customHeight="1">
      <c r="A479" s="19"/>
      <c r="B479" s="19"/>
      <c r="C479" s="19"/>
      <c r="D479" s="19"/>
      <c r="E479" s="19"/>
    </row>
    <row r="480" ht="15.75" customHeight="1">
      <c r="A480" s="19"/>
      <c r="B480" s="19"/>
      <c r="C480" s="19"/>
      <c r="D480" s="19"/>
      <c r="E480" s="19"/>
    </row>
    <row r="481" ht="15.75" customHeight="1">
      <c r="A481" s="19"/>
      <c r="B481" s="19"/>
      <c r="C481" s="19"/>
      <c r="D481" s="19"/>
      <c r="E481" s="19"/>
    </row>
    <row r="482" ht="15.75" customHeight="1">
      <c r="A482" s="19"/>
      <c r="B482" s="19"/>
      <c r="C482" s="19"/>
      <c r="D482" s="19"/>
      <c r="E482" s="19"/>
    </row>
    <row r="483" ht="15.75" customHeight="1">
      <c r="A483" s="19"/>
      <c r="B483" s="19"/>
      <c r="C483" s="19"/>
      <c r="D483" s="19"/>
      <c r="E483" s="19"/>
    </row>
    <row r="484" ht="15.75" customHeight="1">
      <c r="A484" s="19"/>
      <c r="B484" s="19"/>
      <c r="C484" s="19"/>
      <c r="D484" s="19"/>
      <c r="E484" s="19"/>
    </row>
    <row r="485" ht="15.75" customHeight="1">
      <c r="A485" s="19"/>
      <c r="B485" s="19"/>
      <c r="C485" s="19"/>
      <c r="D485" s="19"/>
      <c r="E485" s="19"/>
    </row>
    <row r="486" ht="15.75" customHeight="1">
      <c r="A486" s="19"/>
      <c r="B486" s="19"/>
      <c r="C486" s="19"/>
      <c r="D486" s="19"/>
      <c r="E486" s="19"/>
    </row>
    <row r="487" ht="15.75" customHeight="1">
      <c r="A487" s="19"/>
      <c r="B487" s="19"/>
      <c r="C487" s="19"/>
      <c r="D487" s="19"/>
      <c r="E487" s="19"/>
    </row>
    <row r="488" ht="15.75" customHeight="1">
      <c r="A488" s="19"/>
      <c r="B488" s="19"/>
      <c r="C488" s="19"/>
      <c r="D488" s="19"/>
      <c r="E488" s="19"/>
    </row>
    <row r="489" ht="15.75" customHeight="1">
      <c r="A489" s="19"/>
      <c r="B489" s="19"/>
      <c r="C489" s="19"/>
      <c r="D489" s="19"/>
      <c r="E489" s="19"/>
    </row>
    <row r="490" ht="15.75" customHeight="1">
      <c r="A490" s="19"/>
      <c r="B490" s="19"/>
      <c r="C490" s="19"/>
      <c r="D490" s="19"/>
      <c r="E490" s="19"/>
    </row>
    <row r="491" ht="15.75" customHeight="1">
      <c r="A491" s="19"/>
      <c r="B491" s="19"/>
      <c r="C491" s="19"/>
      <c r="D491" s="19"/>
      <c r="E491" s="19"/>
    </row>
    <row r="492" ht="15.75" customHeight="1">
      <c r="A492" s="19"/>
      <c r="B492" s="19"/>
      <c r="C492" s="19"/>
      <c r="D492" s="19"/>
      <c r="E492" s="19"/>
    </row>
    <row r="493" ht="15.75" customHeight="1">
      <c r="A493" s="19"/>
      <c r="B493" s="19"/>
      <c r="C493" s="19"/>
      <c r="D493" s="19"/>
      <c r="E493" s="19"/>
    </row>
    <row r="494" ht="15.75" customHeight="1">
      <c r="A494" s="19"/>
      <c r="B494" s="19"/>
      <c r="C494" s="19"/>
      <c r="D494" s="19"/>
      <c r="E494" s="19"/>
    </row>
    <row r="495" ht="15.75" customHeight="1">
      <c r="A495" s="19"/>
      <c r="B495" s="19"/>
      <c r="C495" s="19"/>
      <c r="D495" s="19"/>
      <c r="E495" s="19"/>
    </row>
    <row r="496" ht="15.75" customHeight="1">
      <c r="A496" s="19"/>
      <c r="B496" s="19"/>
      <c r="C496" s="19"/>
      <c r="D496" s="19"/>
      <c r="E496" s="19"/>
    </row>
    <row r="497" ht="15.75" customHeight="1">
      <c r="A497" s="19"/>
      <c r="B497" s="19"/>
      <c r="C497" s="19"/>
      <c r="D497" s="19"/>
      <c r="E497" s="19"/>
    </row>
    <row r="498" ht="15.75" customHeight="1">
      <c r="A498" s="19"/>
      <c r="B498" s="19"/>
      <c r="C498" s="19"/>
      <c r="D498" s="19"/>
      <c r="E498" s="19"/>
    </row>
    <row r="499" ht="15.75" customHeight="1">
      <c r="A499" s="19"/>
      <c r="B499" s="19"/>
      <c r="C499" s="19"/>
      <c r="D499" s="19"/>
      <c r="E499" s="19"/>
    </row>
    <row r="500" ht="15.75" customHeight="1">
      <c r="A500" s="19"/>
      <c r="B500" s="19"/>
      <c r="C500" s="19"/>
      <c r="D500" s="19"/>
      <c r="E500" s="19"/>
    </row>
    <row r="501" ht="15.75" customHeight="1">
      <c r="A501" s="19"/>
      <c r="B501" s="19"/>
      <c r="C501" s="19"/>
      <c r="D501" s="19"/>
      <c r="E501" s="19"/>
    </row>
    <row r="502" ht="15.75" customHeight="1">
      <c r="A502" s="19"/>
      <c r="B502" s="19"/>
      <c r="C502" s="19"/>
      <c r="D502" s="19"/>
      <c r="E502" s="19"/>
    </row>
    <row r="503" ht="15.75" customHeight="1">
      <c r="A503" s="19"/>
      <c r="B503" s="19"/>
      <c r="C503" s="19"/>
      <c r="D503" s="19"/>
      <c r="E503" s="19"/>
    </row>
    <row r="504" ht="15.75" customHeight="1">
      <c r="A504" s="19"/>
      <c r="B504" s="19"/>
      <c r="C504" s="19"/>
      <c r="D504" s="19"/>
      <c r="E504" s="19"/>
    </row>
    <row r="505" ht="15.75" customHeight="1">
      <c r="A505" s="19"/>
      <c r="B505" s="19"/>
      <c r="C505" s="19"/>
      <c r="D505" s="19"/>
      <c r="E505" s="19"/>
    </row>
    <row r="506" ht="15.75" customHeight="1">
      <c r="A506" s="19"/>
      <c r="B506" s="19"/>
      <c r="C506" s="19"/>
      <c r="D506" s="19"/>
      <c r="E506" s="19"/>
    </row>
    <row r="507" ht="15.75" customHeight="1">
      <c r="A507" s="19"/>
      <c r="B507" s="19"/>
      <c r="C507" s="19"/>
      <c r="D507" s="19"/>
      <c r="E507" s="19"/>
    </row>
    <row r="508" ht="15.75" customHeight="1">
      <c r="A508" s="19"/>
      <c r="B508" s="19"/>
      <c r="C508" s="19"/>
      <c r="D508" s="19"/>
      <c r="E508" s="19"/>
    </row>
    <row r="509" ht="15.75" customHeight="1">
      <c r="A509" s="19"/>
      <c r="B509" s="19"/>
      <c r="C509" s="19"/>
      <c r="D509" s="19"/>
      <c r="E509" s="19"/>
    </row>
    <row r="510" ht="15.75" customHeight="1">
      <c r="A510" s="19"/>
      <c r="B510" s="19"/>
      <c r="C510" s="19"/>
      <c r="D510" s="19"/>
      <c r="E510" s="19"/>
    </row>
    <row r="511" ht="15.75" customHeight="1">
      <c r="A511" s="19"/>
      <c r="B511" s="19"/>
      <c r="C511" s="19"/>
      <c r="D511" s="19"/>
      <c r="E511" s="19"/>
    </row>
    <row r="512" ht="15.75" customHeight="1">
      <c r="A512" s="19"/>
      <c r="B512" s="19"/>
      <c r="C512" s="19"/>
      <c r="D512" s="19"/>
      <c r="E512" s="19"/>
    </row>
    <row r="513" ht="15.75" customHeight="1">
      <c r="A513" s="19"/>
      <c r="B513" s="19"/>
      <c r="C513" s="19"/>
      <c r="D513" s="19"/>
      <c r="E513" s="19"/>
    </row>
    <row r="514" ht="15.75" customHeight="1">
      <c r="A514" s="19"/>
      <c r="B514" s="19"/>
      <c r="C514" s="19"/>
      <c r="D514" s="19"/>
      <c r="E514" s="19"/>
    </row>
    <row r="515" ht="15.75" customHeight="1">
      <c r="A515" s="19"/>
      <c r="B515" s="19"/>
      <c r="C515" s="19"/>
      <c r="D515" s="19"/>
      <c r="E515" s="19"/>
    </row>
    <row r="516" ht="15.75" customHeight="1">
      <c r="A516" s="19"/>
      <c r="B516" s="19"/>
      <c r="C516" s="19"/>
      <c r="D516" s="19"/>
      <c r="E516" s="19"/>
    </row>
    <row r="517" ht="15.75" customHeight="1">
      <c r="A517" s="19"/>
      <c r="B517" s="19"/>
      <c r="C517" s="19"/>
      <c r="D517" s="19"/>
      <c r="E517" s="19"/>
    </row>
    <row r="518" ht="15.75" customHeight="1">
      <c r="A518" s="19"/>
      <c r="B518" s="19"/>
      <c r="C518" s="19"/>
      <c r="D518" s="19"/>
      <c r="E518" s="19"/>
    </row>
    <row r="519" ht="15.75" customHeight="1">
      <c r="A519" s="19"/>
      <c r="B519" s="19"/>
      <c r="C519" s="19"/>
      <c r="D519" s="19"/>
      <c r="E519" s="19"/>
    </row>
    <row r="520" ht="15.75" customHeight="1">
      <c r="A520" s="19"/>
      <c r="B520" s="19"/>
      <c r="C520" s="19"/>
      <c r="D520" s="19"/>
      <c r="E520" s="19"/>
    </row>
    <row r="521" ht="15.75" customHeight="1">
      <c r="A521" s="19"/>
      <c r="B521" s="19"/>
      <c r="C521" s="19"/>
      <c r="D521" s="19"/>
      <c r="E521" s="19"/>
    </row>
    <row r="522" ht="15.75" customHeight="1">
      <c r="A522" s="19"/>
      <c r="B522" s="19"/>
      <c r="C522" s="19"/>
      <c r="D522" s="19"/>
      <c r="E522" s="19"/>
    </row>
    <row r="523" ht="15.75" customHeight="1">
      <c r="A523" s="19"/>
      <c r="B523" s="19"/>
      <c r="C523" s="19"/>
      <c r="D523" s="19"/>
      <c r="E523" s="19"/>
    </row>
    <row r="524" ht="15.75" customHeight="1">
      <c r="A524" s="19"/>
      <c r="B524" s="19"/>
      <c r="C524" s="19"/>
      <c r="D524" s="19"/>
      <c r="E524" s="19"/>
    </row>
    <row r="525" ht="15.75" customHeight="1">
      <c r="A525" s="19"/>
      <c r="B525" s="19"/>
      <c r="C525" s="19"/>
      <c r="D525" s="19"/>
      <c r="E525" s="19"/>
    </row>
    <row r="526" ht="15.75" customHeight="1">
      <c r="A526" s="19"/>
      <c r="B526" s="19"/>
      <c r="C526" s="19"/>
      <c r="D526" s="19"/>
      <c r="E526" s="19"/>
    </row>
    <row r="527" ht="15.75" customHeight="1">
      <c r="A527" s="19"/>
      <c r="B527" s="19"/>
      <c r="C527" s="19"/>
      <c r="D527" s="19"/>
      <c r="E527" s="19"/>
    </row>
    <row r="528" ht="15.75" customHeight="1">
      <c r="A528" s="19"/>
      <c r="B528" s="19"/>
      <c r="C528" s="19"/>
      <c r="D528" s="19"/>
      <c r="E528" s="19"/>
    </row>
    <row r="529" ht="15.75" customHeight="1">
      <c r="A529" s="19"/>
      <c r="B529" s="19"/>
      <c r="C529" s="19"/>
      <c r="D529" s="19"/>
      <c r="E529" s="19"/>
    </row>
    <row r="530" ht="15.75" customHeight="1">
      <c r="A530" s="19"/>
      <c r="B530" s="19"/>
      <c r="C530" s="19"/>
      <c r="D530" s="19"/>
      <c r="E530" s="19"/>
    </row>
    <row r="531" ht="15.75" customHeight="1">
      <c r="A531" s="19"/>
      <c r="B531" s="19"/>
      <c r="C531" s="19"/>
      <c r="D531" s="19"/>
      <c r="E531" s="19"/>
    </row>
    <row r="532" ht="15.75" customHeight="1">
      <c r="A532" s="19"/>
      <c r="B532" s="19"/>
      <c r="C532" s="19"/>
      <c r="D532" s="19"/>
      <c r="E532" s="19"/>
    </row>
    <row r="533" ht="15.75" customHeight="1">
      <c r="A533" s="19"/>
      <c r="B533" s="19"/>
      <c r="C533" s="19"/>
      <c r="D533" s="19"/>
      <c r="E533" s="19"/>
    </row>
    <row r="534" ht="15.75" customHeight="1">
      <c r="A534" s="19"/>
      <c r="B534" s="19"/>
      <c r="C534" s="19"/>
      <c r="D534" s="19"/>
      <c r="E534" s="19"/>
    </row>
    <row r="535" ht="15.75" customHeight="1">
      <c r="A535" s="19"/>
      <c r="B535" s="19"/>
      <c r="C535" s="19"/>
      <c r="D535" s="19"/>
      <c r="E535" s="19"/>
    </row>
    <row r="536" ht="15.75" customHeight="1">
      <c r="A536" s="19"/>
      <c r="B536" s="19"/>
      <c r="C536" s="19"/>
      <c r="D536" s="19"/>
      <c r="E536" s="19"/>
    </row>
    <row r="537" ht="15.75" customHeight="1">
      <c r="A537" s="19"/>
      <c r="B537" s="19"/>
      <c r="C537" s="19"/>
      <c r="D537" s="19"/>
      <c r="E537" s="19"/>
    </row>
    <row r="538" ht="15.75" customHeight="1">
      <c r="A538" s="19"/>
      <c r="B538" s="19"/>
      <c r="C538" s="19"/>
      <c r="D538" s="19"/>
      <c r="E538" s="19"/>
    </row>
    <row r="539" ht="15.75" customHeight="1">
      <c r="A539" s="19"/>
      <c r="B539" s="19"/>
      <c r="C539" s="19"/>
      <c r="D539" s="19"/>
      <c r="E539" s="19"/>
    </row>
    <row r="540" ht="15.75" customHeight="1">
      <c r="A540" s="19"/>
      <c r="B540" s="19"/>
      <c r="C540" s="19"/>
      <c r="D540" s="19"/>
      <c r="E540" s="19"/>
    </row>
    <row r="541" ht="15.75" customHeight="1">
      <c r="A541" s="19"/>
      <c r="B541" s="19"/>
      <c r="C541" s="19"/>
      <c r="D541" s="19"/>
      <c r="E541" s="19"/>
    </row>
    <row r="542" ht="15.75" customHeight="1">
      <c r="A542" s="19"/>
      <c r="B542" s="19"/>
      <c r="C542" s="19"/>
      <c r="D542" s="19"/>
      <c r="E542" s="19"/>
    </row>
    <row r="543" ht="15.75" customHeight="1">
      <c r="A543" s="19"/>
      <c r="B543" s="19"/>
      <c r="C543" s="19"/>
      <c r="D543" s="19"/>
      <c r="E543" s="19"/>
    </row>
    <row r="544" ht="15.75" customHeight="1">
      <c r="A544" s="19"/>
      <c r="B544" s="19"/>
      <c r="C544" s="19"/>
      <c r="D544" s="19"/>
      <c r="E544" s="19"/>
    </row>
    <row r="545" ht="15.75" customHeight="1">
      <c r="A545" s="19"/>
      <c r="B545" s="19"/>
      <c r="C545" s="19"/>
      <c r="D545" s="19"/>
      <c r="E545" s="19"/>
    </row>
    <row r="546" ht="15.75" customHeight="1">
      <c r="A546" s="19"/>
      <c r="B546" s="19"/>
      <c r="C546" s="19"/>
      <c r="D546" s="19"/>
      <c r="E546" s="19"/>
    </row>
    <row r="547" ht="15.75" customHeight="1">
      <c r="A547" s="19"/>
      <c r="B547" s="19"/>
      <c r="C547" s="19"/>
      <c r="D547" s="19"/>
      <c r="E547" s="19"/>
    </row>
    <row r="548" ht="15.75" customHeight="1">
      <c r="A548" s="19"/>
      <c r="B548" s="19"/>
      <c r="C548" s="19"/>
      <c r="D548" s="19"/>
      <c r="E548" s="19"/>
    </row>
    <row r="549" ht="15.75" customHeight="1">
      <c r="A549" s="19"/>
      <c r="B549" s="19"/>
      <c r="C549" s="19"/>
      <c r="D549" s="19"/>
      <c r="E549" s="19"/>
    </row>
    <row r="550" ht="15.75" customHeight="1">
      <c r="A550" s="19"/>
      <c r="B550" s="19"/>
      <c r="C550" s="19"/>
      <c r="D550" s="19"/>
      <c r="E550" s="19"/>
    </row>
    <row r="551" ht="15.75" customHeight="1">
      <c r="A551" s="19"/>
      <c r="B551" s="19"/>
      <c r="C551" s="19"/>
      <c r="D551" s="19"/>
      <c r="E551" s="19"/>
    </row>
    <row r="552" ht="15.75" customHeight="1">
      <c r="A552" s="19"/>
      <c r="B552" s="19"/>
      <c r="C552" s="19"/>
      <c r="D552" s="19"/>
      <c r="E552" s="19"/>
    </row>
    <row r="553" ht="15.75" customHeight="1">
      <c r="A553" s="19"/>
      <c r="B553" s="19"/>
      <c r="C553" s="19"/>
      <c r="D553" s="19"/>
      <c r="E553" s="19"/>
    </row>
    <row r="554" ht="15.75" customHeight="1">
      <c r="A554" s="19"/>
      <c r="B554" s="19"/>
      <c r="C554" s="19"/>
      <c r="D554" s="19"/>
      <c r="E554" s="19"/>
    </row>
    <row r="555" ht="15.75" customHeight="1">
      <c r="A555" s="19"/>
      <c r="B555" s="19"/>
      <c r="C555" s="19"/>
      <c r="D555" s="19"/>
      <c r="E555" s="19"/>
    </row>
    <row r="556" ht="15.75" customHeight="1">
      <c r="A556" s="19"/>
      <c r="B556" s="19"/>
      <c r="C556" s="19"/>
      <c r="D556" s="19"/>
      <c r="E556" s="19"/>
    </row>
    <row r="557" ht="15.75" customHeight="1">
      <c r="A557" s="19"/>
      <c r="B557" s="19"/>
      <c r="C557" s="19"/>
      <c r="D557" s="19"/>
      <c r="E557" s="19"/>
    </row>
    <row r="558" ht="15.75" customHeight="1">
      <c r="A558" s="19"/>
      <c r="B558" s="19"/>
      <c r="C558" s="19"/>
      <c r="D558" s="19"/>
      <c r="E558" s="19"/>
    </row>
    <row r="559" ht="15.75" customHeight="1">
      <c r="A559" s="19"/>
      <c r="B559" s="19"/>
      <c r="C559" s="19"/>
      <c r="D559" s="19"/>
      <c r="E559" s="19"/>
    </row>
    <row r="560" ht="15.75" customHeight="1">
      <c r="A560" s="19"/>
      <c r="B560" s="19"/>
      <c r="C560" s="19"/>
      <c r="D560" s="19"/>
      <c r="E560" s="19"/>
    </row>
    <row r="561" ht="15.75" customHeight="1">
      <c r="A561" s="19"/>
      <c r="B561" s="19"/>
      <c r="C561" s="19"/>
      <c r="D561" s="19"/>
      <c r="E561" s="19"/>
    </row>
    <row r="562" ht="15.75" customHeight="1">
      <c r="A562" s="19"/>
      <c r="B562" s="19"/>
      <c r="C562" s="19"/>
      <c r="D562" s="19"/>
      <c r="E562" s="19"/>
    </row>
    <row r="563" ht="15.75" customHeight="1">
      <c r="A563" s="19"/>
      <c r="B563" s="19"/>
      <c r="C563" s="19"/>
      <c r="D563" s="19"/>
      <c r="E563" s="19"/>
    </row>
    <row r="564" ht="15.75" customHeight="1">
      <c r="A564" s="19"/>
      <c r="B564" s="19"/>
      <c r="C564" s="19"/>
      <c r="D564" s="19"/>
      <c r="E564" s="19"/>
    </row>
    <row r="565" ht="15.75" customHeight="1">
      <c r="A565" s="19"/>
      <c r="B565" s="19"/>
      <c r="C565" s="19"/>
      <c r="D565" s="19"/>
      <c r="E565" s="19"/>
    </row>
    <row r="566" ht="15.75" customHeight="1">
      <c r="A566" s="19"/>
      <c r="B566" s="19"/>
      <c r="C566" s="19"/>
      <c r="D566" s="19"/>
      <c r="E566" s="19"/>
    </row>
    <row r="567" ht="15.75" customHeight="1">
      <c r="A567" s="19"/>
      <c r="B567" s="19"/>
      <c r="C567" s="19"/>
      <c r="D567" s="19"/>
      <c r="E567" s="19"/>
    </row>
    <row r="568" ht="15.75" customHeight="1">
      <c r="A568" s="19"/>
      <c r="B568" s="19"/>
      <c r="C568" s="19"/>
      <c r="D568" s="19"/>
      <c r="E568" s="19"/>
    </row>
    <row r="569" ht="15.75" customHeight="1">
      <c r="A569" s="19"/>
      <c r="B569" s="19"/>
      <c r="C569" s="19"/>
      <c r="D569" s="19"/>
      <c r="E569" s="19"/>
    </row>
    <row r="570" ht="15.75" customHeight="1">
      <c r="A570" s="19"/>
      <c r="B570" s="19"/>
      <c r="C570" s="19"/>
      <c r="D570" s="19"/>
      <c r="E570" s="19"/>
    </row>
    <row r="571" ht="15.75" customHeight="1">
      <c r="A571" s="19"/>
      <c r="B571" s="19"/>
      <c r="C571" s="19"/>
      <c r="D571" s="19"/>
      <c r="E571" s="19"/>
    </row>
    <row r="572" ht="15.75" customHeight="1">
      <c r="A572" s="19"/>
      <c r="B572" s="19"/>
      <c r="C572" s="19"/>
      <c r="D572" s="19"/>
      <c r="E572" s="19"/>
    </row>
    <row r="573" ht="15.75" customHeight="1">
      <c r="A573" s="19"/>
      <c r="B573" s="19"/>
      <c r="C573" s="19"/>
      <c r="D573" s="19"/>
      <c r="E573" s="19"/>
    </row>
    <row r="574" ht="15.75" customHeight="1">
      <c r="A574" s="19"/>
      <c r="B574" s="19"/>
      <c r="C574" s="19"/>
      <c r="D574" s="19"/>
      <c r="E574" s="19"/>
    </row>
    <row r="575" ht="15.75" customHeight="1">
      <c r="A575" s="19"/>
      <c r="B575" s="19"/>
      <c r="C575" s="19"/>
      <c r="D575" s="19"/>
      <c r="E575" s="19"/>
    </row>
    <row r="576" ht="15.75" customHeight="1">
      <c r="A576" s="19"/>
      <c r="B576" s="19"/>
      <c r="C576" s="19"/>
      <c r="D576" s="19"/>
      <c r="E576" s="19"/>
    </row>
    <row r="577" ht="15.75" customHeight="1">
      <c r="A577" s="19"/>
      <c r="B577" s="19"/>
      <c r="C577" s="19"/>
      <c r="D577" s="19"/>
      <c r="E577" s="19"/>
    </row>
    <row r="578" ht="15.75" customHeight="1">
      <c r="A578" s="19"/>
      <c r="B578" s="19"/>
      <c r="C578" s="19"/>
      <c r="D578" s="19"/>
      <c r="E578" s="19"/>
    </row>
    <row r="579" ht="15.75" customHeight="1">
      <c r="A579" s="19"/>
      <c r="B579" s="19"/>
      <c r="C579" s="19"/>
      <c r="D579" s="19"/>
      <c r="E579" s="19"/>
    </row>
    <row r="580" ht="15.75" customHeight="1">
      <c r="A580" s="19"/>
      <c r="B580" s="19"/>
      <c r="C580" s="19"/>
      <c r="D580" s="19"/>
      <c r="E580" s="19"/>
    </row>
    <row r="581" ht="15.75" customHeight="1">
      <c r="A581" s="19"/>
      <c r="B581" s="19"/>
      <c r="C581" s="19"/>
      <c r="D581" s="19"/>
      <c r="E581" s="19"/>
    </row>
    <row r="582" ht="15.75" customHeight="1">
      <c r="A582" s="19"/>
      <c r="B582" s="19"/>
      <c r="C582" s="19"/>
      <c r="D582" s="19"/>
      <c r="E582" s="19"/>
    </row>
    <row r="583" ht="15.75" customHeight="1">
      <c r="A583" s="19"/>
      <c r="B583" s="19"/>
      <c r="C583" s="19"/>
      <c r="D583" s="19"/>
      <c r="E583" s="19"/>
    </row>
    <row r="584" ht="15.75" customHeight="1">
      <c r="A584" s="19"/>
      <c r="B584" s="19"/>
      <c r="C584" s="19"/>
      <c r="D584" s="19"/>
      <c r="E584" s="19"/>
    </row>
    <row r="585" ht="15.75" customHeight="1">
      <c r="A585" s="19"/>
      <c r="B585" s="19"/>
      <c r="C585" s="19"/>
      <c r="D585" s="19"/>
      <c r="E585" s="19"/>
    </row>
    <row r="586" ht="15.75" customHeight="1">
      <c r="A586" s="19"/>
      <c r="B586" s="19"/>
      <c r="C586" s="19"/>
      <c r="D586" s="19"/>
      <c r="E586" s="19"/>
    </row>
    <row r="587" ht="15.75" customHeight="1">
      <c r="A587" s="19"/>
      <c r="B587" s="19"/>
      <c r="C587" s="19"/>
      <c r="D587" s="19"/>
      <c r="E587" s="19"/>
    </row>
    <row r="588" ht="15.75" customHeight="1">
      <c r="A588" s="19"/>
      <c r="B588" s="19"/>
      <c r="C588" s="19"/>
      <c r="D588" s="19"/>
      <c r="E588" s="19"/>
    </row>
    <row r="589" ht="15.75" customHeight="1">
      <c r="A589" s="19"/>
      <c r="B589" s="19"/>
      <c r="C589" s="19"/>
      <c r="D589" s="19"/>
      <c r="E589" s="19"/>
    </row>
    <row r="590" ht="15.75" customHeight="1">
      <c r="A590" s="19"/>
      <c r="B590" s="19"/>
      <c r="C590" s="19"/>
      <c r="D590" s="19"/>
      <c r="E590" s="19"/>
    </row>
    <row r="591" ht="15.75" customHeight="1">
      <c r="A591" s="19"/>
      <c r="B591" s="19"/>
      <c r="C591" s="19"/>
      <c r="D591" s="19"/>
      <c r="E591" s="19"/>
    </row>
    <row r="592" ht="15.75" customHeight="1">
      <c r="A592" s="19"/>
      <c r="B592" s="19"/>
      <c r="C592" s="19"/>
      <c r="D592" s="19"/>
      <c r="E592" s="19"/>
    </row>
    <row r="593" ht="15.75" customHeight="1">
      <c r="A593" s="19"/>
      <c r="B593" s="19"/>
      <c r="C593" s="19"/>
      <c r="D593" s="19"/>
      <c r="E593" s="19"/>
    </row>
    <row r="594" ht="15.75" customHeight="1">
      <c r="A594" s="19"/>
      <c r="B594" s="19"/>
      <c r="C594" s="19"/>
      <c r="D594" s="19"/>
      <c r="E594" s="19"/>
    </row>
    <row r="595" ht="15.75" customHeight="1">
      <c r="A595" s="19"/>
      <c r="B595" s="19"/>
      <c r="C595" s="19"/>
      <c r="D595" s="19"/>
      <c r="E595" s="19"/>
    </row>
    <row r="596" ht="15.75" customHeight="1">
      <c r="A596" s="19"/>
      <c r="B596" s="19"/>
      <c r="C596" s="19"/>
      <c r="D596" s="19"/>
      <c r="E596" s="19"/>
    </row>
    <row r="597" ht="15.75" customHeight="1">
      <c r="A597" s="19"/>
      <c r="B597" s="19"/>
      <c r="C597" s="19"/>
      <c r="D597" s="19"/>
      <c r="E597" s="19"/>
    </row>
    <row r="598" ht="15.75" customHeight="1">
      <c r="A598" s="19"/>
      <c r="B598" s="19"/>
      <c r="C598" s="19"/>
      <c r="D598" s="19"/>
      <c r="E598" s="19"/>
    </row>
    <row r="599" ht="15.75" customHeight="1">
      <c r="A599" s="19"/>
      <c r="B599" s="19"/>
      <c r="C599" s="19"/>
      <c r="D599" s="19"/>
      <c r="E599" s="19"/>
    </row>
    <row r="600" ht="15.75" customHeight="1">
      <c r="A600" s="19"/>
      <c r="B600" s="19"/>
      <c r="C600" s="19"/>
      <c r="D600" s="19"/>
      <c r="E600" s="19"/>
    </row>
    <row r="601" ht="15.75" customHeight="1">
      <c r="A601" s="19"/>
      <c r="B601" s="19"/>
      <c r="C601" s="19"/>
      <c r="D601" s="19"/>
      <c r="E601" s="19"/>
    </row>
    <row r="602" ht="15.75" customHeight="1">
      <c r="A602" s="19"/>
      <c r="B602" s="19"/>
      <c r="C602" s="19"/>
      <c r="D602" s="19"/>
      <c r="E602" s="19"/>
    </row>
    <row r="603" ht="15.75" customHeight="1">
      <c r="A603" s="19"/>
      <c r="B603" s="19"/>
      <c r="C603" s="19"/>
      <c r="D603" s="19"/>
      <c r="E603" s="19"/>
    </row>
    <row r="604" ht="15.75" customHeight="1">
      <c r="A604" s="19"/>
      <c r="B604" s="19"/>
      <c r="C604" s="19"/>
      <c r="D604" s="19"/>
      <c r="E604" s="19"/>
    </row>
    <row r="605" ht="15.75" customHeight="1">
      <c r="A605" s="19"/>
      <c r="B605" s="19"/>
      <c r="C605" s="19"/>
      <c r="D605" s="19"/>
      <c r="E605" s="19"/>
    </row>
    <row r="606" ht="15.75" customHeight="1">
      <c r="A606" s="19"/>
      <c r="B606" s="19"/>
      <c r="C606" s="19"/>
      <c r="D606" s="19"/>
      <c r="E606" s="19"/>
    </row>
    <row r="607" ht="15.75" customHeight="1">
      <c r="A607" s="19"/>
      <c r="B607" s="19"/>
      <c r="C607" s="19"/>
      <c r="D607" s="19"/>
      <c r="E607" s="19"/>
    </row>
    <row r="608" ht="15.75" customHeight="1">
      <c r="A608" s="19"/>
      <c r="B608" s="19"/>
      <c r="C608" s="19"/>
      <c r="D608" s="19"/>
      <c r="E608" s="19"/>
    </row>
    <row r="609" ht="15.75" customHeight="1">
      <c r="A609" s="19"/>
      <c r="B609" s="19"/>
      <c r="C609" s="19"/>
      <c r="D609" s="19"/>
      <c r="E609" s="19"/>
    </row>
    <row r="610" ht="15.75" customHeight="1">
      <c r="A610" s="19"/>
      <c r="B610" s="19"/>
      <c r="C610" s="19"/>
      <c r="D610" s="19"/>
      <c r="E610" s="19"/>
    </row>
    <row r="611" ht="15.75" customHeight="1">
      <c r="A611" s="19"/>
      <c r="B611" s="19"/>
      <c r="C611" s="19"/>
      <c r="D611" s="19"/>
      <c r="E611" s="19"/>
    </row>
    <row r="612" ht="15.75" customHeight="1">
      <c r="A612" s="19"/>
      <c r="B612" s="19"/>
      <c r="C612" s="19"/>
      <c r="D612" s="19"/>
      <c r="E612" s="19"/>
    </row>
    <row r="613" ht="15.75" customHeight="1">
      <c r="A613" s="19"/>
      <c r="B613" s="19"/>
      <c r="C613" s="19"/>
      <c r="D613" s="19"/>
      <c r="E613" s="19"/>
    </row>
    <row r="614" ht="15.75" customHeight="1">
      <c r="A614" s="19"/>
      <c r="B614" s="19"/>
      <c r="C614" s="19"/>
      <c r="D614" s="19"/>
      <c r="E614" s="19"/>
    </row>
    <row r="615" ht="15.75" customHeight="1">
      <c r="A615" s="19"/>
      <c r="B615" s="19"/>
      <c r="C615" s="19"/>
      <c r="D615" s="19"/>
      <c r="E615" s="19"/>
    </row>
    <row r="616" ht="15.75" customHeight="1">
      <c r="A616" s="19"/>
      <c r="B616" s="19"/>
      <c r="C616" s="19"/>
      <c r="D616" s="19"/>
      <c r="E616" s="19"/>
    </row>
    <row r="617" ht="15.75" customHeight="1">
      <c r="A617" s="19"/>
      <c r="B617" s="19"/>
      <c r="C617" s="19"/>
      <c r="D617" s="19"/>
      <c r="E617" s="19"/>
    </row>
    <row r="618" ht="15.75" customHeight="1">
      <c r="A618" s="19"/>
      <c r="B618" s="19"/>
      <c r="C618" s="19"/>
      <c r="D618" s="19"/>
      <c r="E618" s="19"/>
    </row>
    <row r="619" ht="15.75" customHeight="1">
      <c r="A619" s="19"/>
      <c r="B619" s="19"/>
      <c r="C619" s="19"/>
      <c r="D619" s="19"/>
      <c r="E619" s="19"/>
    </row>
    <row r="620" ht="15.75" customHeight="1">
      <c r="A620" s="19"/>
      <c r="B620" s="19"/>
      <c r="C620" s="19"/>
      <c r="D620" s="19"/>
      <c r="E620" s="19"/>
    </row>
    <row r="621" ht="15.75" customHeight="1">
      <c r="A621" s="19"/>
      <c r="B621" s="19"/>
      <c r="C621" s="19"/>
      <c r="D621" s="19"/>
      <c r="E621" s="19"/>
    </row>
    <row r="622" ht="15.75" customHeight="1">
      <c r="A622" s="19"/>
      <c r="B622" s="19"/>
      <c r="C622" s="19"/>
      <c r="D622" s="19"/>
      <c r="E622" s="19"/>
    </row>
    <row r="623" ht="15.75" customHeight="1">
      <c r="A623" s="19"/>
      <c r="B623" s="19"/>
      <c r="C623" s="19"/>
      <c r="D623" s="19"/>
      <c r="E623" s="19"/>
    </row>
    <row r="624" ht="15.75" customHeight="1">
      <c r="A624" s="19"/>
      <c r="B624" s="19"/>
      <c r="C624" s="19"/>
      <c r="D624" s="19"/>
      <c r="E624" s="19"/>
    </row>
    <row r="625" ht="15.75" customHeight="1">
      <c r="A625" s="19"/>
      <c r="B625" s="19"/>
      <c r="C625" s="19"/>
      <c r="D625" s="19"/>
      <c r="E625" s="19"/>
    </row>
    <row r="626" ht="15.75" customHeight="1">
      <c r="A626" s="19"/>
      <c r="B626" s="19"/>
      <c r="C626" s="19"/>
      <c r="D626" s="19"/>
      <c r="E626" s="19"/>
    </row>
    <row r="627" ht="15.75" customHeight="1">
      <c r="A627" s="19"/>
      <c r="B627" s="19"/>
      <c r="C627" s="19"/>
      <c r="D627" s="19"/>
      <c r="E627" s="19"/>
    </row>
    <row r="628" ht="15.75" customHeight="1">
      <c r="A628" s="19"/>
      <c r="B628" s="19"/>
      <c r="C628" s="19"/>
      <c r="D628" s="19"/>
      <c r="E628" s="19"/>
    </row>
    <row r="629" ht="15.75" customHeight="1">
      <c r="A629" s="19"/>
      <c r="B629" s="19"/>
      <c r="C629" s="19"/>
      <c r="D629" s="19"/>
      <c r="E629" s="19"/>
    </row>
    <row r="630" ht="15.75" customHeight="1">
      <c r="A630" s="19"/>
      <c r="B630" s="19"/>
      <c r="C630" s="19"/>
      <c r="D630" s="19"/>
      <c r="E630" s="19"/>
    </row>
    <row r="631" ht="15.75" customHeight="1">
      <c r="A631" s="19"/>
      <c r="B631" s="19"/>
      <c r="C631" s="19"/>
      <c r="D631" s="19"/>
      <c r="E631" s="19"/>
    </row>
    <row r="632" ht="15.75" customHeight="1">
      <c r="A632" s="19"/>
      <c r="B632" s="19"/>
      <c r="C632" s="19"/>
      <c r="D632" s="19"/>
      <c r="E632" s="19"/>
    </row>
    <row r="633" ht="15.75" customHeight="1">
      <c r="A633" s="19"/>
      <c r="B633" s="19"/>
      <c r="C633" s="19"/>
      <c r="D633" s="19"/>
      <c r="E633" s="19"/>
    </row>
    <row r="634" ht="15.75" customHeight="1">
      <c r="A634" s="19"/>
      <c r="B634" s="19"/>
      <c r="C634" s="19"/>
      <c r="D634" s="19"/>
      <c r="E634" s="19"/>
    </row>
    <row r="635" ht="15.75" customHeight="1">
      <c r="A635" s="19"/>
      <c r="B635" s="19"/>
      <c r="C635" s="19"/>
      <c r="D635" s="19"/>
      <c r="E635" s="19"/>
    </row>
    <row r="636" ht="15.75" customHeight="1">
      <c r="A636" s="19"/>
      <c r="B636" s="19"/>
      <c r="C636" s="19"/>
      <c r="D636" s="19"/>
      <c r="E636" s="19"/>
    </row>
    <row r="637" ht="15.75" customHeight="1">
      <c r="A637" s="19"/>
      <c r="B637" s="19"/>
      <c r="C637" s="19"/>
      <c r="D637" s="19"/>
      <c r="E637" s="19"/>
    </row>
    <row r="638" ht="15.75" customHeight="1">
      <c r="A638" s="19"/>
      <c r="B638" s="19"/>
      <c r="C638" s="19"/>
      <c r="D638" s="19"/>
      <c r="E638" s="19"/>
    </row>
    <row r="639" ht="15.75" customHeight="1">
      <c r="A639" s="19"/>
      <c r="B639" s="19"/>
      <c r="C639" s="19"/>
      <c r="D639" s="19"/>
      <c r="E639" s="19"/>
    </row>
    <row r="640" ht="15.75" customHeight="1">
      <c r="A640" s="19"/>
      <c r="B640" s="19"/>
      <c r="C640" s="19"/>
      <c r="D640" s="19"/>
      <c r="E640" s="19"/>
    </row>
    <row r="641" ht="15.75" customHeight="1">
      <c r="A641" s="19"/>
      <c r="B641" s="19"/>
      <c r="C641" s="19"/>
      <c r="D641" s="19"/>
      <c r="E641" s="19"/>
    </row>
    <row r="642" ht="15.75" customHeight="1">
      <c r="A642" s="19"/>
      <c r="B642" s="19"/>
      <c r="C642" s="19"/>
      <c r="D642" s="19"/>
      <c r="E642" s="19"/>
    </row>
    <row r="643" ht="15.75" customHeight="1">
      <c r="A643" s="19"/>
      <c r="B643" s="19"/>
      <c r="C643" s="19"/>
      <c r="D643" s="19"/>
      <c r="E643" s="19"/>
    </row>
    <row r="644" ht="15.75" customHeight="1">
      <c r="A644" s="19"/>
      <c r="B644" s="19"/>
      <c r="C644" s="19"/>
      <c r="D644" s="19"/>
      <c r="E644" s="19"/>
    </row>
    <row r="645" ht="15.75" customHeight="1">
      <c r="A645" s="19"/>
      <c r="B645" s="19"/>
      <c r="C645" s="19"/>
      <c r="D645" s="19"/>
      <c r="E645" s="19"/>
    </row>
    <row r="646" ht="15.75" customHeight="1">
      <c r="A646" s="19"/>
      <c r="B646" s="19"/>
      <c r="C646" s="19"/>
      <c r="D646" s="19"/>
      <c r="E646" s="19"/>
    </row>
    <row r="647" ht="15.75" customHeight="1">
      <c r="A647" s="19"/>
      <c r="B647" s="19"/>
      <c r="C647" s="19"/>
      <c r="D647" s="19"/>
      <c r="E647" s="19"/>
    </row>
    <row r="648" ht="15.75" customHeight="1">
      <c r="A648" s="19"/>
      <c r="B648" s="19"/>
      <c r="C648" s="19"/>
      <c r="D648" s="19"/>
      <c r="E648" s="19"/>
    </row>
    <row r="649" ht="15.75" customHeight="1">
      <c r="A649" s="19"/>
      <c r="B649" s="19"/>
      <c r="C649" s="19"/>
      <c r="D649" s="19"/>
      <c r="E649" s="19"/>
    </row>
    <row r="650" ht="15.75" customHeight="1">
      <c r="A650" s="19"/>
      <c r="B650" s="19"/>
      <c r="C650" s="19"/>
      <c r="D650" s="19"/>
      <c r="E650" s="19"/>
    </row>
    <row r="651" ht="15.75" customHeight="1">
      <c r="A651" s="19"/>
      <c r="B651" s="19"/>
      <c r="C651" s="19"/>
      <c r="D651" s="19"/>
      <c r="E651" s="19"/>
    </row>
    <row r="652" ht="15.75" customHeight="1">
      <c r="A652" s="19"/>
      <c r="B652" s="19"/>
      <c r="C652" s="19"/>
      <c r="D652" s="19"/>
      <c r="E652" s="19"/>
    </row>
    <row r="653" ht="15.75" customHeight="1">
      <c r="A653" s="19"/>
      <c r="B653" s="19"/>
      <c r="C653" s="19"/>
      <c r="D653" s="19"/>
      <c r="E653" s="19"/>
    </row>
    <row r="654" ht="15.75" customHeight="1">
      <c r="A654" s="19"/>
      <c r="B654" s="19"/>
      <c r="C654" s="19"/>
      <c r="D654" s="19"/>
      <c r="E654" s="19"/>
    </row>
    <row r="655" ht="15.75" customHeight="1">
      <c r="A655" s="19"/>
      <c r="B655" s="19"/>
      <c r="C655" s="19"/>
      <c r="D655" s="19"/>
      <c r="E655" s="19"/>
    </row>
    <row r="656" ht="15.75" customHeight="1">
      <c r="A656" s="19"/>
      <c r="B656" s="19"/>
      <c r="C656" s="19"/>
      <c r="D656" s="19"/>
      <c r="E656" s="19"/>
    </row>
    <row r="657" ht="15.75" customHeight="1">
      <c r="A657" s="19"/>
      <c r="B657" s="19"/>
      <c r="C657" s="19"/>
      <c r="D657" s="19"/>
      <c r="E657" s="19"/>
    </row>
    <row r="658" ht="15.75" customHeight="1">
      <c r="A658" s="19"/>
      <c r="B658" s="19"/>
      <c r="C658" s="19"/>
      <c r="D658" s="19"/>
      <c r="E658" s="19"/>
    </row>
    <row r="659" ht="15.75" customHeight="1">
      <c r="A659" s="19"/>
      <c r="B659" s="19"/>
      <c r="C659" s="19"/>
      <c r="D659" s="19"/>
      <c r="E659" s="19"/>
    </row>
    <row r="660" ht="15.75" customHeight="1">
      <c r="A660" s="19"/>
      <c r="B660" s="19"/>
      <c r="C660" s="19"/>
      <c r="D660" s="19"/>
      <c r="E660" s="19"/>
    </row>
    <row r="661" ht="15.75" customHeight="1">
      <c r="A661" s="19"/>
      <c r="B661" s="19"/>
      <c r="C661" s="19"/>
      <c r="D661" s="19"/>
      <c r="E661" s="19"/>
    </row>
    <row r="662" ht="15.75" customHeight="1">
      <c r="A662" s="19"/>
      <c r="B662" s="19"/>
      <c r="C662" s="19"/>
      <c r="D662" s="19"/>
      <c r="E662" s="19"/>
    </row>
    <row r="663" ht="15.75" customHeight="1">
      <c r="A663" s="19"/>
      <c r="B663" s="19"/>
      <c r="C663" s="19"/>
      <c r="D663" s="19"/>
      <c r="E663" s="19"/>
    </row>
    <row r="664" ht="15.75" customHeight="1">
      <c r="A664" s="19"/>
      <c r="B664" s="19"/>
      <c r="C664" s="19"/>
      <c r="D664" s="19"/>
      <c r="E664" s="19"/>
    </row>
    <row r="665" ht="15.75" customHeight="1">
      <c r="A665" s="19"/>
      <c r="B665" s="19"/>
      <c r="C665" s="19"/>
      <c r="D665" s="19"/>
      <c r="E665" s="19"/>
    </row>
    <row r="666" ht="15.75" customHeight="1">
      <c r="A666" s="19"/>
      <c r="B666" s="19"/>
      <c r="C666" s="19"/>
      <c r="D666" s="19"/>
      <c r="E666" s="19"/>
    </row>
    <row r="667" ht="15.75" customHeight="1">
      <c r="A667" s="19"/>
      <c r="B667" s="19"/>
      <c r="C667" s="19"/>
      <c r="D667" s="19"/>
      <c r="E667" s="19"/>
    </row>
    <row r="668" ht="15.75" customHeight="1">
      <c r="A668" s="19"/>
      <c r="B668" s="19"/>
      <c r="C668" s="19"/>
      <c r="D668" s="19"/>
      <c r="E668" s="19"/>
    </row>
    <row r="669" ht="15.75" customHeight="1">
      <c r="A669" s="19"/>
      <c r="B669" s="19"/>
      <c r="C669" s="19"/>
      <c r="D669" s="19"/>
      <c r="E669" s="19"/>
    </row>
    <row r="670" ht="15.75" customHeight="1">
      <c r="A670" s="19"/>
      <c r="B670" s="19"/>
      <c r="C670" s="19"/>
      <c r="D670" s="19"/>
      <c r="E670" s="19"/>
    </row>
    <row r="671" ht="15.75" customHeight="1">
      <c r="A671" s="19"/>
      <c r="B671" s="19"/>
      <c r="C671" s="19"/>
      <c r="D671" s="19"/>
      <c r="E671" s="19"/>
    </row>
    <row r="672" ht="15.75" customHeight="1">
      <c r="A672" s="19"/>
      <c r="B672" s="19"/>
      <c r="C672" s="19"/>
      <c r="D672" s="19"/>
      <c r="E672" s="19"/>
    </row>
    <row r="673" ht="15.75" customHeight="1">
      <c r="A673" s="19"/>
      <c r="B673" s="19"/>
      <c r="C673" s="19"/>
      <c r="D673" s="19"/>
      <c r="E673" s="19"/>
    </row>
    <row r="674" ht="15.75" customHeight="1">
      <c r="A674" s="19"/>
      <c r="B674" s="19"/>
      <c r="C674" s="19"/>
      <c r="D674" s="19"/>
      <c r="E674" s="19"/>
    </row>
    <row r="675" ht="15.75" customHeight="1">
      <c r="A675" s="19"/>
      <c r="B675" s="19"/>
      <c r="C675" s="19"/>
      <c r="D675" s="19"/>
      <c r="E675" s="19"/>
    </row>
    <row r="676" ht="15.75" customHeight="1">
      <c r="A676" s="19"/>
      <c r="B676" s="19"/>
      <c r="C676" s="19"/>
      <c r="D676" s="19"/>
      <c r="E676" s="19"/>
    </row>
    <row r="677" ht="15.75" customHeight="1">
      <c r="A677" s="19"/>
      <c r="B677" s="19"/>
      <c r="C677" s="19"/>
      <c r="D677" s="19"/>
      <c r="E677" s="19"/>
    </row>
    <row r="678" ht="15.75" customHeight="1">
      <c r="A678" s="19"/>
      <c r="B678" s="19"/>
      <c r="C678" s="19"/>
      <c r="D678" s="19"/>
      <c r="E678" s="19"/>
    </row>
    <row r="679" ht="15.75" customHeight="1">
      <c r="A679" s="19"/>
      <c r="B679" s="19"/>
      <c r="C679" s="19"/>
      <c r="D679" s="19"/>
      <c r="E679" s="19"/>
    </row>
    <row r="680" ht="15.75" customHeight="1">
      <c r="A680" s="19"/>
      <c r="B680" s="19"/>
      <c r="C680" s="19"/>
      <c r="D680" s="19"/>
      <c r="E680" s="19"/>
    </row>
    <row r="681" ht="15.75" customHeight="1">
      <c r="A681" s="19"/>
      <c r="B681" s="19"/>
      <c r="C681" s="19"/>
      <c r="D681" s="19"/>
      <c r="E681" s="19"/>
    </row>
    <row r="682" ht="15.75" customHeight="1">
      <c r="A682" s="19"/>
      <c r="B682" s="19"/>
      <c r="C682" s="19"/>
      <c r="D682" s="19"/>
      <c r="E682" s="19"/>
    </row>
    <row r="683" ht="15.75" customHeight="1">
      <c r="A683" s="19"/>
      <c r="B683" s="19"/>
      <c r="C683" s="19"/>
      <c r="D683" s="19"/>
      <c r="E683" s="19"/>
    </row>
    <row r="684" ht="15.75" customHeight="1">
      <c r="A684" s="19"/>
      <c r="B684" s="19"/>
      <c r="C684" s="19"/>
      <c r="D684" s="19"/>
      <c r="E684" s="19"/>
    </row>
    <row r="685" ht="15.75" customHeight="1">
      <c r="A685" s="19"/>
      <c r="B685" s="19"/>
      <c r="C685" s="19"/>
      <c r="D685" s="19"/>
      <c r="E685" s="19"/>
    </row>
    <row r="686" ht="15.75" customHeight="1">
      <c r="A686" s="19"/>
      <c r="B686" s="19"/>
      <c r="C686" s="19"/>
      <c r="D686" s="19"/>
      <c r="E686" s="19"/>
    </row>
    <row r="687" ht="15.75" customHeight="1">
      <c r="A687" s="19"/>
      <c r="B687" s="19"/>
      <c r="C687" s="19"/>
      <c r="D687" s="19"/>
      <c r="E687" s="19"/>
    </row>
    <row r="688" ht="15.75" customHeight="1">
      <c r="A688" s="19"/>
      <c r="B688" s="19"/>
      <c r="C688" s="19"/>
      <c r="D688" s="19"/>
      <c r="E688" s="19"/>
    </row>
    <row r="689" ht="15.75" customHeight="1">
      <c r="A689" s="19"/>
      <c r="B689" s="19"/>
      <c r="C689" s="19"/>
      <c r="D689" s="19"/>
      <c r="E689" s="19"/>
    </row>
    <row r="690" ht="15.75" customHeight="1">
      <c r="A690" s="19"/>
      <c r="B690" s="19"/>
      <c r="C690" s="19"/>
      <c r="D690" s="19"/>
      <c r="E690" s="19"/>
    </row>
    <row r="691" ht="15.75" customHeight="1">
      <c r="A691" s="19"/>
      <c r="B691" s="19"/>
      <c r="C691" s="19"/>
      <c r="D691" s="19"/>
      <c r="E691" s="19"/>
    </row>
    <row r="692" ht="15.75" customHeight="1">
      <c r="A692" s="19"/>
      <c r="B692" s="19"/>
      <c r="C692" s="19"/>
      <c r="D692" s="19"/>
      <c r="E692" s="19"/>
    </row>
    <row r="693" ht="15.75" customHeight="1">
      <c r="A693" s="19"/>
      <c r="B693" s="19"/>
      <c r="C693" s="19"/>
      <c r="D693" s="19"/>
      <c r="E693" s="19"/>
    </row>
    <row r="694" ht="15.75" customHeight="1">
      <c r="A694" s="19"/>
      <c r="B694" s="19"/>
      <c r="C694" s="19"/>
      <c r="D694" s="19"/>
      <c r="E694" s="19"/>
    </row>
    <row r="695" ht="15.75" customHeight="1">
      <c r="A695" s="19"/>
      <c r="B695" s="19"/>
      <c r="C695" s="19"/>
      <c r="D695" s="19"/>
      <c r="E695" s="19"/>
    </row>
    <row r="696" ht="15.75" customHeight="1">
      <c r="A696" s="19"/>
      <c r="B696" s="19"/>
      <c r="C696" s="19"/>
      <c r="D696" s="19"/>
      <c r="E696" s="19"/>
    </row>
    <row r="697" ht="15.75" customHeight="1">
      <c r="A697" s="19"/>
      <c r="B697" s="19"/>
      <c r="C697" s="19"/>
      <c r="D697" s="19"/>
      <c r="E697" s="19"/>
    </row>
    <row r="698" ht="15.75" customHeight="1">
      <c r="A698" s="19"/>
      <c r="B698" s="19"/>
      <c r="C698" s="19"/>
      <c r="D698" s="19"/>
      <c r="E698" s="19"/>
    </row>
    <row r="699" ht="15.75" customHeight="1">
      <c r="A699" s="19"/>
      <c r="B699" s="19"/>
      <c r="C699" s="19"/>
      <c r="D699" s="19"/>
      <c r="E699" s="19"/>
    </row>
    <row r="700" ht="15.75" customHeight="1">
      <c r="A700" s="19"/>
      <c r="B700" s="19"/>
      <c r="C700" s="19"/>
      <c r="D700" s="19"/>
      <c r="E700" s="19"/>
    </row>
    <row r="701" ht="15.75" customHeight="1">
      <c r="A701" s="19"/>
      <c r="B701" s="19"/>
      <c r="C701" s="19"/>
      <c r="D701" s="19"/>
      <c r="E701" s="19"/>
    </row>
    <row r="702" ht="15.75" customHeight="1">
      <c r="A702" s="19"/>
      <c r="B702" s="19"/>
      <c r="C702" s="19"/>
      <c r="D702" s="19"/>
      <c r="E702" s="19"/>
    </row>
    <row r="703" ht="15.75" customHeight="1">
      <c r="A703" s="19"/>
      <c r="B703" s="19"/>
      <c r="C703" s="19"/>
      <c r="D703" s="19"/>
      <c r="E703" s="19"/>
    </row>
    <row r="704" ht="15.75" customHeight="1">
      <c r="A704" s="19"/>
      <c r="B704" s="19"/>
      <c r="C704" s="19"/>
      <c r="D704" s="19"/>
      <c r="E704" s="19"/>
    </row>
    <row r="705" ht="15.75" customHeight="1">
      <c r="A705" s="19"/>
      <c r="B705" s="19"/>
      <c r="C705" s="19"/>
      <c r="D705" s="19"/>
      <c r="E705" s="19"/>
    </row>
    <row r="706" ht="15.75" customHeight="1">
      <c r="A706" s="19"/>
      <c r="B706" s="19"/>
      <c r="C706" s="19"/>
      <c r="D706" s="19"/>
      <c r="E706" s="19"/>
    </row>
    <row r="707" ht="15.75" customHeight="1">
      <c r="A707" s="19"/>
      <c r="B707" s="19"/>
      <c r="C707" s="19"/>
      <c r="D707" s="19"/>
      <c r="E707" s="19"/>
    </row>
    <row r="708" ht="15.75" customHeight="1">
      <c r="A708" s="19"/>
      <c r="B708" s="19"/>
      <c r="C708" s="19"/>
      <c r="D708" s="19"/>
      <c r="E708" s="19"/>
    </row>
    <row r="709" ht="15.75" customHeight="1">
      <c r="A709" s="19"/>
      <c r="B709" s="19"/>
      <c r="C709" s="19"/>
      <c r="D709" s="19"/>
      <c r="E709" s="19"/>
    </row>
    <row r="710" ht="15.75" customHeight="1">
      <c r="A710" s="19"/>
      <c r="B710" s="19"/>
      <c r="C710" s="19"/>
      <c r="D710" s="19"/>
      <c r="E710" s="19"/>
    </row>
    <row r="711" ht="15.75" customHeight="1">
      <c r="A711" s="19"/>
      <c r="B711" s="19"/>
      <c r="C711" s="19"/>
      <c r="D711" s="19"/>
      <c r="E711" s="19"/>
    </row>
    <row r="712" ht="15.75" customHeight="1">
      <c r="A712" s="19"/>
      <c r="B712" s="19"/>
      <c r="C712" s="19"/>
      <c r="D712" s="19"/>
      <c r="E712" s="19"/>
    </row>
    <row r="713" ht="15.75" customHeight="1">
      <c r="A713" s="19"/>
      <c r="B713" s="19"/>
      <c r="C713" s="19"/>
      <c r="D713" s="19"/>
      <c r="E713" s="19"/>
    </row>
    <row r="714" ht="15.75" customHeight="1">
      <c r="A714" s="19"/>
      <c r="B714" s="19"/>
      <c r="C714" s="19"/>
      <c r="D714" s="19"/>
      <c r="E714" s="19"/>
    </row>
    <row r="715" ht="15.75" customHeight="1">
      <c r="A715" s="19"/>
      <c r="B715" s="19"/>
      <c r="C715" s="19"/>
      <c r="D715" s="19"/>
      <c r="E715" s="19"/>
    </row>
    <row r="716" ht="15.75" customHeight="1">
      <c r="A716" s="19"/>
      <c r="B716" s="19"/>
      <c r="C716" s="19"/>
      <c r="D716" s="19"/>
      <c r="E716" s="19"/>
    </row>
    <row r="717" ht="15.75" customHeight="1">
      <c r="A717" s="19"/>
      <c r="B717" s="19"/>
      <c r="C717" s="19"/>
      <c r="D717" s="19"/>
      <c r="E717" s="19"/>
    </row>
    <row r="718" ht="15.75" customHeight="1">
      <c r="A718" s="19"/>
      <c r="B718" s="19"/>
      <c r="C718" s="19"/>
      <c r="D718" s="19"/>
      <c r="E718" s="19"/>
    </row>
    <row r="719" ht="15.75" customHeight="1">
      <c r="A719" s="19"/>
      <c r="B719" s="19"/>
      <c r="C719" s="19"/>
      <c r="D719" s="19"/>
      <c r="E719" s="19"/>
    </row>
    <row r="720" ht="15.75" customHeight="1">
      <c r="A720" s="19"/>
      <c r="B720" s="19"/>
      <c r="C720" s="19"/>
      <c r="D720" s="19"/>
      <c r="E720" s="19"/>
    </row>
    <row r="721" ht="15.75" customHeight="1">
      <c r="A721" s="19"/>
      <c r="B721" s="19"/>
      <c r="C721" s="19"/>
      <c r="D721" s="19"/>
      <c r="E721" s="19"/>
    </row>
    <row r="722" ht="15.75" customHeight="1">
      <c r="A722" s="19"/>
      <c r="B722" s="19"/>
      <c r="C722" s="19"/>
      <c r="D722" s="19"/>
      <c r="E722" s="19"/>
    </row>
    <row r="723" ht="15.75" customHeight="1">
      <c r="A723" s="19"/>
      <c r="B723" s="19"/>
      <c r="C723" s="19"/>
      <c r="D723" s="19"/>
      <c r="E723" s="19"/>
    </row>
    <row r="724" ht="15.75" customHeight="1">
      <c r="A724" s="19"/>
      <c r="B724" s="19"/>
      <c r="C724" s="19"/>
      <c r="D724" s="19"/>
      <c r="E724" s="19"/>
    </row>
    <row r="725" ht="15.75" customHeight="1">
      <c r="A725" s="19"/>
      <c r="B725" s="19"/>
      <c r="C725" s="19"/>
      <c r="D725" s="19"/>
      <c r="E725" s="19"/>
    </row>
    <row r="726" ht="15.75" customHeight="1">
      <c r="A726" s="19"/>
      <c r="B726" s="19"/>
      <c r="C726" s="19"/>
      <c r="D726" s="19"/>
      <c r="E726" s="19"/>
    </row>
    <row r="727" ht="15.75" customHeight="1">
      <c r="A727" s="19"/>
      <c r="B727" s="19"/>
      <c r="C727" s="19"/>
      <c r="D727" s="19"/>
      <c r="E727" s="19"/>
    </row>
    <row r="728" ht="15.75" customHeight="1">
      <c r="A728" s="19"/>
      <c r="B728" s="19"/>
      <c r="C728" s="19"/>
      <c r="D728" s="19"/>
      <c r="E728" s="19"/>
    </row>
    <row r="729" ht="15.75" customHeight="1">
      <c r="A729" s="19"/>
      <c r="B729" s="19"/>
      <c r="C729" s="19"/>
      <c r="D729" s="19"/>
      <c r="E729" s="19"/>
    </row>
    <row r="730" ht="15.75" customHeight="1">
      <c r="A730" s="19"/>
      <c r="B730" s="19"/>
      <c r="C730" s="19"/>
      <c r="D730" s="19"/>
      <c r="E730" s="19"/>
    </row>
    <row r="731" ht="15.75" customHeight="1">
      <c r="A731" s="19"/>
      <c r="B731" s="19"/>
      <c r="C731" s="19"/>
      <c r="D731" s="19"/>
      <c r="E731" s="19"/>
    </row>
    <row r="732" ht="15.75" customHeight="1">
      <c r="A732" s="19"/>
      <c r="B732" s="19"/>
      <c r="C732" s="19"/>
      <c r="D732" s="19"/>
      <c r="E732" s="19"/>
    </row>
    <row r="733" ht="15.75" customHeight="1">
      <c r="A733" s="19"/>
      <c r="B733" s="19"/>
      <c r="C733" s="19"/>
      <c r="D733" s="19"/>
      <c r="E733" s="19"/>
    </row>
    <row r="734" ht="15.75" customHeight="1">
      <c r="A734" s="19"/>
      <c r="B734" s="19"/>
      <c r="C734" s="19"/>
      <c r="D734" s="19"/>
      <c r="E734" s="19"/>
    </row>
    <row r="735" ht="15.75" customHeight="1">
      <c r="A735" s="19"/>
      <c r="B735" s="19"/>
      <c r="C735" s="19"/>
      <c r="D735" s="19"/>
      <c r="E735" s="19"/>
    </row>
    <row r="736" ht="15.75" customHeight="1">
      <c r="A736" s="19"/>
      <c r="B736" s="19"/>
      <c r="C736" s="19"/>
      <c r="D736" s="19"/>
      <c r="E736" s="19"/>
    </row>
    <row r="737" ht="15.75" customHeight="1">
      <c r="A737" s="19"/>
      <c r="B737" s="19"/>
      <c r="C737" s="19"/>
      <c r="D737" s="19"/>
      <c r="E737" s="19"/>
    </row>
    <row r="738" ht="15.75" customHeight="1">
      <c r="A738" s="19"/>
      <c r="B738" s="19"/>
      <c r="C738" s="19"/>
      <c r="D738" s="19"/>
      <c r="E738" s="19"/>
    </row>
    <row r="739" ht="15.75" customHeight="1">
      <c r="A739" s="19"/>
      <c r="B739" s="19"/>
      <c r="C739" s="19"/>
      <c r="D739" s="19"/>
      <c r="E739" s="19"/>
    </row>
    <row r="740" ht="15.75" customHeight="1">
      <c r="A740" s="19"/>
      <c r="B740" s="19"/>
      <c r="C740" s="19"/>
      <c r="D740" s="19"/>
      <c r="E740" s="19"/>
    </row>
    <row r="741" ht="15.75" customHeight="1">
      <c r="A741" s="19"/>
      <c r="B741" s="19"/>
      <c r="C741" s="19"/>
      <c r="D741" s="19"/>
      <c r="E741" s="19"/>
    </row>
    <row r="742" ht="15.75" customHeight="1">
      <c r="A742" s="19"/>
      <c r="B742" s="19"/>
      <c r="C742" s="19"/>
      <c r="D742" s="19"/>
      <c r="E742" s="19"/>
    </row>
    <row r="743" ht="15.75" customHeight="1">
      <c r="A743" s="19"/>
      <c r="B743" s="19"/>
      <c r="C743" s="19"/>
      <c r="D743" s="19"/>
      <c r="E743" s="19"/>
    </row>
    <row r="744" ht="15.75" customHeight="1">
      <c r="A744" s="19"/>
      <c r="B744" s="19"/>
      <c r="C744" s="19"/>
      <c r="D744" s="19"/>
      <c r="E744" s="19"/>
    </row>
    <row r="745" ht="15.75" customHeight="1">
      <c r="A745" s="19"/>
      <c r="B745" s="19"/>
      <c r="C745" s="19"/>
      <c r="D745" s="19"/>
      <c r="E745" s="19"/>
    </row>
    <row r="746" ht="15.75" customHeight="1">
      <c r="A746" s="19"/>
      <c r="B746" s="19"/>
      <c r="C746" s="19"/>
      <c r="D746" s="19"/>
      <c r="E746" s="19"/>
    </row>
    <row r="747" ht="15.75" customHeight="1">
      <c r="A747" s="19"/>
      <c r="B747" s="19"/>
      <c r="C747" s="19"/>
      <c r="D747" s="19"/>
      <c r="E747" s="19"/>
    </row>
    <row r="748" ht="15.75" customHeight="1">
      <c r="A748" s="19"/>
      <c r="B748" s="19"/>
      <c r="C748" s="19"/>
      <c r="D748" s="19"/>
      <c r="E748" s="19"/>
    </row>
    <row r="749" ht="15.75" customHeight="1">
      <c r="A749" s="19"/>
      <c r="B749" s="19"/>
      <c r="C749" s="19"/>
      <c r="D749" s="19"/>
      <c r="E749" s="19"/>
    </row>
    <row r="750" ht="15.75" customHeight="1">
      <c r="A750" s="19"/>
      <c r="B750" s="19"/>
      <c r="C750" s="19"/>
      <c r="D750" s="19"/>
      <c r="E750" s="19"/>
    </row>
    <row r="751" ht="15.75" customHeight="1">
      <c r="A751" s="19"/>
      <c r="B751" s="19"/>
      <c r="C751" s="19"/>
      <c r="D751" s="19"/>
      <c r="E751" s="19"/>
    </row>
    <row r="752" ht="15.75" customHeight="1">
      <c r="A752" s="19"/>
      <c r="B752" s="19"/>
      <c r="C752" s="19"/>
      <c r="D752" s="19"/>
      <c r="E752" s="19"/>
    </row>
    <row r="753" ht="15.75" customHeight="1">
      <c r="A753" s="19"/>
      <c r="B753" s="19"/>
      <c r="C753" s="19"/>
      <c r="D753" s="19"/>
      <c r="E753" s="19"/>
    </row>
    <row r="754" ht="15.75" customHeight="1">
      <c r="A754" s="19"/>
      <c r="B754" s="19"/>
      <c r="C754" s="19"/>
      <c r="D754" s="19"/>
      <c r="E754" s="19"/>
    </row>
    <row r="755" ht="15.75" customHeight="1">
      <c r="A755" s="19"/>
      <c r="B755" s="19"/>
      <c r="C755" s="19"/>
      <c r="D755" s="19"/>
      <c r="E755" s="19"/>
    </row>
    <row r="756" ht="15.75" customHeight="1">
      <c r="A756" s="19"/>
      <c r="B756" s="19"/>
      <c r="C756" s="19"/>
      <c r="D756" s="19"/>
      <c r="E756" s="19"/>
    </row>
    <row r="757" ht="15.75" customHeight="1">
      <c r="A757" s="19"/>
      <c r="B757" s="19"/>
      <c r="C757" s="19"/>
      <c r="D757" s="19"/>
      <c r="E757" s="19"/>
    </row>
    <row r="758" ht="15.75" customHeight="1">
      <c r="A758" s="19"/>
      <c r="B758" s="19"/>
      <c r="C758" s="19"/>
      <c r="D758" s="19"/>
      <c r="E758" s="19"/>
    </row>
    <row r="759" ht="15.75" customHeight="1">
      <c r="A759" s="19"/>
      <c r="B759" s="19"/>
      <c r="C759" s="19"/>
      <c r="D759" s="19"/>
      <c r="E759" s="19"/>
    </row>
    <row r="760" ht="15.75" customHeight="1">
      <c r="A760" s="19"/>
      <c r="B760" s="19"/>
      <c r="C760" s="19"/>
      <c r="D760" s="19"/>
      <c r="E760" s="19"/>
    </row>
    <row r="761" ht="15.75" customHeight="1">
      <c r="A761" s="19"/>
      <c r="B761" s="19"/>
      <c r="C761" s="19"/>
      <c r="D761" s="19"/>
      <c r="E761" s="19"/>
    </row>
    <row r="762" ht="15.75" customHeight="1">
      <c r="A762" s="19"/>
      <c r="B762" s="19"/>
      <c r="C762" s="19"/>
      <c r="D762" s="19"/>
      <c r="E762" s="19"/>
    </row>
    <row r="763" ht="15.75" customHeight="1">
      <c r="A763" s="19"/>
      <c r="B763" s="19"/>
      <c r="C763" s="19"/>
      <c r="D763" s="19"/>
      <c r="E763" s="19"/>
    </row>
    <row r="764" ht="15.75" customHeight="1">
      <c r="A764" s="19"/>
      <c r="B764" s="19"/>
      <c r="C764" s="19"/>
      <c r="D764" s="19"/>
      <c r="E764" s="19"/>
    </row>
    <row r="765" ht="15.75" customHeight="1">
      <c r="A765" s="19"/>
      <c r="B765" s="19"/>
      <c r="C765" s="19"/>
      <c r="D765" s="19"/>
      <c r="E765" s="19"/>
    </row>
    <row r="766" ht="15.75" customHeight="1">
      <c r="A766" s="19"/>
      <c r="B766" s="19"/>
      <c r="C766" s="19"/>
      <c r="D766" s="19"/>
      <c r="E766" s="19"/>
    </row>
    <row r="767" ht="15.75" customHeight="1">
      <c r="A767" s="19"/>
      <c r="B767" s="19"/>
      <c r="C767" s="19"/>
      <c r="D767" s="19"/>
      <c r="E767" s="19"/>
    </row>
    <row r="768" ht="15.75" customHeight="1">
      <c r="A768" s="19"/>
      <c r="B768" s="19"/>
      <c r="C768" s="19"/>
      <c r="D768" s="19"/>
      <c r="E768" s="19"/>
    </row>
    <row r="769" ht="15.75" customHeight="1">
      <c r="A769" s="19"/>
      <c r="B769" s="19"/>
      <c r="C769" s="19"/>
      <c r="D769" s="19"/>
      <c r="E769" s="19"/>
    </row>
    <row r="770" ht="15.75" customHeight="1">
      <c r="A770" s="19"/>
      <c r="B770" s="19"/>
      <c r="C770" s="19"/>
      <c r="D770" s="19"/>
      <c r="E770" s="19"/>
    </row>
    <row r="771" ht="15.75" customHeight="1">
      <c r="A771" s="19"/>
      <c r="B771" s="19"/>
      <c r="C771" s="19"/>
      <c r="D771" s="19"/>
      <c r="E771" s="19"/>
    </row>
    <row r="772" ht="15.75" customHeight="1">
      <c r="A772" s="19"/>
      <c r="B772" s="19"/>
      <c r="C772" s="19"/>
      <c r="D772" s="19"/>
      <c r="E772" s="19"/>
    </row>
    <row r="773" ht="15.75" customHeight="1">
      <c r="A773" s="19"/>
      <c r="B773" s="19"/>
      <c r="C773" s="19"/>
      <c r="D773" s="19"/>
      <c r="E773" s="19"/>
    </row>
    <row r="774" ht="15.75" customHeight="1">
      <c r="A774" s="19"/>
      <c r="B774" s="19"/>
      <c r="C774" s="19"/>
      <c r="D774" s="19"/>
      <c r="E774" s="19"/>
    </row>
    <row r="775" ht="15.75" customHeight="1">
      <c r="A775" s="19"/>
      <c r="B775" s="19"/>
      <c r="C775" s="19"/>
      <c r="D775" s="19"/>
      <c r="E775" s="19"/>
    </row>
    <row r="776" ht="15.75" customHeight="1">
      <c r="A776" s="19"/>
      <c r="B776" s="19"/>
      <c r="C776" s="19"/>
      <c r="D776" s="19"/>
      <c r="E776" s="19"/>
    </row>
    <row r="777" ht="15.75" customHeight="1">
      <c r="A777" s="19"/>
      <c r="B777" s="19"/>
      <c r="C777" s="19"/>
      <c r="D777" s="19"/>
      <c r="E777" s="19"/>
    </row>
    <row r="778" ht="15.75" customHeight="1">
      <c r="A778" s="19"/>
      <c r="B778" s="19"/>
      <c r="C778" s="19"/>
      <c r="D778" s="19"/>
      <c r="E778" s="19"/>
    </row>
    <row r="779" ht="15.75" customHeight="1">
      <c r="A779" s="19"/>
      <c r="B779" s="19"/>
      <c r="C779" s="19"/>
      <c r="D779" s="19"/>
      <c r="E779" s="19"/>
    </row>
    <row r="780" ht="15.75" customHeight="1">
      <c r="A780" s="19"/>
      <c r="B780" s="19"/>
      <c r="C780" s="19"/>
      <c r="D780" s="19"/>
      <c r="E780" s="19"/>
    </row>
    <row r="781" ht="15.75" customHeight="1">
      <c r="A781" s="19"/>
      <c r="B781" s="19"/>
      <c r="C781" s="19"/>
      <c r="D781" s="19"/>
      <c r="E781" s="19"/>
    </row>
    <row r="782" ht="15.75" customHeight="1">
      <c r="A782" s="19"/>
      <c r="B782" s="19"/>
      <c r="C782" s="19"/>
      <c r="D782" s="19"/>
      <c r="E782" s="19"/>
    </row>
    <row r="783" ht="15.75" customHeight="1">
      <c r="A783" s="19"/>
      <c r="B783" s="19"/>
      <c r="C783" s="19"/>
      <c r="D783" s="19"/>
      <c r="E783" s="19"/>
    </row>
    <row r="784" ht="15.75" customHeight="1">
      <c r="A784" s="19"/>
      <c r="B784" s="19"/>
      <c r="C784" s="19"/>
      <c r="D784" s="19"/>
      <c r="E784" s="19"/>
    </row>
    <row r="785" ht="15.75" customHeight="1">
      <c r="A785" s="19"/>
      <c r="B785" s="19"/>
      <c r="C785" s="19"/>
      <c r="D785" s="19"/>
      <c r="E785" s="19"/>
    </row>
    <row r="786" ht="15.75" customHeight="1">
      <c r="A786" s="19"/>
      <c r="B786" s="19"/>
      <c r="C786" s="19"/>
      <c r="D786" s="19"/>
      <c r="E786" s="19"/>
    </row>
    <row r="787" ht="15.75" customHeight="1">
      <c r="A787" s="19"/>
      <c r="B787" s="19"/>
      <c r="C787" s="19"/>
      <c r="D787" s="19"/>
      <c r="E787" s="19"/>
    </row>
    <row r="788" ht="15.75" customHeight="1">
      <c r="A788" s="19"/>
      <c r="B788" s="19"/>
      <c r="C788" s="19"/>
      <c r="D788" s="19"/>
      <c r="E788" s="19"/>
    </row>
    <row r="789" ht="15.75" customHeight="1">
      <c r="A789" s="19"/>
      <c r="B789" s="19"/>
      <c r="C789" s="19"/>
      <c r="D789" s="19"/>
      <c r="E789" s="19"/>
    </row>
    <row r="790" ht="15.75" customHeight="1">
      <c r="A790" s="19"/>
      <c r="B790" s="19"/>
      <c r="C790" s="19"/>
      <c r="D790" s="19"/>
      <c r="E790" s="19"/>
    </row>
    <row r="791" ht="15.75" customHeight="1">
      <c r="A791" s="19"/>
      <c r="B791" s="19"/>
      <c r="C791" s="19"/>
      <c r="D791" s="19"/>
      <c r="E791" s="19"/>
    </row>
    <row r="792" ht="15.75" customHeight="1">
      <c r="A792" s="19"/>
      <c r="B792" s="19"/>
      <c r="C792" s="19"/>
      <c r="D792" s="19"/>
      <c r="E792" s="19"/>
    </row>
    <row r="793" ht="15.75" customHeight="1">
      <c r="A793" s="19"/>
      <c r="B793" s="19"/>
      <c r="C793" s="19"/>
      <c r="D793" s="19"/>
      <c r="E793" s="19"/>
    </row>
    <row r="794" ht="15.75" customHeight="1">
      <c r="A794" s="19"/>
      <c r="B794" s="19"/>
      <c r="C794" s="19"/>
      <c r="D794" s="19"/>
      <c r="E794" s="19"/>
    </row>
    <row r="795" ht="15.75" customHeight="1">
      <c r="A795" s="19"/>
      <c r="B795" s="19"/>
      <c r="C795" s="19"/>
      <c r="D795" s="19"/>
      <c r="E795" s="19"/>
    </row>
    <row r="796" ht="15.75" customHeight="1">
      <c r="A796" s="19"/>
      <c r="B796" s="19"/>
      <c r="C796" s="19"/>
      <c r="D796" s="19"/>
      <c r="E796" s="19"/>
    </row>
    <row r="797" ht="15.75" customHeight="1">
      <c r="A797" s="19"/>
      <c r="B797" s="19"/>
      <c r="C797" s="19"/>
      <c r="D797" s="19"/>
      <c r="E797" s="19"/>
    </row>
    <row r="798" ht="15.75" customHeight="1">
      <c r="A798" s="19"/>
      <c r="B798" s="19"/>
      <c r="C798" s="19"/>
      <c r="D798" s="19"/>
      <c r="E798" s="19"/>
    </row>
    <row r="799" ht="15.75" customHeight="1">
      <c r="A799" s="19"/>
      <c r="B799" s="19"/>
      <c r="C799" s="19"/>
      <c r="D799" s="19"/>
      <c r="E799" s="19"/>
    </row>
    <row r="800" ht="15.75" customHeight="1">
      <c r="A800" s="19"/>
      <c r="B800" s="19"/>
      <c r="C800" s="19"/>
      <c r="D800" s="19"/>
      <c r="E800" s="19"/>
    </row>
    <row r="801" ht="15.75" customHeight="1">
      <c r="A801" s="19"/>
      <c r="B801" s="19"/>
      <c r="C801" s="19"/>
      <c r="D801" s="19"/>
      <c r="E801" s="19"/>
    </row>
    <row r="802" ht="15.75" customHeight="1">
      <c r="A802" s="19"/>
      <c r="B802" s="19"/>
      <c r="C802" s="19"/>
      <c r="D802" s="19"/>
      <c r="E802" s="19"/>
    </row>
    <row r="803" ht="15.75" customHeight="1">
      <c r="A803" s="19"/>
      <c r="B803" s="19"/>
      <c r="C803" s="19"/>
      <c r="D803" s="19"/>
      <c r="E803" s="19"/>
    </row>
    <row r="804" ht="15.75" customHeight="1">
      <c r="A804" s="19"/>
      <c r="B804" s="19"/>
      <c r="C804" s="19"/>
      <c r="D804" s="19"/>
      <c r="E804" s="19"/>
    </row>
    <row r="805" ht="15.75" customHeight="1">
      <c r="A805" s="19"/>
      <c r="B805" s="19"/>
      <c r="C805" s="19"/>
      <c r="D805" s="19"/>
      <c r="E805" s="19"/>
    </row>
    <row r="806" ht="15.75" customHeight="1">
      <c r="A806" s="19"/>
      <c r="B806" s="19"/>
      <c r="C806" s="19"/>
      <c r="D806" s="19"/>
      <c r="E806" s="19"/>
    </row>
    <row r="807" ht="15.75" customHeight="1">
      <c r="A807" s="19"/>
      <c r="B807" s="19"/>
      <c r="C807" s="19"/>
      <c r="D807" s="19"/>
      <c r="E807" s="19"/>
    </row>
    <row r="808" ht="15.75" customHeight="1">
      <c r="A808" s="19"/>
      <c r="B808" s="19"/>
      <c r="C808" s="19"/>
      <c r="D808" s="19"/>
      <c r="E808" s="19"/>
    </row>
    <row r="809" ht="15.75" customHeight="1">
      <c r="A809" s="19"/>
      <c r="B809" s="19"/>
      <c r="C809" s="19"/>
      <c r="D809" s="19"/>
      <c r="E809" s="19"/>
    </row>
    <row r="810" ht="15.75" customHeight="1">
      <c r="A810" s="19"/>
      <c r="B810" s="19"/>
      <c r="C810" s="19"/>
      <c r="D810" s="19"/>
      <c r="E810" s="19"/>
    </row>
    <row r="811" ht="15.75" customHeight="1">
      <c r="A811" s="19"/>
      <c r="B811" s="19"/>
      <c r="C811" s="19"/>
      <c r="D811" s="19"/>
      <c r="E811" s="19"/>
    </row>
    <row r="812" ht="15.75" customHeight="1">
      <c r="A812" s="19"/>
      <c r="B812" s="19"/>
      <c r="C812" s="19"/>
      <c r="D812" s="19"/>
      <c r="E812" s="19"/>
    </row>
    <row r="813" ht="15.75" customHeight="1">
      <c r="A813" s="19"/>
      <c r="B813" s="19"/>
      <c r="C813" s="19"/>
      <c r="D813" s="19"/>
      <c r="E813" s="19"/>
    </row>
    <row r="814" ht="15.75" customHeight="1">
      <c r="A814" s="19"/>
      <c r="B814" s="19"/>
      <c r="C814" s="19"/>
      <c r="D814" s="19"/>
      <c r="E814" s="19"/>
    </row>
    <row r="815" ht="15.75" customHeight="1">
      <c r="A815" s="19"/>
      <c r="B815" s="19"/>
      <c r="C815" s="19"/>
      <c r="D815" s="19"/>
      <c r="E815" s="19"/>
    </row>
    <row r="816" ht="15.75" customHeight="1">
      <c r="A816" s="19"/>
      <c r="B816" s="19"/>
      <c r="C816" s="19"/>
      <c r="D816" s="19"/>
      <c r="E816" s="19"/>
    </row>
    <row r="817" ht="15.75" customHeight="1">
      <c r="A817" s="19"/>
      <c r="B817" s="19"/>
      <c r="C817" s="19"/>
      <c r="D817" s="19"/>
      <c r="E817" s="19"/>
    </row>
    <row r="818" ht="15.75" customHeight="1">
      <c r="A818" s="19"/>
      <c r="B818" s="19"/>
      <c r="C818" s="19"/>
      <c r="D818" s="19"/>
      <c r="E818" s="19"/>
    </row>
    <row r="819" ht="15.75" customHeight="1">
      <c r="A819" s="19"/>
      <c r="B819" s="19"/>
      <c r="C819" s="19"/>
      <c r="D819" s="19"/>
      <c r="E819" s="19"/>
    </row>
    <row r="820" ht="15.75" customHeight="1">
      <c r="A820" s="19"/>
      <c r="B820" s="19"/>
      <c r="C820" s="19"/>
      <c r="D820" s="19"/>
      <c r="E820" s="19"/>
    </row>
    <row r="821" ht="15.75" customHeight="1">
      <c r="A821" s="19"/>
      <c r="B821" s="19"/>
      <c r="C821" s="19"/>
      <c r="D821" s="19"/>
      <c r="E821" s="19"/>
    </row>
    <row r="822" ht="15.75" customHeight="1">
      <c r="A822" s="19"/>
      <c r="B822" s="19"/>
      <c r="C822" s="19"/>
      <c r="D822" s="19"/>
      <c r="E822" s="19"/>
    </row>
    <row r="823" ht="15.75" customHeight="1">
      <c r="A823" s="19"/>
      <c r="B823" s="19"/>
      <c r="C823" s="19"/>
      <c r="D823" s="19"/>
      <c r="E823" s="19"/>
    </row>
    <row r="824" ht="15.75" customHeight="1">
      <c r="A824" s="19"/>
      <c r="B824" s="19"/>
      <c r="C824" s="19"/>
      <c r="D824" s="19"/>
      <c r="E824" s="19"/>
    </row>
    <row r="825" ht="15.75" customHeight="1">
      <c r="A825" s="19"/>
      <c r="B825" s="19"/>
      <c r="C825" s="19"/>
      <c r="D825" s="19"/>
      <c r="E825" s="19"/>
    </row>
    <row r="826" ht="15.75" customHeight="1">
      <c r="A826" s="19"/>
      <c r="B826" s="19"/>
      <c r="C826" s="19"/>
      <c r="D826" s="19"/>
      <c r="E826" s="19"/>
    </row>
    <row r="827" ht="15.75" customHeight="1">
      <c r="A827" s="19"/>
      <c r="B827" s="19"/>
      <c r="C827" s="19"/>
      <c r="D827" s="19"/>
      <c r="E827" s="19"/>
    </row>
    <row r="828" ht="15.75" customHeight="1">
      <c r="A828" s="19"/>
      <c r="B828" s="19"/>
      <c r="C828" s="19"/>
      <c r="D828" s="19"/>
      <c r="E828" s="19"/>
    </row>
    <row r="829" ht="15.75" customHeight="1">
      <c r="A829" s="19"/>
      <c r="B829" s="19"/>
      <c r="C829" s="19"/>
      <c r="D829" s="19"/>
      <c r="E829" s="19"/>
    </row>
    <row r="830" ht="15.75" customHeight="1">
      <c r="A830" s="19"/>
      <c r="B830" s="19"/>
      <c r="C830" s="19"/>
      <c r="D830" s="19"/>
      <c r="E830" s="19"/>
    </row>
    <row r="831" ht="15.75" customHeight="1">
      <c r="A831" s="19"/>
      <c r="B831" s="19"/>
      <c r="C831" s="19"/>
      <c r="D831" s="19"/>
      <c r="E831" s="19"/>
    </row>
    <row r="832" ht="15.75" customHeight="1">
      <c r="A832" s="19"/>
      <c r="B832" s="19"/>
      <c r="C832" s="19"/>
      <c r="D832" s="19"/>
      <c r="E832" s="19"/>
    </row>
    <row r="833" ht="15.75" customHeight="1">
      <c r="A833" s="19"/>
      <c r="B833" s="19"/>
      <c r="C833" s="19"/>
      <c r="D833" s="19"/>
      <c r="E833" s="19"/>
    </row>
    <row r="834" ht="15.75" customHeight="1">
      <c r="A834" s="19"/>
      <c r="B834" s="19"/>
      <c r="C834" s="19"/>
      <c r="D834" s="19"/>
      <c r="E834" s="19"/>
    </row>
    <row r="835" ht="15.75" customHeight="1">
      <c r="A835" s="19"/>
      <c r="B835" s="19"/>
      <c r="C835" s="19"/>
      <c r="D835" s="19"/>
      <c r="E835" s="19"/>
    </row>
    <row r="836" ht="15.75" customHeight="1">
      <c r="A836" s="19"/>
      <c r="B836" s="19"/>
      <c r="C836" s="19"/>
      <c r="D836" s="19"/>
      <c r="E836" s="19"/>
    </row>
    <row r="837" ht="15.75" customHeight="1">
      <c r="A837" s="19"/>
      <c r="B837" s="19"/>
      <c r="C837" s="19"/>
      <c r="D837" s="19"/>
      <c r="E837" s="19"/>
    </row>
    <row r="838" ht="15.75" customHeight="1">
      <c r="A838" s="19"/>
      <c r="B838" s="19"/>
      <c r="C838" s="19"/>
      <c r="D838" s="19"/>
      <c r="E838" s="19"/>
    </row>
    <row r="839" ht="15.75" customHeight="1">
      <c r="A839" s="19"/>
      <c r="B839" s="19"/>
      <c r="C839" s="19"/>
      <c r="D839" s="19"/>
      <c r="E839" s="19"/>
    </row>
    <row r="840" ht="15.75" customHeight="1">
      <c r="A840" s="19"/>
      <c r="B840" s="19"/>
      <c r="C840" s="19"/>
      <c r="D840" s="19"/>
      <c r="E840" s="19"/>
    </row>
    <row r="841" ht="15.75" customHeight="1">
      <c r="A841" s="19"/>
      <c r="B841" s="19"/>
      <c r="C841" s="19"/>
      <c r="D841" s="19"/>
      <c r="E841" s="19"/>
    </row>
    <row r="842" ht="15.75" customHeight="1">
      <c r="A842" s="19"/>
      <c r="B842" s="19"/>
      <c r="C842" s="19"/>
      <c r="D842" s="19"/>
      <c r="E842" s="19"/>
    </row>
    <row r="843" ht="15.75" customHeight="1">
      <c r="A843" s="19"/>
      <c r="B843" s="19"/>
      <c r="C843" s="19"/>
      <c r="D843" s="19"/>
      <c r="E843" s="19"/>
    </row>
    <row r="844" ht="15.75" customHeight="1">
      <c r="A844" s="19"/>
      <c r="B844" s="19"/>
      <c r="C844" s="19"/>
      <c r="D844" s="19"/>
      <c r="E844" s="19"/>
    </row>
    <row r="845" ht="15.75" customHeight="1">
      <c r="A845" s="19"/>
      <c r="B845" s="19"/>
      <c r="C845" s="19"/>
      <c r="D845" s="19"/>
      <c r="E845" s="19"/>
    </row>
    <row r="846" ht="15.75" customHeight="1">
      <c r="A846" s="19"/>
      <c r="B846" s="19"/>
      <c r="C846" s="19"/>
      <c r="D846" s="19"/>
      <c r="E846" s="19"/>
    </row>
    <row r="847" ht="15.75" customHeight="1">
      <c r="A847" s="19"/>
      <c r="B847" s="19"/>
      <c r="C847" s="19"/>
      <c r="D847" s="19"/>
      <c r="E847" s="19"/>
    </row>
    <row r="848" ht="15.75" customHeight="1">
      <c r="A848" s="19"/>
      <c r="B848" s="19"/>
      <c r="C848" s="19"/>
      <c r="D848" s="19"/>
      <c r="E848" s="19"/>
    </row>
    <row r="849" ht="15.75" customHeight="1">
      <c r="A849" s="19"/>
      <c r="B849" s="19"/>
      <c r="C849" s="19"/>
      <c r="D849" s="19"/>
      <c r="E849" s="19"/>
    </row>
    <row r="850" ht="15.75" customHeight="1">
      <c r="A850" s="19"/>
      <c r="B850" s="19"/>
      <c r="C850" s="19"/>
      <c r="D850" s="19"/>
      <c r="E850" s="19"/>
    </row>
    <row r="851" ht="15.75" customHeight="1">
      <c r="A851" s="19"/>
      <c r="B851" s="19"/>
      <c r="C851" s="19"/>
      <c r="D851" s="19"/>
      <c r="E851" s="19"/>
    </row>
    <row r="852" ht="15.75" customHeight="1">
      <c r="A852" s="19"/>
      <c r="B852" s="19"/>
      <c r="C852" s="19"/>
      <c r="D852" s="19"/>
      <c r="E852" s="19"/>
    </row>
    <row r="853" ht="15.75" customHeight="1">
      <c r="A853" s="19"/>
      <c r="B853" s="19"/>
      <c r="C853" s="19"/>
      <c r="D853" s="19"/>
      <c r="E853" s="19"/>
    </row>
    <row r="854" ht="15.75" customHeight="1">
      <c r="A854" s="19"/>
      <c r="B854" s="19"/>
      <c r="C854" s="19"/>
      <c r="D854" s="19"/>
      <c r="E854" s="19"/>
    </row>
    <row r="855" ht="15.75" customHeight="1">
      <c r="A855" s="19"/>
      <c r="B855" s="19"/>
      <c r="C855" s="19"/>
      <c r="D855" s="19"/>
      <c r="E855" s="19"/>
    </row>
    <row r="856" ht="15.75" customHeight="1">
      <c r="A856" s="19"/>
      <c r="B856" s="19"/>
      <c r="C856" s="19"/>
      <c r="D856" s="19"/>
      <c r="E856" s="19"/>
    </row>
    <row r="857" ht="15.75" customHeight="1">
      <c r="A857" s="19"/>
      <c r="B857" s="19"/>
      <c r="C857" s="19"/>
      <c r="D857" s="19"/>
      <c r="E857" s="19"/>
    </row>
    <row r="858" ht="15.75" customHeight="1">
      <c r="A858" s="19"/>
      <c r="B858" s="19"/>
      <c r="C858" s="19"/>
      <c r="D858" s="19"/>
      <c r="E858" s="19"/>
    </row>
    <row r="859" ht="15.75" customHeight="1">
      <c r="A859" s="19"/>
      <c r="B859" s="19"/>
      <c r="C859" s="19"/>
      <c r="D859" s="19"/>
      <c r="E859" s="19"/>
    </row>
    <row r="860" ht="15.75" customHeight="1">
      <c r="A860" s="19"/>
      <c r="B860" s="19"/>
      <c r="C860" s="19"/>
      <c r="D860" s="19"/>
      <c r="E860" s="19"/>
    </row>
    <row r="861" ht="15.75" customHeight="1">
      <c r="A861" s="19"/>
      <c r="B861" s="19"/>
      <c r="C861" s="19"/>
      <c r="D861" s="19"/>
      <c r="E861" s="19"/>
    </row>
    <row r="862" ht="15.75" customHeight="1">
      <c r="A862" s="19"/>
      <c r="B862" s="19"/>
      <c r="C862" s="19"/>
      <c r="D862" s="19"/>
      <c r="E862" s="19"/>
    </row>
    <row r="863" ht="15.75" customHeight="1">
      <c r="A863" s="19"/>
      <c r="B863" s="19"/>
      <c r="C863" s="19"/>
      <c r="D863" s="19"/>
      <c r="E863" s="19"/>
    </row>
    <row r="864" ht="15.75" customHeight="1">
      <c r="A864" s="19"/>
      <c r="B864" s="19"/>
      <c r="C864" s="19"/>
      <c r="D864" s="19"/>
      <c r="E864" s="19"/>
    </row>
    <row r="865" ht="15.75" customHeight="1">
      <c r="A865" s="19"/>
      <c r="B865" s="19"/>
      <c r="C865" s="19"/>
      <c r="D865" s="19"/>
      <c r="E865" s="19"/>
    </row>
    <row r="866" ht="15.75" customHeight="1">
      <c r="A866" s="19"/>
      <c r="B866" s="19"/>
      <c r="C866" s="19"/>
      <c r="D866" s="19"/>
      <c r="E866" s="19"/>
    </row>
    <row r="867" ht="15.75" customHeight="1">
      <c r="A867" s="19"/>
      <c r="B867" s="19"/>
      <c r="C867" s="19"/>
      <c r="D867" s="19"/>
      <c r="E867" s="19"/>
    </row>
    <row r="868" ht="15.75" customHeight="1">
      <c r="A868" s="19"/>
      <c r="B868" s="19"/>
      <c r="C868" s="19"/>
      <c r="D868" s="19"/>
      <c r="E868" s="19"/>
    </row>
    <row r="869" ht="15.75" customHeight="1">
      <c r="A869" s="19"/>
      <c r="B869" s="19"/>
      <c r="C869" s="19"/>
      <c r="D869" s="19"/>
      <c r="E869" s="19"/>
    </row>
    <row r="870" ht="15.75" customHeight="1">
      <c r="A870" s="19"/>
      <c r="B870" s="19"/>
      <c r="C870" s="19"/>
      <c r="D870" s="19"/>
      <c r="E870" s="19"/>
    </row>
    <row r="871" ht="15.75" customHeight="1">
      <c r="A871" s="19"/>
      <c r="B871" s="19"/>
      <c r="C871" s="19"/>
      <c r="D871" s="19"/>
      <c r="E871" s="19"/>
    </row>
    <row r="872" ht="15.75" customHeight="1">
      <c r="A872" s="19"/>
      <c r="B872" s="19"/>
      <c r="C872" s="19"/>
      <c r="D872" s="19"/>
      <c r="E872" s="19"/>
    </row>
    <row r="873" ht="15.75" customHeight="1">
      <c r="A873" s="19"/>
      <c r="B873" s="19"/>
      <c r="C873" s="19"/>
      <c r="D873" s="19"/>
      <c r="E873" s="19"/>
    </row>
    <row r="874" ht="15.75" customHeight="1">
      <c r="A874" s="19"/>
      <c r="B874" s="19"/>
      <c r="C874" s="19"/>
      <c r="D874" s="19"/>
      <c r="E874" s="19"/>
    </row>
    <row r="875" ht="15.75" customHeight="1">
      <c r="A875" s="19"/>
      <c r="B875" s="19"/>
      <c r="C875" s="19"/>
      <c r="D875" s="19"/>
      <c r="E875" s="19"/>
    </row>
    <row r="876" ht="15.75" customHeight="1">
      <c r="A876" s="19"/>
      <c r="B876" s="19"/>
      <c r="C876" s="19"/>
      <c r="D876" s="19"/>
      <c r="E876" s="19"/>
    </row>
    <row r="877" ht="15.75" customHeight="1">
      <c r="A877" s="19"/>
      <c r="B877" s="19"/>
      <c r="C877" s="19"/>
      <c r="D877" s="19"/>
      <c r="E877" s="19"/>
    </row>
    <row r="878" ht="15.75" customHeight="1">
      <c r="A878" s="19"/>
      <c r="B878" s="19"/>
      <c r="C878" s="19"/>
      <c r="D878" s="19"/>
      <c r="E878" s="19"/>
    </row>
    <row r="879" ht="15.75" customHeight="1">
      <c r="A879" s="19"/>
      <c r="B879" s="19"/>
      <c r="C879" s="19"/>
      <c r="D879" s="19"/>
      <c r="E879" s="19"/>
    </row>
    <row r="880" ht="15.75" customHeight="1">
      <c r="A880" s="19"/>
      <c r="B880" s="19"/>
      <c r="C880" s="19"/>
      <c r="D880" s="19"/>
      <c r="E880" s="19"/>
    </row>
    <row r="881" ht="15.75" customHeight="1">
      <c r="A881" s="19"/>
      <c r="B881" s="19"/>
      <c r="C881" s="19"/>
      <c r="D881" s="19"/>
      <c r="E881" s="19"/>
    </row>
    <row r="882" ht="15.75" customHeight="1">
      <c r="A882" s="19"/>
      <c r="B882" s="19"/>
      <c r="C882" s="19"/>
      <c r="D882" s="19"/>
      <c r="E882" s="19"/>
    </row>
    <row r="883" ht="15.75" customHeight="1">
      <c r="A883" s="19"/>
      <c r="B883" s="19"/>
      <c r="C883" s="19"/>
      <c r="D883" s="19"/>
      <c r="E883" s="19"/>
    </row>
    <row r="884" ht="15.75" customHeight="1">
      <c r="A884" s="19"/>
      <c r="B884" s="19"/>
      <c r="C884" s="19"/>
      <c r="D884" s="19"/>
      <c r="E884" s="19"/>
    </row>
    <row r="885" ht="15.75" customHeight="1">
      <c r="A885" s="19"/>
      <c r="B885" s="19"/>
      <c r="C885" s="19"/>
      <c r="D885" s="19"/>
      <c r="E885" s="19"/>
    </row>
    <row r="886" ht="15.75" customHeight="1">
      <c r="A886" s="19"/>
      <c r="B886" s="19"/>
      <c r="C886" s="19"/>
      <c r="D886" s="19"/>
      <c r="E886" s="19"/>
    </row>
    <row r="887" ht="15.75" customHeight="1">
      <c r="A887" s="19"/>
      <c r="B887" s="19"/>
      <c r="C887" s="19"/>
      <c r="D887" s="19"/>
      <c r="E887" s="19"/>
    </row>
    <row r="888" ht="15.75" customHeight="1">
      <c r="A888" s="19"/>
      <c r="B888" s="19"/>
      <c r="C888" s="19"/>
      <c r="D888" s="19"/>
      <c r="E888" s="19"/>
    </row>
    <row r="889" ht="15.75" customHeight="1">
      <c r="A889" s="19"/>
      <c r="B889" s="19"/>
      <c r="C889" s="19"/>
      <c r="D889" s="19"/>
      <c r="E889" s="19"/>
    </row>
    <row r="890" ht="15.75" customHeight="1">
      <c r="A890" s="19"/>
      <c r="B890" s="19"/>
      <c r="C890" s="19"/>
      <c r="D890" s="19"/>
      <c r="E890" s="19"/>
    </row>
    <row r="891" ht="15.75" customHeight="1">
      <c r="A891" s="19"/>
      <c r="B891" s="19"/>
      <c r="C891" s="19"/>
      <c r="D891" s="19"/>
      <c r="E891" s="19"/>
    </row>
    <row r="892" ht="15.75" customHeight="1">
      <c r="A892" s="19"/>
      <c r="B892" s="19"/>
      <c r="C892" s="19"/>
      <c r="D892" s="19"/>
      <c r="E892" s="19"/>
    </row>
    <row r="893" ht="15.75" customHeight="1">
      <c r="A893" s="19"/>
      <c r="B893" s="19"/>
      <c r="C893" s="19"/>
      <c r="D893" s="19"/>
      <c r="E893" s="19"/>
    </row>
    <row r="894" ht="15.75" customHeight="1">
      <c r="A894" s="19"/>
      <c r="B894" s="19"/>
      <c r="C894" s="19"/>
      <c r="D894" s="19"/>
      <c r="E894" s="19"/>
    </row>
    <row r="895" ht="15.75" customHeight="1">
      <c r="A895" s="19"/>
      <c r="B895" s="19"/>
      <c r="C895" s="19"/>
      <c r="D895" s="19"/>
      <c r="E895" s="19"/>
    </row>
    <row r="896" ht="15.75" customHeight="1">
      <c r="A896" s="19"/>
      <c r="B896" s="19"/>
      <c r="C896" s="19"/>
      <c r="D896" s="19"/>
      <c r="E896" s="19"/>
    </row>
    <row r="897" ht="15.75" customHeight="1">
      <c r="A897" s="19"/>
      <c r="B897" s="19"/>
      <c r="C897" s="19"/>
      <c r="D897" s="19"/>
      <c r="E897" s="19"/>
    </row>
    <row r="898" ht="15.75" customHeight="1">
      <c r="A898" s="19"/>
      <c r="B898" s="19"/>
      <c r="C898" s="19"/>
      <c r="D898" s="19"/>
      <c r="E898" s="19"/>
    </row>
    <row r="899" ht="15.75" customHeight="1">
      <c r="A899" s="19"/>
      <c r="B899" s="19"/>
      <c r="C899" s="19"/>
      <c r="D899" s="19"/>
      <c r="E899" s="19"/>
    </row>
    <row r="900" ht="15.75" customHeight="1">
      <c r="A900" s="19"/>
      <c r="B900" s="19"/>
      <c r="C900" s="19"/>
      <c r="D900" s="19"/>
      <c r="E900" s="19"/>
    </row>
    <row r="901" ht="15.75" customHeight="1">
      <c r="A901" s="19"/>
      <c r="B901" s="19"/>
      <c r="C901" s="19"/>
      <c r="D901" s="19"/>
      <c r="E901" s="19"/>
    </row>
    <row r="902" ht="15.75" customHeight="1">
      <c r="A902" s="19"/>
      <c r="B902" s="19"/>
      <c r="C902" s="19"/>
      <c r="D902" s="19"/>
      <c r="E902" s="19"/>
    </row>
    <row r="903" ht="15.75" customHeight="1">
      <c r="A903" s="19"/>
      <c r="B903" s="19"/>
      <c r="C903" s="19"/>
      <c r="D903" s="19"/>
      <c r="E903" s="19"/>
    </row>
    <row r="904" ht="15.75" customHeight="1">
      <c r="A904" s="19"/>
      <c r="B904" s="19"/>
      <c r="C904" s="19"/>
      <c r="D904" s="19"/>
      <c r="E904" s="19"/>
    </row>
    <row r="905" ht="15.75" customHeight="1">
      <c r="A905" s="19"/>
      <c r="B905" s="19"/>
      <c r="C905" s="19"/>
      <c r="D905" s="19"/>
      <c r="E905" s="19"/>
    </row>
    <row r="906" ht="15.75" customHeight="1">
      <c r="A906" s="19"/>
      <c r="B906" s="19"/>
      <c r="C906" s="19"/>
      <c r="D906" s="19"/>
      <c r="E906" s="19"/>
    </row>
    <row r="907" ht="15.75" customHeight="1">
      <c r="A907" s="19"/>
      <c r="B907" s="19"/>
      <c r="C907" s="19"/>
      <c r="D907" s="19"/>
      <c r="E907" s="19"/>
    </row>
    <row r="908" ht="15.75" customHeight="1">
      <c r="A908" s="19"/>
      <c r="B908" s="19"/>
      <c r="C908" s="19"/>
      <c r="D908" s="19"/>
      <c r="E908" s="19"/>
    </row>
    <row r="909" ht="15.75" customHeight="1">
      <c r="A909" s="19"/>
      <c r="B909" s="19"/>
      <c r="C909" s="19"/>
      <c r="D909" s="19"/>
      <c r="E909" s="19"/>
    </row>
    <row r="910" ht="15.75" customHeight="1">
      <c r="A910" s="19"/>
      <c r="B910" s="19"/>
      <c r="C910" s="19"/>
      <c r="D910" s="19"/>
      <c r="E910" s="19"/>
    </row>
    <row r="911" ht="15.75" customHeight="1">
      <c r="A911" s="19"/>
      <c r="B911" s="19"/>
      <c r="C911" s="19"/>
      <c r="D911" s="19"/>
      <c r="E911" s="19"/>
    </row>
    <row r="912" ht="15.75" customHeight="1">
      <c r="A912" s="19"/>
      <c r="B912" s="19"/>
      <c r="C912" s="19"/>
      <c r="D912" s="19"/>
      <c r="E912" s="19"/>
    </row>
    <row r="913" ht="15.75" customHeight="1">
      <c r="A913" s="19"/>
      <c r="B913" s="19"/>
      <c r="C913" s="19"/>
      <c r="D913" s="19"/>
      <c r="E913" s="19"/>
    </row>
    <row r="914" ht="15.75" customHeight="1">
      <c r="A914" s="19"/>
      <c r="B914" s="19"/>
      <c r="C914" s="19"/>
      <c r="D914" s="19"/>
      <c r="E914" s="19"/>
    </row>
    <row r="915" ht="15.75" customHeight="1">
      <c r="A915" s="19"/>
      <c r="B915" s="19"/>
      <c r="C915" s="19"/>
      <c r="D915" s="19"/>
      <c r="E915" s="19"/>
    </row>
    <row r="916" ht="15.75" customHeight="1">
      <c r="A916" s="19"/>
      <c r="B916" s="19"/>
      <c r="C916" s="19"/>
      <c r="D916" s="19"/>
      <c r="E916" s="19"/>
    </row>
    <row r="917" ht="15.75" customHeight="1">
      <c r="A917" s="19"/>
      <c r="B917" s="19"/>
      <c r="C917" s="19"/>
      <c r="D917" s="19"/>
      <c r="E917" s="19"/>
    </row>
    <row r="918" ht="15.75" customHeight="1">
      <c r="A918" s="19"/>
      <c r="B918" s="19"/>
      <c r="C918" s="19"/>
      <c r="D918" s="19"/>
      <c r="E918" s="19"/>
    </row>
    <row r="919" ht="15.75" customHeight="1">
      <c r="A919" s="19"/>
      <c r="B919" s="19"/>
      <c r="C919" s="19"/>
      <c r="D919" s="19"/>
      <c r="E919" s="19"/>
    </row>
    <row r="920" ht="15.75" customHeight="1">
      <c r="A920" s="19"/>
      <c r="B920" s="19"/>
      <c r="C920" s="19"/>
      <c r="D920" s="19"/>
      <c r="E920" s="19"/>
    </row>
    <row r="921" ht="15.75" customHeight="1">
      <c r="A921" s="19"/>
      <c r="B921" s="19"/>
      <c r="C921" s="19"/>
      <c r="D921" s="19"/>
      <c r="E921" s="19"/>
    </row>
    <row r="922" ht="15.75" customHeight="1">
      <c r="A922" s="19"/>
      <c r="B922" s="19"/>
      <c r="C922" s="19"/>
      <c r="D922" s="19"/>
      <c r="E922" s="19"/>
    </row>
    <row r="923" ht="15.75" customHeight="1">
      <c r="A923" s="19"/>
      <c r="B923" s="19"/>
      <c r="C923" s="19"/>
      <c r="D923" s="19"/>
      <c r="E923" s="19"/>
    </row>
    <row r="924" ht="15.75" customHeight="1">
      <c r="A924" s="19"/>
      <c r="B924" s="19"/>
      <c r="C924" s="19"/>
      <c r="D924" s="19"/>
      <c r="E924" s="19"/>
    </row>
    <row r="925" ht="15.75" customHeight="1">
      <c r="A925" s="19"/>
      <c r="B925" s="19"/>
      <c r="C925" s="19"/>
      <c r="D925" s="19"/>
      <c r="E925" s="19"/>
    </row>
    <row r="926" ht="15.75" customHeight="1">
      <c r="A926" s="19"/>
      <c r="B926" s="19"/>
      <c r="C926" s="19"/>
      <c r="D926" s="19"/>
      <c r="E926" s="19"/>
    </row>
    <row r="927" ht="15.75" customHeight="1">
      <c r="A927" s="19"/>
      <c r="B927" s="19"/>
      <c r="C927" s="19"/>
      <c r="D927" s="19"/>
      <c r="E927" s="19"/>
    </row>
    <row r="928" ht="15.75" customHeight="1">
      <c r="A928" s="19"/>
      <c r="B928" s="19"/>
      <c r="C928" s="19"/>
      <c r="D928" s="19"/>
      <c r="E928" s="19"/>
    </row>
    <row r="929" ht="15.75" customHeight="1">
      <c r="A929" s="19"/>
      <c r="B929" s="19"/>
      <c r="C929" s="19"/>
      <c r="D929" s="19"/>
      <c r="E929" s="19"/>
    </row>
    <row r="930" ht="15.75" customHeight="1">
      <c r="A930" s="19"/>
      <c r="B930" s="19"/>
      <c r="C930" s="19"/>
      <c r="D930" s="19"/>
      <c r="E930" s="19"/>
    </row>
    <row r="931" ht="15.75" customHeight="1">
      <c r="A931" s="19"/>
      <c r="B931" s="19"/>
      <c r="C931" s="19"/>
      <c r="D931" s="19"/>
      <c r="E931" s="19"/>
    </row>
    <row r="932" ht="15.75" customHeight="1">
      <c r="A932" s="19"/>
      <c r="B932" s="19"/>
      <c r="C932" s="19"/>
      <c r="D932" s="19"/>
      <c r="E932" s="19"/>
    </row>
    <row r="933" ht="15.75" customHeight="1">
      <c r="A933" s="19"/>
      <c r="B933" s="19"/>
      <c r="C933" s="19"/>
      <c r="D933" s="19"/>
      <c r="E933" s="19"/>
    </row>
    <row r="934" ht="15.75" customHeight="1">
      <c r="A934" s="19"/>
      <c r="B934" s="19"/>
      <c r="C934" s="19"/>
      <c r="D934" s="19"/>
      <c r="E934" s="19"/>
    </row>
    <row r="935" ht="15.75" customHeight="1">
      <c r="A935" s="19"/>
      <c r="B935" s="19"/>
      <c r="C935" s="19"/>
      <c r="D935" s="19"/>
      <c r="E935" s="19"/>
    </row>
    <row r="936" ht="15.75" customHeight="1">
      <c r="A936" s="19"/>
      <c r="B936" s="19"/>
      <c r="C936" s="19"/>
      <c r="D936" s="19"/>
      <c r="E936" s="19"/>
    </row>
    <row r="937" ht="15.75" customHeight="1">
      <c r="A937" s="19"/>
      <c r="B937" s="19"/>
      <c r="C937" s="19"/>
      <c r="D937" s="19"/>
      <c r="E937" s="19"/>
    </row>
    <row r="938" ht="15.75" customHeight="1">
      <c r="A938" s="19"/>
      <c r="B938" s="19"/>
      <c r="C938" s="19"/>
      <c r="D938" s="19"/>
      <c r="E938" s="19"/>
    </row>
    <row r="939" ht="15.75" customHeight="1">
      <c r="A939" s="19"/>
      <c r="B939" s="19"/>
      <c r="C939" s="19"/>
      <c r="D939" s="19"/>
      <c r="E939" s="19"/>
    </row>
    <row r="940" ht="15.75" customHeight="1">
      <c r="A940" s="19"/>
      <c r="B940" s="19"/>
      <c r="C940" s="19"/>
      <c r="D940" s="19"/>
      <c r="E940" s="19"/>
    </row>
    <row r="941" ht="15.75" customHeight="1">
      <c r="A941" s="19"/>
      <c r="B941" s="19"/>
      <c r="C941" s="19"/>
      <c r="D941" s="19"/>
      <c r="E941" s="19"/>
    </row>
    <row r="942" ht="15.75" customHeight="1">
      <c r="A942" s="19"/>
      <c r="B942" s="19"/>
      <c r="C942" s="19"/>
      <c r="D942" s="19"/>
      <c r="E942" s="19"/>
    </row>
    <row r="943" ht="15.75" customHeight="1">
      <c r="A943" s="19"/>
      <c r="B943" s="19"/>
      <c r="C943" s="19"/>
      <c r="D943" s="19"/>
      <c r="E943" s="19"/>
    </row>
    <row r="944" ht="15.75" customHeight="1">
      <c r="A944" s="19"/>
      <c r="B944" s="19"/>
      <c r="C944" s="19"/>
      <c r="D944" s="19"/>
      <c r="E944" s="19"/>
    </row>
    <row r="945" ht="15.75" customHeight="1">
      <c r="A945" s="19"/>
      <c r="B945" s="19"/>
      <c r="C945" s="19"/>
      <c r="D945" s="19"/>
      <c r="E945" s="19"/>
    </row>
    <row r="946" ht="15.75" customHeight="1">
      <c r="A946" s="19"/>
      <c r="B946" s="19"/>
      <c r="C946" s="19"/>
      <c r="D946" s="19"/>
      <c r="E946" s="19"/>
    </row>
    <row r="947" ht="15.75" customHeight="1">
      <c r="A947" s="19"/>
      <c r="B947" s="19"/>
      <c r="C947" s="19"/>
      <c r="D947" s="19"/>
      <c r="E947" s="19"/>
    </row>
    <row r="948" ht="15.75" customHeight="1">
      <c r="A948" s="19"/>
      <c r="B948" s="19"/>
      <c r="C948" s="19"/>
      <c r="D948" s="19"/>
      <c r="E948" s="19"/>
    </row>
    <row r="949" ht="15.75" customHeight="1">
      <c r="A949" s="19"/>
      <c r="B949" s="19"/>
      <c r="C949" s="19"/>
      <c r="D949" s="19"/>
      <c r="E949" s="19"/>
    </row>
    <row r="950" ht="15.75" customHeight="1">
      <c r="A950" s="19"/>
      <c r="B950" s="19"/>
      <c r="C950" s="19"/>
      <c r="D950" s="19"/>
      <c r="E950" s="19"/>
    </row>
    <row r="951" ht="15.75" customHeight="1">
      <c r="A951" s="19"/>
      <c r="B951" s="19"/>
      <c r="C951" s="19"/>
      <c r="D951" s="19"/>
      <c r="E951" s="19"/>
    </row>
    <row r="952" ht="15.75" customHeight="1">
      <c r="A952" s="19"/>
      <c r="B952" s="19"/>
      <c r="C952" s="19"/>
      <c r="D952" s="19"/>
      <c r="E952" s="19"/>
    </row>
    <row r="953" ht="15.75" customHeight="1">
      <c r="A953" s="19"/>
      <c r="B953" s="19"/>
      <c r="C953" s="19"/>
      <c r="D953" s="19"/>
      <c r="E953" s="19"/>
    </row>
    <row r="954" ht="15.75" customHeight="1">
      <c r="A954" s="19"/>
      <c r="B954" s="19"/>
      <c r="C954" s="19"/>
      <c r="D954" s="19"/>
      <c r="E954" s="19"/>
    </row>
    <row r="955" ht="15.75" customHeight="1">
      <c r="A955" s="19"/>
      <c r="B955" s="19"/>
      <c r="C955" s="19"/>
      <c r="D955" s="19"/>
      <c r="E955" s="19"/>
    </row>
    <row r="956" ht="15.75" customHeight="1">
      <c r="A956" s="19"/>
      <c r="B956" s="19"/>
      <c r="C956" s="19"/>
      <c r="D956" s="19"/>
      <c r="E956" s="19"/>
    </row>
    <row r="957" ht="15.75" customHeight="1">
      <c r="A957" s="19"/>
      <c r="B957" s="19"/>
      <c r="C957" s="19"/>
      <c r="D957" s="19"/>
      <c r="E957" s="19"/>
    </row>
    <row r="958" ht="15.75" customHeight="1">
      <c r="A958" s="19"/>
      <c r="B958" s="19"/>
      <c r="C958" s="19"/>
      <c r="D958" s="19"/>
      <c r="E958" s="19"/>
    </row>
    <row r="959" ht="15.75" customHeight="1">
      <c r="A959" s="19"/>
      <c r="B959" s="19"/>
      <c r="C959" s="19"/>
      <c r="D959" s="19"/>
      <c r="E959" s="19"/>
    </row>
    <row r="960" ht="15.75" customHeight="1">
      <c r="A960" s="19"/>
      <c r="B960" s="19"/>
      <c r="C960" s="19"/>
      <c r="D960" s="19"/>
      <c r="E960" s="19"/>
    </row>
    <row r="961" ht="15.75" customHeight="1">
      <c r="A961" s="19"/>
      <c r="B961" s="19"/>
      <c r="C961" s="19"/>
      <c r="D961" s="19"/>
      <c r="E961" s="19"/>
    </row>
    <row r="962" ht="15.75" customHeight="1">
      <c r="A962" s="19"/>
      <c r="B962" s="19"/>
      <c r="C962" s="19"/>
      <c r="D962" s="19"/>
      <c r="E962" s="19"/>
    </row>
    <row r="963" ht="15.75" customHeight="1">
      <c r="A963" s="19"/>
      <c r="B963" s="19"/>
      <c r="C963" s="19"/>
      <c r="D963" s="19"/>
      <c r="E963" s="19"/>
    </row>
    <row r="964" ht="15.75" customHeight="1">
      <c r="A964" s="19"/>
      <c r="B964" s="19"/>
      <c r="C964" s="19"/>
      <c r="D964" s="19"/>
      <c r="E964" s="19"/>
    </row>
    <row r="965" ht="15.75" customHeight="1">
      <c r="A965" s="19"/>
      <c r="B965" s="19"/>
      <c r="C965" s="19"/>
      <c r="D965" s="19"/>
      <c r="E965" s="19"/>
    </row>
    <row r="966" ht="15.75" customHeight="1">
      <c r="A966" s="19"/>
      <c r="B966" s="19"/>
      <c r="C966" s="19"/>
      <c r="D966" s="19"/>
      <c r="E966" s="19"/>
    </row>
    <row r="967" ht="15.75" customHeight="1">
      <c r="A967" s="19"/>
      <c r="B967" s="19"/>
      <c r="C967" s="19"/>
      <c r="D967" s="19"/>
      <c r="E967" s="19"/>
    </row>
    <row r="968" ht="15.75" customHeight="1">
      <c r="A968" s="19"/>
      <c r="B968" s="19"/>
      <c r="C968" s="19"/>
      <c r="D968" s="19"/>
      <c r="E968" s="19"/>
    </row>
    <row r="969" ht="15.75" customHeight="1">
      <c r="A969" s="19"/>
      <c r="B969" s="19"/>
      <c r="C969" s="19"/>
      <c r="D969" s="19"/>
      <c r="E969" s="19"/>
    </row>
    <row r="970" ht="15.75" customHeight="1">
      <c r="A970" s="19"/>
      <c r="B970" s="19"/>
      <c r="C970" s="19"/>
      <c r="D970" s="19"/>
      <c r="E970" s="19"/>
    </row>
    <row r="971" ht="15.75" customHeight="1">
      <c r="A971" s="19"/>
      <c r="B971" s="19"/>
      <c r="C971" s="19"/>
      <c r="D971" s="19"/>
      <c r="E971" s="19"/>
    </row>
    <row r="972" ht="15.75" customHeight="1">
      <c r="A972" s="19"/>
      <c r="B972" s="19"/>
      <c r="C972" s="19"/>
      <c r="D972" s="19"/>
      <c r="E972" s="19"/>
    </row>
    <row r="973" ht="15.75" customHeight="1">
      <c r="A973" s="19"/>
      <c r="B973" s="19"/>
      <c r="C973" s="19"/>
      <c r="D973" s="19"/>
      <c r="E973" s="19"/>
    </row>
    <row r="974" ht="15.75" customHeight="1">
      <c r="A974" s="19"/>
      <c r="B974" s="19"/>
      <c r="C974" s="19"/>
      <c r="D974" s="19"/>
      <c r="E974" s="19"/>
    </row>
    <row r="975" ht="15.75" customHeight="1">
      <c r="A975" s="19"/>
      <c r="B975" s="19"/>
      <c r="C975" s="19"/>
      <c r="D975" s="19"/>
      <c r="E975" s="19"/>
    </row>
    <row r="976" ht="15.75" customHeight="1">
      <c r="A976" s="19"/>
      <c r="B976" s="19"/>
      <c r="C976" s="19"/>
      <c r="D976" s="19"/>
      <c r="E976" s="19"/>
    </row>
    <row r="977" ht="15.75" customHeight="1">
      <c r="A977" s="19"/>
      <c r="B977" s="19"/>
      <c r="C977" s="19"/>
      <c r="D977" s="19"/>
      <c r="E977" s="19"/>
    </row>
    <row r="978" ht="15.75" customHeight="1">
      <c r="A978" s="19"/>
      <c r="B978" s="19"/>
      <c r="C978" s="19"/>
      <c r="D978" s="19"/>
      <c r="E978" s="19"/>
    </row>
    <row r="979" ht="15.75" customHeight="1">
      <c r="A979" s="19"/>
      <c r="B979" s="19"/>
      <c r="C979" s="19"/>
      <c r="D979" s="19"/>
      <c r="E979" s="19"/>
    </row>
    <row r="980" ht="15.75" customHeight="1">
      <c r="A980" s="19"/>
      <c r="B980" s="19"/>
      <c r="C980" s="19"/>
      <c r="D980" s="19"/>
      <c r="E980" s="19"/>
    </row>
    <row r="981" ht="15.75" customHeight="1">
      <c r="A981" s="19"/>
      <c r="B981" s="19"/>
      <c r="C981" s="19"/>
      <c r="D981" s="19"/>
      <c r="E981" s="19"/>
    </row>
    <row r="982" ht="15.75" customHeight="1">
      <c r="A982" s="19"/>
      <c r="B982" s="19"/>
      <c r="C982" s="19"/>
      <c r="D982" s="19"/>
      <c r="E982" s="19"/>
    </row>
    <row r="983" ht="15.75" customHeight="1">
      <c r="A983" s="19"/>
      <c r="B983" s="19"/>
      <c r="C983" s="19"/>
      <c r="D983" s="19"/>
      <c r="E983" s="19"/>
    </row>
    <row r="984" ht="15.75" customHeight="1">
      <c r="A984" s="19"/>
      <c r="B984" s="19"/>
      <c r="C984" s="19"/>
      <c r="D984" s="19"/>
      <c r="E984" s="19"/>
    </row>
    <row r="985" ht="15.75" customHeight="1">
      <c r="A985" s="19"/>
      <c r="B985" s="19"/>
      <c r="C985" s="19"/>
      <c r="D985" s="19"/>
      <c r="E985" s="19"/>
    </row>
    <row r="986" ht="15.75" customHeight="1">
      <c r="A986" s="19"/>
      <c r="B986" s="19"/>
      <c r="C986" s="19"/>
      <c r="D986" s="19"/>
      <c r="E986" s="19"/>
    </row>
    <row r="987" ht="15.75" customHeight="1">
      <c r="A987" s="19"/>
      <c r="B987" s="19"/>
      <c r="C987" s="19"/>
      <c r="D987" s="19"/>
      <c r="E987" s="19"/>
    </row>
    <row r="988" ht="15.75" customHeight="1">
      <c r="A988" s="19"/>
      <c r="B988" s="19"/>
      <c r="C988" s="19"/>
      <c r="D988" s="19"/>
      <c r="E988" s="19"/>
    </row>
    <row r="989" ht="15.75" customHeight="1">
      <c r="A989" s="19"/>
      <c r="B989" s="19"/>
      <c r="C989" s="19"/>
      <c r="D989" s="19"/>
      <c r="E989" s="19"/>
    </row>
    <row r="990" ht="15.75" customHeight="1">
      <c r="A990" s="19"/>
      <c r="B990" s="19"/>
      <c r="C990" s="19"/>
      <c r="D990" s="19"/>
      <c r="E990" s="19"/>
    </row>
    <row r="991" ht="15.75" customHeight="1">
      <c r="A991" s="19"/>
      <c r="B991" s="19"/>
      <c r="C991" s="19"/>
      <c r="D991" s="19"/>
      <c r="E991" s="19"/>
    </row>
    <row r="992" ht="15.75" customHeight="1">
      <c r="A992" s="19"/>
      <c r="B992" s="19"/>
      <c r="C992" s="19"/>
      <c r="D992" s="19"/>
      <c r="E992" s="19"/>
    </row>
    <row r="993" ht="15.75" customHeight="1">
      <c r="A993" s="19"/>
      <c r="B993" s="19"/>
      <c r="C993" s="19"/>
      <c r="D993" s="19"/>
      <c r="E993" s="19"/>
    </row>
    <row r="994" ht="15.75" customHeight="1">
      <c r="A994" s="19"/>
      <c r="B994" s="19"/>
      <c r="C994" s="19"/>
      <c r="D994" s="19"/>
      <c r="E994" s="19"/>
    </row>
    <row r="995" ht="15.75" customHeight="1">
      <c r="A995" s="19"/>
      <c r="B995" s="19"/>
      <c r="C995" s="19"/>
      <c r="D995" s="19"/>
      <c r="E995" s="19"/>
    </row>
    <row r="996" ht="15.75" customHeight="1">
      <c r="A996" s="19"/>
      <c r="B996" s="19"/>
      <c r="C996" s="19"/>
      <c r="D996" s="19"/>
      <c r="E996" s="19"/>
    </row>
    <row r="997" ht="15.75" customHeight="1">
      <c r="A997" s="19"/>
      <c r="B997" s="19"/>
      <c r="C997" s="19"/>
      <c r="D997" s="19"/>
      <c r="E997" s="19"/>
    </row>
    <row r="998" ht="15.75" customHeight="1">
      <c r="A998" s="19"/>
      <c r="B998" s="19"/>
      <c r="C998" s="19"/>
      <c r="D998" s="19"/>
      <c r="E998" s="19"/>
    </row>
    <row r="999" ht="15.75" customHeight="1">
      <c r="A999" s="19"/>
      <c r="B999" s="19"/>
      <c r="C999" s="19"/>
      <c r="D999" s="19"/>
      <c r="E999" s="19"/>
    </row>
    <row r="1000" ht="15.75" customHeight="1">
      <c r="A1000" s="19"/>
      <c r="B1000" s="19"/>
      <c r="C1000" s="19"/>
      <c r="D1000" s="19"/>
      <c r="E1000" s="19"/>
    </row>
  </sheetData>
  <mergeCells count="1">
    <mergeCell ref="A2:E2"/>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2026-10-04T23:32:50Z</dcterms:created>
  <dc:creator>openpyxl</dc:creator>
</cp:coreProperties>
</file>

<file path=docProps/custom.xml><?xml version="1.0" encoding="utf-8"?>
<Properties xmlns="http://schemas.openxmlformats.org/officeDocument/2006/custom-properties" xmlns:vt="http://schemas.openxmlformats.org/officeDocument/2006/docPropsVTypes"/>
</file>