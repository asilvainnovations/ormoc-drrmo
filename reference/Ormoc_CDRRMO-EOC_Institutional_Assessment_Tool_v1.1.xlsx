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Dashboard" sheetId="2" state="visible" r:id="rId4"/>
    <sheet name="Profile" sheetId="3" state="visible" r:id="rId5"/>
    <sheet name="A_CDRRMO" sheetId="4" state="visible" r:id="rId6"/>
    <sheet name="B_EOC" sheetId="5" state="visible" r:id="rId7"/>
    <sheet name="C_Interface" sheetId="6" state="visible" r:id="rId8"/>
    <sheet name="Action_Plan" sheetId="7" state="visible" r:id="rId9"/>
    <sheet name="References" sheetId="8" state="visible" r:id="rId10"/>
    <sheet name="Crosswalk" sheetId="9" state="visible" r:id="rId11"/>
  </sheets>
  <definedNames>
    <definedName function="false" hidden="true" localSheetId="3" name="_xlnm._FilterDatabase" vbProcedure="false">A_CDRRMO!$A$4:$P$81</definedName>
    <definedName function="false" hidden="true" localSheetId="6" name="_xlnm._FilterDatabase" vbProcedure="false">Action_Plan!$A$3:$L$143</definedName>
    <definedName function="false" hidden="true" localSheetId="4" name="_xlnm._FilterDatabase" vbProcedure="false">B_EOC!$A$4:$P$52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<sst xmlns="http://schemas.openxmlformats.org/spreadsheetml/2006/main" count="1796" uniqueCount="1104">
  <si>
    <t xml:space="preserve">CITY GOVERNMENT OF ORMOC</t>
  </si>
  <si>
    <t xml:space="preserve">Institutional Assessment Tool (IAT) for the CDRRMO and Emergency Operations Center</t>
  </si>
  <si>
    <t xml:space="preserve">Scoring workbook - companion to the IAT Standards, Policy &amp; Methodology document. Version 1.1 (October 2026), draft for validation with CDRRMO Ormoc. v1.1 adds RA 12287 IRR (signed 14 Sep 2026) requirements and selected UNDRR Scorecard indicators.</t>
  </si>
  <si>
    <t xml:space="preserve">HOW TO USE</t>
  </si>
  <si>
    <t xml:space="preserve">1. Fill in the Profile sheet (assessment date, team, informants).</t>
  </si>
  <si>
    <t xml:space="preserve">2. In A_CDRRMO and B_EOC, score each indicator in the yellow 'Score' column using the 0-4 rubric below, or NA if it truly does not apply to Ormoc.</t>
  </si>
  <si>
    <t xml:space="preserve">3. Record the evidence actually seen (document title/date, site observation) in 'Evidence Observed'. No evidence = score of 2 or lower.</t>
  </si>
  <si>
    <t xml:space="preserve">4. Write the gap and recommended action. Priority and compliance status calculate automatically.</t>
  </si>
  <si>
    <t xml:space="preserve">5. Review the Dashboard (domain maturity, mandatory compliance, priority gaps), then complete the Action_Plan sheet for High-priority items.</t>
  </si>
  <si>
    <t xml:space="preserve">6. Validate scores with CDRRMO management in the validation workshop before finalizing. Change only yellow cells; grey/white cells are formulas or reference text.</t>
  </si>
  <si>
    <t xml:space="preserve">SCORING RUBRIC (per indicator)</t>
  </si>
  <si>
    <t xml:space="preserve">Score</t>
  </si>
  <si>
    <t xml:space="preserve">Maturity level</t>
  </si>
  <si>
    <t xml:space="preserve">What it looks like</t>
  </si>
  <si>
    <t xml:space="preserve">Minimum evidence required</t>
  </si>
  <si>
    <t xml:space="preserve">0</t>
  </si>
  <si>
    <t xml:space="preserve">Absent</t>
  </si>
  <si>
    <t xml:space="preserve">Not in place; no plan to establish.</t>
  </si>
  <si>
    <t xml:space="preserve">None</t>
  </si>
  <si>
    <t xml:space="preserve">1</t>
  </si>
  <si>
    <t xml:space="preserve">Initial / Ad hoc</t>
  </si>
  <si>
    <t xml:space="preserve">Done informally, depends on individuals; not documented.</t>
  </si>
  <si>
    <t xml:space="preserve">Verbal account (KII/FGD) only</t>
  </si>
  <si>
    <t xml:space="preserve">2</t>
  </si>
  <si>
    <t xml:space="preserve">Developing</t>
  </si>
  <si>
    <t xml:space="preserve">Exists but incomplete, outdated, unapproved or not consistently applied.</t>
  </si>
  <si>
    <t xml:space="preserve">Draft or partial document, or observation of partial practice</t>
  </si>
  <si>
    <t xml:space="preserve">3</t>
  </si>
  <si>
    <t xml:space="preserve">Compliant / Established</t>
  </si>
  <si>
    <t xml:space="preserve">Meets the legal/policy standard; documented, approved, applied.</t>
  </si>
  <si>
    <t xml:space="preserve">Approved document AND proof of use (records, logs, reports)</t>
  </si>
  <si>
    <t xml:space="preserve">4</t>
  </si>
  <si>
    <t xml:space="preserve">Advanced / Institutionalized</t>
  </si>
  <si>
    <t xml:space="preserve">Exceeds standard; tested, reviewed and improved regularly; a model for others.</t>
  </si>
  <si>
    <t xml:space="preserve">Level 3 evidence PLUS test/exercise/AAR showing review and improvement</t>
  </si>
  <si>
    <t xml:space="preserve">NA</t>
  </si>
  <si>
    <t xml:space="preserve">Not applicable</t>
  </si>
  <si>
    <t xml:space="preserve">Indicator does not apply to Ormoc's context. Excluded from computation.</t>
  </si>
  <si>
    <t xml:space="preserve">Written justification in Remarks</t>
  </si>
  <si>
    <t xml:space="preserve">AUTOMATIC CALCULATIONS</t>
  </si>
  <si>
    <t xml:space="preserve">Domain Maturity Index (0-4)</t>
  </si>
  <si>
    <t xml:space="preserve">Weighted average of scored indicators: sum(score x weight) / sum(weight). NA and blanks excluded.</t>
  </si>
  <si>
    <t xml:space="preserve">Maturity band</t>
  </si>
  <si>
    <t xml:space="preserve">&lt;0.5 Absent | 0.5-1.49 Initial | 1.5-2.49 Developing | 2.5-3.49 Compliant | &gt;=3.5 Advanced</t>
  </si>
  <si>
    <t xml:space="preserve">Mandatory Compliance Rate</t>
  </si>
  <si>
    <t xml:space="preserve">Share of scored Mandatory (M) indicators rated 3 or 4. Target: 100%.</t>
  </si>
  <si>
    <t xml:space="preserve">Gap Priority Score</t>
  </si>
  <si>
    <t xml:space="preserve">(4 - score) x weight x 1.5 if Mandatory (x1.0 if Good Practice). High &gt;= 9; Medium 4-8.9; Low &lt; 4.</t>
  </si>
  <si>
    <t xml:space="preserve">Weight</t>
  </si>
  <si>
    <t xml:space="preserve">3 = critical to life-safety or legal compliance; 2 = important to effectiveness; 1 = supportive/good practice.</t>
  </si>
  <si>
    <t xml:space="preserve">CELL LEGEND</t>
  </si>
  <si>
    <t xml:space="preserve">Yellow</t>
  </si>
  <si>
    <t xml:space="preserve">Input - assessor fills in</t>
  </si>
  <si>
    <t xml:space="preserve">Grey</t>
  </si>
  <si>
    <t xml:space="preserve">Formula - do not edit</t>
  </si>
  <si>
    <t xml:space="preserve">EXAMPLE OF A COMPLETED ROW (illustrative only)</t>
  </si>
  <si>
    <t xml:space="preserve">Indicator</t>
  </si>
  <si>
    <t xml:space="preserve">Evidence Observed</t>
  </si>
  <si>
    <t xml:space="preserve">Gap / Remarks</t>
  </si>
  <si>
    <t xml:space="preserve">Recommended Action</t>
  </si>
  <si>
    <t xml:space="preserve">A2.6 24/7 operations capability with documented shift roster</t>
  </si>
  <si>
    <t xml:space="preserve">Roster for Jul-Sep 2026 seen; night shift covered by 1 staff only; logbook gaps on 3 dates.</t>
  </si>
  <si>
    <t xml:space="preserve">Night shift below minimum; no handover form.</t>
  </si>
  <si>
    <t xml:space="preserve">Adopt 3-shift roster with min. 2 duty officers/shift; introduce handover form (MOO Ch.4).</t>
  </si>
  <si>
    <t xml:space="preserve">WHAT CHANGED IN VERSION 1.1</t>
  </si>
  <si>
    <t xml:space="preserve">Totals</t>
  </si>
  <si>
    <t xml:space="preserve">125 indicators in Parts A and B (82 CDRRMO, 43 EOC); 79 Mandatory, 46 Good Practice. Up from 108 (73 M / 35 GP).</t>
  </si>
  <si>
    <t xml:space="preserve">RA 12287 IRR</t>
  </si>
  <si>
    <t xml:space="preserve">6 new Mandatory indicators (A1.8, A2.9, A6.7, A8.8, A8.9, A10.8) and 6 revised (A1.6, A2.8, A4.6, A6.2, A8.6, B1.2). A4.6 now follows IRR Rule V: AA is charged to up to 10% of the 70% LDRRMF, not to the QRF.</t>
  </si>
  <si>
    <t xml:space="preserve">UNDRR Scorecard</t>
  </si>
  <si>
    <t xml:space="preserve">11 new Good Practice indicators adapted from the Detailed Level Scorecard (A2.10, A4.9, A5.7, A5.8, A5.9, A7.8, A7.9, A9.5, A10.9, B5.7, B6.6); A7.6 and A10.2 widened. The DRSC reference sits in the Standard column.</t>
  </si>
  <si>
    <t xml:space="preserve">Part C</t>
  </si>
  <si>
    <t xml:space="preserve">New C_Interface sheet: 15 indicators owned by other offices (planning, engineering, utilities, environment, health, education, agriculture). Same rubric; separate index on the Dashboard; not counted in the IMI or the Mandatory Compliance Rate.</t>
  </si>
  <si>
    <t xml:space="preserve">Crosswalk</t>
  </si>
  <si>
    <t xml:space="preserve">The Crosswalk sheet shows how every Scorecard criterion and every IRR provision is treated: New, Modified, Covered, Interface or Deferred to the city-wide Scorecard workshop.</t>
  </si>
  <si>
    <t xml:space="preserve">INSTITUTIONAL ASSESSMENT DASHBOARD - CDRRMO &amp; EOC, CITY OF ORMOC</t>
  </si>
  <si>
    <t xml:space="preserve">All values compute from the A_CDRRMO and B_EOC sheets. Maturity Index scale 0-4.</t>
  </si>
  <si>
    <t xml:space="preserve">Code</t>
  </si>
  <si>
    <t xml:space="preserve">Domain</t>
  </si>
  <si>
    <t xml:space="preserve">Indicators</t>
  </si>
  <si>
    <t xml:space="preserve">Scored</t>
  </si>
  <si>
    <t xml:space="preserve">Maturity Index (0-4)</t>
  </si>
  <si>
    <t xml:space="preserve">Maturity Band</t>
  </si>
  <si>
    <t xml:space="preserve">Mandatory Compliance</t>
  </si>
  <si>
    <t xml:space="preserve">High-priority gaps</t>
  </si>
  <si>
    <t xml:space="preserve">Index %</t>
  </si>
  <si>
    <t xml:space="preserve">A1</t>
  </si>
  <si>
    <t xml:space="preserve">Legal Mandate &amp; DRRM Governance</t>
  </si>
  <si>
    <t xml:space="preserve">A2</t>
  </si>
  <si>
    <t xml:space="preserve">Organization, Staffing &amp; Human Resources</t>
  </si>
  <si>
    <t xml:space="preserve">A3</t>
  </si>
  <si>
    <t xml:space="preserve">DRRM &amp; Contingency Planning</t>
  </si>
  <si>
    <t xml:space="preserve">A4</t>
  </si>
  <si>
    <t xml:space="preserve">DRRM Financing &amp; Fund Management</t>
  </si>
  <si>
    <t xml:space="preserve">A5</t>
  </si>
  <si>
    <t xml:space="preserve">Risk Assessment, Data &amp; Knowledge Management</t>
  </si>
  <si>
    <t xml:space="preserve">A6</t>
  </si>
  <si>
    <t xml:space="preserve">Early Warning &amp; Risk Communication</t>
  </si>
  <si>
    <t xml:space="preserve">A7</t>
  </si>
  <si>
    <t xml:space="preserve">Preparedness &amp; Community Capacity</t>
  </si>
  <si>
    <t xml:space="preserve">A8</t>
  </si>
  <si>
    <t xml:space="preserve">Response Capability</t>
  </si>
  <si>
    <t xml:space="preserve">A9</t>
  </si>
  <si>
    <t xml:space="preserve">Rehabilitation &amp; Recovery</t>
  </si>
  <si>
    <t xml:space="preserve">A10</t>
  </si>
  <si>
    <t xml:space="preserve">Partnerships, M&amp;E &amp; Accountability</t>
  </si>
  <si>
    <t xml:space="preserve">B1</t>
  </si>
  <si>
    <t xml:space="preserve">EOC Legal Basis &amp; Concept of Operations</t>
  </si>
  <si>
    <t xml:space="preserve">B2</t>
  </si>
  <si>
    <t xml:space="preserve">EOC Facility, Site &amp; Resilience</t>
  </si>
  <si>
    <t xml:space="preserve">B3</t>
  </si>
  <si>
    <t xml:space="preserve">EOC Communications &amp; ICT</t>
  </si>
  <si>
    <t xml:space="preserve">B4</t>
  </si>
  <si>
    <t xml:space="preserve">EOC Organization &amp; Staffing</t>
  </si>
  <si>
    <t xml:space="preserve">B5</t>
  </si>
  <si>
    <t xml:space="preserve">Information Management &amp; Reporting</t>
  </si>
  <si>
    <t xml:space="preserve">B6</t>
  </si>
  <si>
    <t xml:space="preserve">Coordination &amp; Resource Management</t>
  </si>
  <si>
    <t xml:space="preserve">B7</t>
  </si>
  <si>
    <t xml:space="preserve">EOC SOPs, Training, Exercises &amp; Continuity</t>
  </si>
  <si>
    <t xml:space="preserve">PART A - CDRRMO OVERALL</t>
  </si>
  <si>
    <t xml:space="preserve">PART B - EOC OVERALL</t>
  </si>
  <si>
    <t xml:space="preserve">INSTITUTIONAL MATURITY INDEX (A+B)</t>
  </si>
  <si>
    <t xml:space="preserve">PART C - INTERFACE INDEX (separate; not in IMI)</t>
  </si>
  <si>
    <t xml:space="preserve">n/a</t>
  </si>
  <si>
    <t xml:space="preserve">Notes: 'Indicators' counts all indicators in the domain; 'Scored' excludes NA and blank. Mandatory Compliance = share of scored Mandatory indicators rated 3-4. A domain is considered compliant only when Mandatory Compliance is 100%. Part C (interface) is scored with the same rubric but reported separately because the items are owned by other offices.</t>
  </si>
  <si>
    <t xml:space="preserve">ASSESSMENT PROFILE</t>
  </si>
  <si>
    <t xml:space="preserve">LGU</t>
  </si>
  <si>
    <t xml:space="preserve">City of Ormoc</t>
  </si>
  <si>
    <t xml:space="preserve">Province / Region</t>
  </si>
  <si>
    <t xml:space="preserve">Leyte / Region VIII (Eastern Visayas)</t>
  </si>
  <si>
    <t xml:space="preserve">Income class / LGU type</t>
  </si>
  <si>
    <t xml:space="preserve">Number of barangays</t>
  </si>
  <si>
    <t xml:space="preserve">Office assessed</t>
  </si>
  <si>
    <t xml:space="preserve">City DRRM Office and City Emergency Operations Center</t>
  </si>
  <si>
    <t xml:space="preserve">CDRRMO Head</t>
  </si>
  <si>
    <t xml:space="preserve">Assessment period (from - to)</t>
  </si>
  <si>
    <t xml:space="preserve">Lead assessor</t>
  </si>
  <si>
    <t xml:space="preserve">Alvin M. Silva, Development of MOP on EOC and DRRM Consultant</t>
  </si>
  <si>
    <t xml:space="preserve">Assessment team members</t>
  </si>
  <si>
    <t xml:space="preserve">Key informants interviewed (names/positions)</t>
  </si>
  <si>
    <t xml:space="preserve">FGD groups conducted</t>
  </si>
  <si>
    <t xml:space="preserve">Sites inspected</t>
  </si>
  <si>
    <t xml:space="preserve">Documents reviewed (count)</t>
  </si>
  <si>
    <t xml:space="preserve">Validation workshop date</t>
  </si>
  <si>
    <t xml:space="preserve">Validated by (name/position)</t>
  </si>
  <si>
    <t xml:space="preserve">Pre-filled values come from the consultancy scope; confirm or correct them with CDRRMO.</t>
  </si>
  <si>
    <t xml:space="preserve">PART A - CDRRMO INSTITUTIONAL CAPACITY ASSESSMENT</t>
  </si>
  <si>
    <t xml:space="preserve">Score in yellow cells only. Type: M = Mandatory (legal/policy compliance), GP = Good practice. Methods: DR document review, KII interview, FGD focus group, OBS observation, TST test/demonstration.</t>
  </si>
  <si>
    <t xml:space="preserve">ID</t>
  </si>
  <si>
    <t xml:space="preserve">Standard / Policy Reference</t>
  </si>
  <si>
    <t xml:space="preserve">Type
(M/GP)</t>
  </si>
  <si>
    <t xml:space="preserve">Means of Verification</t>
  </si>
  <si>
    <t xml:space="preserve">Method</t>
  </si>
  <si>
    <t xml:space="preserve">Score
(0-4/NA)</t>
  </si>
  <si>
    <t xml:space="preserve">Priority</t>
  </si>
  <si>
    <t xml:space="preserve">Compliance Status</t>
  </si>
  <si>
    <t xml:space="preserve">Feeds Manual Chapter</t>
  </si>
  <si>
    <t xml:space="preserve">w*score</t>
  </si>
  <si>
    <t xml:space="preserve">w*4</t>
  </si>
  <si>
    <t xml:space="preserve">M scored</t>
  </si>
  <si>
    <t xml:space="preserve">M compliant</t>
  </si>
  <si>
    <t xml:space="preserve">A1  LEGAL MANDATE &amp; DRRM GOVERNANCE  -  CDRRMC/CDRRMO legal basis, council functionality, policy instruments</t>
  </si>
  <si>
    <t xml:space="preserve">A1.1</t>
  </si>
  <si>
    <t xml:space="preserve">City ordinance/EO creating the CDRRMO as a regular office (not ad hoc), with defined functions mirroring RA 10121 Sec. 12(c)</t>
  </si>
  <si>
    <t xml:space="preserve">RA 10121 Sec. 12; IRR Rule 6; JMC 2014-1</t>
  </si>
  <si>
    <t xml:space="preserve">M</t>
  </si>
  <si>
    <t xml:space="preserve">Ordinance/EO; Sangguniang Panlungsod records</t>
  </si>
  <si>
    <t xml:space="preserve">DR</t>
  </si>
  <si>
    <t xml:space="preserve">MOO Ch.1 Legal &amp; Institutional Framework</t>
  </si>
  <si>
    <t xml:space="preserve">A1.2</t>
  </si>
  <si>
    <t xml:space="preserve">CDRRMC constituted with complete membership per RA 10121 Sec. 11 (incl. CSO and private sector reps)</t>
  </si>
  <si>
    <t xml:space="preserve">RA 10121 Sec. 11</t>
  </si>
  <si>
    <t xml:space="preserve">EO on CDRRMC composition; list of members</t>
  </si>
  <si>
    <t xml:space="preserve">MOO Ch.1</t>
  </si>
  <si>
    <t xml:space="preserve">A1.3</t>
  </si>
  <si>
    <t xml:space="preserve">CDRRMC meets at least quarterly (and as needed); minutes and resolutions on file</t>
  </si>
  <si>
    <t xml:space="preserve">RA 10121 Sec. 11; GKS/SGLG functionality criteria</t>
  </si>
  <si>
    <t xml:space="preserve">Minutes, attendance, resolutions (last 4 quarters)</t>
  </si>
  <si>
    <t xml:space="preserve">DR, KII</t>
  </si>
  <si>
    <t xml:space="preserve">A1.4</t>
  </si>
  <si>
    <t xml:space="preserve">CDRRMO serves as CDRRMC secretariat with documented secretariat procedures</t>
  </si>
  <si>
    <t xml:space="preserve">RA 10121 Sec. 12(c)(17)</t>
  </si>
  <si>
    <t xml:space="preserve">Secretariat SOP; agenda/minutes templates</t>
  </si>
  <si>
    <t xml:space="preserve">MOO Ch.2 Office Organization</t>
  </si>
  <si>
    <t xml:space="preserve">A1.5</t>
  </si>
  <si>
    <t xml:space="preserve">Local DRRM-related ordinances in force (e.g., pre-emptive/forced evacuation, no-build zones, hazard-based zoning)</t>
  </si>
  <si>
    <t xml:space="preserve">RA 10121 Sec. 12(c)(19); RA 7160; CLUP/ZO</t>
  </si>
  <si>
    <t xml:space="preserve">GP</t>
  </si>
  <si>
    <t xml:space="preserve">Ordinances; ZO; enforcement records</t>
  </si>
  <si>
    <t xml:space="preserve">A1.6</t>
  </si>
  <si>
    <t xml:space="preserve">Protocol for declaring a State of Calamity, incl. CDRRMC recommendation steps and post-declaration measures (State of Imminent Disaster now assessed separately under A1.8)</t>
  </si>
  <si>
    <t xml:space="preserve">RA 10121 Sec. 16</t>
  </si>
  <si>
    <t xml:space="preserve">Protocol/SOP; past CDRRMC resolutions</t>
  </si>
  <si>
    <t xml:space="preserve">A1.7</t>
  </si>
  <si>
    <t xml:space="preserve">DRRM is represented in City Development Council and Local Finance Committee deliberations</t>
  </si>
  <si>
    <t xml:space="preserve">RA 7160; JMC 2013-1</t>
  </si>
  <si>
    <t xml:space="preserve">Minutes; LDC/LFC membership</t>
  </si>
  <si>
    <t xml:space="preserve">A1.8</t>
  </si>
  <si>
    <t xml:space="preserve">State of Imminent Disaster procedure: CDRRMC coordinates with RDRRMC VIII when the pre-disaster risk assessment shows reasonable certainty of severe impact; request format to RDRRMC (24-hour reply); Mayor's EO template; adoption rule when the Region (or Province, applicability to an ICC to be confirmed) is declared; lifting grounds and authority</t>
  </si>
  <si>
    <t xml:space="preserve">RA 12287; RA 12287 IRR (2026) Rule II Sec. 6; Rule III Secs. 2-4</t>
  </si>
  <si>
    <t xml:space="preserve">SOP; EO template; CDRRMC resolution and RDRRMC request templates</t>
  </si>
  <si>
    <t xml:space="preserve">MOO Ch.1 / EOC Ch.2</t>
  </si>
  <si>
    <t xml:space="preserve">A2  ORGANIZATION, STAFFING &amp; HUMAN RESOURCES  -  JMC 2014-1 structure, plantilla, 24/7 capacity, competencies</t>
  </si>
  <si>
    <t xml:space="preserve">A2.1</t>
  </si>
  <si>
    <t xml:space="preserve">Organizational structure follows JMC 2014-1: Head + Administration &amp; Training, Research &amp; Planning, and Operations &amp; Warning divisions</t>
  </si>
  <si>
    <t xml:space="preserve">NDRRMC-DILG-DBM-CSC JMC 2014-1</t>
  </si>
  <si>
    <t xml:space="preserve">Approved organogram; plantilla</t>
  </si>
  <si>
    <t xml:space="preserve">A2.2</t>
  </si>
  <si>
    <t xml:space="preserve">CDRRMO Head is a permanent plantilla position filled by a qualified appointee</t>
  </si>
  <si>
    <t xml:space="preserve">RA 10121 Sec. 12(b); JMC 2014-1</t>
  </si>
  <si>
    <t xml:space="preserve">Appointment; PDS vs CSC QS</t>
  </si>
  <si>
    <t xml:space="preserve">MOO Ch.2</t>
  </si>
  <si>
    <t xml:space="preserve">A2.3</t>
  </si>
  <si>
    <t xml:space="preserve">Minimum plantilla positions per JMC 2014-1 created and filled (ratio of filled/required)</t>
  </si>
  <si>
    <t xml:space="preserve">JMC 2014-1; CSC QS</t>
  </si>
  <si>
    <t xml:space="preserve">Plantilla of Personnel; vacancy list</t>
  </si>
  <si>
    <t xml:space="preserve">A2.4</t>
  </si>
  <si>
    <t xml:space="preserve">Job descriptions/position descriptions defined for every position, aligned to RA 10121 functions</t>
  </si>
  <si>
    <t xml:space="preserve">CSC rules; JMC 2014-1</t>
  </si>
  <si>
    <t xml:space="preserve">JDs/PDFs; IPCR/OPCR</t>
  </si>
  <si>
    <t xml:space="preserve">MOO Ch.2 / Annex JDs</t>
  </si>
  <si>
    <t xml:space="preserve">A2.5</t>
  </si>
  <si>
    <t xml:space="preserve">24/7 operations capability with documented shift roster (Operations Center/Duty officers)</t>
  </si>
  <si>
    <t xml:space="preserve">RA 10121 Sec. 12(c)(16); EOC guidelines</t>
  </si>
  <si>
    <t xml:space="preserve">Duty roster (last 3 months); logbook</t>
  </si>
  <si>
    <t xml:space="preserve">DR, OBS</t>
  </si>
  <si>
    <t xml:space="preserve">MOO Ch.4 Operations / EOC Ch.4</t>
  </si>
  <si>
    <t xml:space="preserve">A2.6</t>
  </si>
  <si>
    <t xml:space="preserve">Training needs analysis done and competency-based training plan for staff (ICS, BLS/SFA, WASAR, CSSR, MOSAR, EOC, PDNA, GIS)</t>
  </si>
  <si>
    <t xml:space="preserve">RA 10121 Sec. 14; OCD/DRRM Training Institute curricula</t>
  </si>
  <si>
    <t xml:space="preserve">TNA; training plan; certificates</t>
  </si>
  <si>
    <t xml:space="preserve">MOO Ch.6 Capacity Development</t>
  </si>
  <si>
    <t xml:space="preserve">A2.7</t>
  </si>
  <si>
    <t xml:space="preserve">Personnel welfare and safety: insurance, hazard pay, PPE, psychosocial support for responders</t>
  </si>
  <si>
    <t xml:space="preserve">RA 10121 Sec. 12; RA 11036 (MHPSS); CSC rules</t>
  </si>
  <si>
    <t xml:space="preserve">Insurance policy; PPE inventory; MHPSS program</t>
  </si>
  <si>
    <t xml:space="preserve">MOO Ch.2 / Ch.4</t>
  </si>
  <si>
    <t xml:space="preserve">A2.8</t>
  </si>
  <si>
    <t xml:space="preserve">Volunteer/auxiliary responder management system (accreditation, registry, deployment, insurance), incl. mobilization of ACDVs for anticipatory action</t>
  </si>
  <si>
    <t xml:space="preserve">RA 10121 Sec. 13; NDRRMC volunteer guidelines; RA 12287 IRR (2026) Rule IV Sec. 5</t>
  </si>
  <si>
    <t xml:space="preserve">Volunteer registry; MOAs; accreditation</t>
  </si>
  <si>
    <t xml:space="preserve">MOO Ch.6</t>
  </si>
  <si>
    <t xml:space="preserve">A2.9</t>
  </si>
  <si>
    <t xml:space="preserve">Anticipatory action focal person designated in the CDRRMO, with AA training for staff, BDRRMCs, ACDVs and partner CSOs (incl. community-based early warning and early action)</t>
  </si>
  <si>
    <t xml:space="preserve">RA 12287 IRR (2026) Rule IV Sec. 1; Rule VII</t>
  </si>
  <si>
    <t xml:space="preserve">Designation memo; training records</t>
  </si>
  <si>
    <t xml:space="preserve">MOO Ch.2 / Ch.6</t>
  </si>
  <si>
    <t xml:space="preserve">A2.10</t>
  </si>
  <si>
    <t xml:space="preserve">Inventory of DRRM-relevant skills across the CDRRMO, partner offices and barangays (SAR, engineering, logistics, GIS, PDNA, MHPSS) updated within the last 12 months</t>
  </si>
  <si>
    <t xml:space="preserve">UNDRR DRSC 6.1.1</t>
  </si>
  <si>
    <t xml:space="preserve">Skills inventory with date</t>
  </si>
  <si>
    <t xml:space="preserve">A3  DRRM &amp; CONTINGENCY PLANNING  -  LDRRMP, CPs, PSCP, mainstreaming in CDP/CLUP/LCCAP</t>
  </si>
  <si>
    <t xml:space="preserve">A3.1</t>
  </si>
  <si>
    <t xml:space="preserve">Local DRRM Plan (LDRRMP) current, approved by Sanggunian, aligned with NDRRMP 2020-2030 and Sendai Framework</t>
  </si>
  <si>
    <t xml:space="preserve">RA 10121 Sec. 12(c)(6); NDRRMP 2020-2030</t>
  </si>
  <si>
    <t xml:space="preserve">LDRRMP; SP resolution</t>
  </si>
  <si>
    <t xml:space="preserve">MOO Ch.3 Planning</t>
  </si>
  <si>
    <t xml:space="preserve">A3.2</t>
  </si>
  <si>
    <t xml:space="preserve">DRR-CCA mainstreamed in CDP, CLUP, ELA and LCCAP (hazard data used in land use and investment decisions)</t>
  </si>
  <si>
    <t xml:space="preserve">RA 10121 Sec. 2; RA 9729 as amended by RA 10174; HLURB/DHSUD CLUP guidelines</t>
  </si>
  <si>
    <t xml:space="preserve">CDP, CLUP, LCCAP; LDIP/AIP tagging</t>
  </si>
  <si>
    <t xml:space="preserve">MOO Ch.3</t>
  </si>
  <si>
    <t xml:space="preserve">A3.3</t>
  </si>
  <si>
    <t xml:space="preserve">Hazard-specific Contingency Plans for priority hazards (flood/flash flood, landslide, earthquake/tsunami, tropical cyclone, industrial/geothermal), updated and tested</t>
  </si>
  <si>
    <t xml:space="preserve">NDRRMC CP guidelines; OCD CP Manual</t>
  </si>
  <si>
    <t xml:space="preserve">CPs; simulation reports</t>
  </si>
  <si>
    <t xml:space="preserve">MOO Ch.3 / EOC Ch.3</t>
  </si>
  <si>
    <t xml:space="preserve">A3.4</t>
  </si>
  <si>
    <t xml:space="preserve">Public Service Continuity Plan (PSCP) prepared covering CDRRMO and essential city services</t>
  </si>
  <si>
    <t xml:space="preserve">NDRRMC/OCD PSCP Guidebook</t>
  </si>
  <si>
    <t xml:space="preserve">PSCP; BIA; essential functions list</t>
  </si>
  <si>
    <t xml:space="preserve">MOO Ch.3 / EOC Ch.7</t>
  </si>
  <si>
    <t xml:space="preserve">A3.5</t>
  </si>
  <si>
    <t xml:space="preserve">Annual LDRRMF Investment Plan (LDRRMFIP) prepared, approved and consistent with LDRRMP</t>
  </si>
  <si>
    <t xml:space="preserve">JMC 2013-1</t>
  </si>
  <si>
    <t xml:space="preserve">LDRRMFIP; CDRRMC resolution</t>
  </si>
  <si>
    <t xml:space="preserve">MOO Ch.5 Financing</t>
  </si>
  <si>
    <t xml:space="preserve">A3.6</t>
  </si>
  <si>
    <t xml:space="preserve">Evacuation plan with mapped routes, safe zones, centers and pre-emptive evacuation triggers per barangay</t>
  </si>
  <si>
    <t xml:space="preserve">RA 10121; RA 12076; DILG Operation L!sto</t>
  </si>
  <si>
    <t xml:space="preserve">Evacuation maps; plans per barangay</t>
  </si>
  <si>
    <t xml:space="preserve">MOO Ch.4 / EOC Ch.3</t>
  </si>
  <si>
    <t xml:space="preserve">A3.7</t>
  </si>
  <si>
    <t xml:space="preserve">Barangay DRRM plans (85 barangays) reviewed/consolidated by CDRRMO</t>
  </si>
  <si>
    <t xml:space="preserve">RA 10121 Sec. 12(c)(6); DILG MC on BDRRM</t>
  </si>
  <si>
    <t xml:space="preserve">Consolidated BDRRMP status matrix</t>
  </si>
  <si>
    <t xml:space="preserve">A4  DRRM FINANCING &amp; FUND MANAGEMENT  -  LDRRMF allocation, utilization, QRF, trust fund, procurement</t>
  </si>
  <si>
    <t xml:space="preserve">A4.1</t>
  </si>
  <si>
    <t xml:space="preserve">LDRRMF set at not less than 5% of estimated revenue from regular sources</t>
  </si>
  <si>
    <t xml:space="preserve">RA 10121 Sec. 21; JMC 2013-1</t>
  </si>
  <si>
    <t xml:space="preserve">Annual budget; LDRRMF computation</t>
  </si>
  <si>
    <t xml:space="preserve">A4.2</t>
  </si>
  <si>
    <t xml:space="preserve">70% Mitigation/Preparedness and 30% Quick Response Fund (QRF) allocation observed</t>
  </si>
  <si>
    <t xml:space="preserve">Appropriation ordinance; LDRRMFIP</t>
  </si>
  <si>
    <t xml:space="preserve">MOO Ch.5</t>
  </si>
  <si>
    <t xml:space="preserve">A4.3</t>
  </si>
  <si>
    <t xml:space="preserve">Unexpended LDRRMF transferred to Special Trust Fund and used within 5 years</t>
  </si>
  <si>
    <t xml:space="preserve">RA 10121 Sec. 21; COA Circular 2012-002</t>
  </si>
  <si>
    <t xml:space="preserve">STF ledger; COA reports</t>
  </si>
  <si>
    <t xml:space="preserve">A4.4</t>
  </si>
  <si>
    <t xml:space="preserve">LDRRMF utilization rate monitored and reported (target &gt;= 80% of current-year 70% fund)</t>
  </si>
  <si>
    <t xml:space="preserve">JMC 2013-1; COA AAR findings</t>
  </si>
  <si>
    <t xml:space="preserve">Utilization reports; COA AAR</t>
  </si>
  <si>
    <t xml:space="preserve">A4.5</t>
  </si>
  <si>
    <t xml:space="preserve">Emergency procurement procedures (negotiated procurement - emergency cases) documented and pre-arranged (framework agreements, pre-qualified suppliers)</t>
  </si>
  <si>
    <t xml:space="preserve">RA 12009 (New Government Procurement Act) &amp; IRR</t>
  </si>
  <si>
    <t xml:space="preserve">Procurement SOP; framework agreements</t>
  </si>
  <si>
    <t xml:space="preserve">MOO Ch.5 / EOC Ch.6</t>
  </si>
  <si>
    <t xml:space="preserve">A4.6</t>
  </si>
  <si>
    <t xml:space="preserve">Anticipatory action funding pathway: LDRRMFIP sets an AA line within the cap of 10% of the 70% LDRRMF; other sources mapped (Special Trust Fund balances, donations, ODA); Budget, Accounting and BAC procedures allow immediate disbursement and observe the 30%/70% tranche rule around the 3-day lead time</t>
  </si>
  <si>
    <t xml:space="preserve">RA 12287; RA 12287 IRR (2026) Rule V Secs. 1-3; RA 10121 Sec. 21; RA 12009</t>
  </si>
  <si>
    <t xml:space="preserve">LDRRMFIP AA line; Budget/Accounting guidance; disbursement and procurement SOP</t>
  </si>
  <si>
    <t xml:space="preserve">A4.7</t>
  </si>
  <si>
    <t xml:space="preserve">Risk transfer/financing instruments explored (indemnity insurance of public assets, PSF access, partnerships)</t>
  </si>
  <si>
    <t xml:space="preserve">NDRRMP; RA 10174 (People's Survival Fund); DOF-BTr NIP</t>
  </si>
  <si>
    <t xml:space="preserve">GSIS insurance; PSF proposals</t>
  </si>
  <si>
    <t xml:space="preserve">A4.8</t>
  </si>
  <si>
    <t xml:space="preserve">Clean COA findings on LDRRMF in last audit year (or findings addressed)</t>
  </si>
  <si>
    <t xml:space="preserve">COA Circular 2012-002</t>
  </si>
  <si>
    <t xml:space="preserve">COA Annual Audit Report; action plan</t>
  </si>
  <si>
    <t xml:space="preserve">A4.9</t>
  </si>
  <si>
    <t xml:space="preserve">QRF and LDRRMF adequacy tested against the most severe credible scenario (e.g., a Thelma-type flash flood or Yolanda-strength typhoon), with the shortfall and other fund sources identified</t>
  </si>
  <si>
    <t xml:space="preserve">UNDRR DRSC 3.2.3, 3.2.4; JMC 2013-1</t>
  </si>
  <si>
    <t xml:space="preserve">Costed scenario; LDRRMFIP; Budget Office analysis</t>
  </si>
  <si>
    <t xml:space="preserve">A5  RISK ASSESSMENT, DATA &amp; KNOWLEDGE MANAGEMENT  -  Hazard/risk data, CDRA, information systems, data privacy</t>
  </si>
  <si>
    <t xml:space="preserve">A5.1</t>
  </si>
  <si>
    <t xml:space="preserve">Updated hazard maps for all priority hazards (MGB, PHIVOLCS, PAGASA, GeoRiskPH/HazardHunterPH) at barangay scale</t>
  </si>
  <si>
    <t xml:space="preserve">RA 10121 Sec. 12(c)(3); NDRRMP</t>
  </si>
  <si>
    <t xml:space="preserve">Hazard maps; GIS layers</t>
  </si>
  <si>
    <t xml:space="preserve">MOO Ch.3 / EOC Ch.5</t>
  </si>
  <si>
    <t xml:space="preserve">A5.2</t>
  </si>
  <si>
    <t xml:space="preserve">Climate &amp; Disaster Risk Assessment (CDRA)/ CRA completed with exposure (population, buildings, critical facilities) and vulnerability data</t>
  </si>
  <si>
    <t xml:space="preserve">DHSUD/CCC CDRA guidelines; RA 10121 Sec. 12(c)(3)</t>
  </si>
  <si>
    <t xml:space="preserve">CDRA report; exposure database</t>
  </si>
  <si>
    <t xml:space="preserve">A5.3</t>
  </si>
  <si>
    <t xml:space="preserve">Disaggregated population database (sex, age, disability, IP, pregnant/lactating) for at-risk households</t>
  </si>
  <si>
    <t xml:space="preserve">RA 10121 Sec. 12(c)(5); RA 9710; RA 7277 as amended; RA 10821</t>
  </si>
  <si>
    <t xml:space="preserve">CBMS/household risk database</t>
  </si>
  <si>
    <t xml:space="preserve">A5.4</t>
  </si>
  <si>
    <t xml:space="preserve">DRRM information system/ database with disaster event history, damage and losses (incl. 1991 flood, 2013 Yolanda, 2017 earthquake records)</t>
  </si>
  <si>
    <t xml:space="preserve">RA 10121 Sec. 12(c)(5); Sendai monitoring</t>
  </si>
  <si>
    <t xml:space="preserve">Disaster database; event records</t>
  </si>
  <si>
    <t xml:space="preserve">MOO Ch.7 Knowledge Mgmt</t>
  </si>
  <si>
    <t xml:space="preserve">A5.5</t>
  </si>
  <si>
    <t xml:space="preserve">Data privacy compliance for beneficiary and affected-population data (DPO, consent, data sharing agreements)</t>
  </si>
  <si>
    <t xml:space="preserve">RA 10173 (Data Privacy Act); NPC circulars</t>
  </si>
  <si>
    <t xml:space="preserve">DPO designation; DSA; privacy notices</t>
  </si>
  <si>
    <t xml:space="preserve">MOO Ch.7</t>
  </si>
  <si>
    <t xml:space="preserve">A5.6</t>
  </si>
  <si>
    <t xml:space="preserve">GIS capability (software, trained staff, updated base maps) within Research &amp; Planning</t>
  </si>
  <si>
    <t xml:space="preserve">JMC 2014-1 (R&amp;P functions)</t>
  </si>
  <si>
    <t xml:space="preserve">GIS outputs; staff training</t>
  </si>
  <si>
    <t xml:space="preserve">OBS, KII</t>
  </si>
  <si>
    <t xml:space="preserve">A5.7</t>
  </si>
  <si>
    <t xml:space="preserve">One maintained, shared source of risk and readiness information (hazard maps, plans, contacts, readiness summary) open to CDRRMC member offices, with a public summary posted</t>
  </si>
  <si>
    <t xml:space="preserve">UNDRR DRSC 1.4.1, 6.3.1, 6.3.2; RA 10173</t>
  </si>
  <si>
    <t xml:space="preserve">Shared drive/portal; public web posting</t>
  </si>
  <si>
    <t xml:space="preserve">A5.8</t>
  </si>
  <si>
    <t xml:space="preserve">Critical facilities list (EOC, hospitals, evacuation centers, water, power, telecom, bridges, port) with dependencies mapped as potential failure chains and used to set protection and restoration priorities</t>
  </si>
  <si>
    <t xml:space="preserve">UNDRR DRSC 2.3.1; RA 12287 IRR (2026) Rule I Sec. 5(b),(d)</t>
  </si>
  <si>
    <t xml:space="preserve">Critical facilities database; dependency map</t>
  </si>
  <si>
    <t xml:space="preserve">A5.9</t>
  </si>
  <si>
    <t xml:space="preserve">Agreed update cycle: hazard data every 3 years or less; exposure, vulnerability and critical-facility data every 18 months or less</t>
  </si>
  <si>
    <t xml:space="preserve">UNDRR DRSC 2.5.1</t>
  </si>
  <si>
    <t xml:space="preserve">Update procedure; version dates of datasets</t>
  </si>
  <si>
    <t xml:space="preserve">A6  EARLY WARNING &amp; RISK COMMUNICATION  -  Hazard-specific EWS, last-mile warning, public information</t>
  </si>
  <si>
    <t xml:space="preserve">A6.1</t>
  </si>
  <si>
    <t xml:space="preserve">Hazard-specific EWS operational for flood (incl. Anilao/Malbasag river systems), rain-induced landslide, tsunami (Ormoc Bay) and tropical cyclone</t>
  </si>
  <si>
    <t xml:space="preserve">RA 10121 Sec. 12(c)(8); PAGASA/PHIVOLCS protocols</t>
  </si>
  <si>
    <t xml:space="preserve">EWS inventory; functionality logs; maps of sensors/gauges</t>
  </si>
  <si>
    <t xml:space="preserve">DR, OBS, TST</t>
  </si>
  <si>
    <t xml:space="preserve">A6.2</t>
  </si>
  <si>
    <t xml:space="preserve">Warning thresholds linked to specific actions (alert levels -&gt; pre-emptive evacuation, class/work suspension, State of Imminent Disaster request) in written protocols, built to take up NDRRMC impact-based triggers once issued</t>
  </si>
  <si>
    <t xml:space="preserve">RA 10121; RA 12287; RA 12287 IRR (2026) Rule II Sec. 2; DILG Operation L!sto</t>
  </si>
  <si>
    <t xml:space="preserve">Warning-action matrix</t>
  </si>
  <si>
    <t xml:space="preserve">EOC Ch.2 Concept of Operations</t>
  </si>
  <si>
    <t xml:space="preserve">A6.3</t>
  </si>
  <si>
    <t xml:space="preserve">Last-mile dissemination channels tested to barangay/purok level (sirens, radio, SMS/ECBS, social media, barangay criers)</t>
  </si>
  <si>
    <t xml:space="preserve">RA 10639 (Free Mobile Disaster Alerts); NDRRMC EWS</t>
  </si>
  <si>
    <t xml:space="preserve">Test logs; coverage map</t>
  </si>
  <si>
    <t xml:space="preserve">OBS, TST, FGD</t>
  </si>
  <si>
    <t xml:space="preserve">MOO Ch.4</t>
  </si>
  <si>
    <t xml:space="preserve">A6.4</t>
  </si>
  <si>
    <t xml:space="preserve">Warnings issued in local language (Cebuano/ Ormocanon) and accessible formats (sign language, visual alerts for PWD)</t>
  </si>
  <si>
    <t xml:space="preserve">RA 10121; RA 11106 (FSL Act); RA 7277</t>
  </si>
  <si>
    <t xml:space="preserve">Sample advisories; IEC materials</t>
  </si>
  <si>
    <t xml:space="preserve">A6.5</t>
  </si>
  <si>
    <t xml:space="preserve">Designated public information officer and risk communication plan (incl. rumor/misinformation management)</t>
  </si>
  <si>
    <t xml:space="preserve">NDRRMC public info protocols</t>
  </si>
  <si>
    <t xml:space="preserve">Risk communication plan; spokesperson designation</t>
  </si>
  <si>
    <t xml:space="preserve">EOC Ch.5</t>
  </si>
  <si>
    <t xml:space="preserve">A6.6</t>
  </si>
  <si>
    <t xml:space="preserve">IEC program on hazards and preparedness with annual reach targets</t>
  </si>
  <si>
    <t xml:space="preserve">RA 10121 Sec. 12(c)(13)</t>
  </si>
  <si>
    <t xml:space="preserve">IEC plan; reach reports</t>
  </si>
  <si>
    <t xml:space="preserve">A6.7</t>
  </si>
  <si>
    <t xml:space="preserve">Templates and channels for public notice of a State of Imminent Disaster and of the anticipatory actions required, incl. sector-specific impact-based advisories and reach to geographically isolated barangays</t>
  </si>
  <si>
    <t xml:space="preserve">RA 12287 IRR (2026) Rule IV Sec. 2</t>
  </si>
  <si>
    <t xml:space="preserve">Advisory templates; dissemination log</t>
  </si>
  <si>
    <t xml:space="preserve">MOO Ch.4 / EOC Ch.5</t>
  </si>
  <si>
    <t xml:space="preserve">A7  PREPAREDNESS &amp; COMMUNITY CAPACITY  -  Training, drills, BDRRMCs, evacuation centers, inclusive DRRM</t>
  </si>
  <si>
    <t xml:space="preserve">A7.1</t>
  </si>
  <si>
    <t xml:space="preserve">Annual training program for city personnel, BDRRMCs, schools and communities implemented</t>
  </si>
  <si>
    <t xml:space="preserve">RA 10121 Sec. 12(c)(12), Sec. 14</t>
  </si>
  <si>
    <t xml:space="preserve">Training calendar; reports; attendance</t>
  </si>
  <si>
    <t xml:space="preserve">A7.2</t>
  </si>
  <si>
    <t xml:space="preserve">Participation in quarterly Nationwide Simultaneous Earthquake Drill (NSED) and hazard-specific drills with evaluation</t>
  </si>
  <si>
    <t xml:space="preserve">NDRRMC NSED guidelines</t>
  </si>
  <si>
    <t xml:space="preserve">Drill reports; evaluation forms</t>
  </si>
  <si>
    <t xml:space="preserve">A7.3</t>
  </si>
  <si>
    <t xml:space="preserve">BDRRMC functionality across 85 barangays assessed (e.g., Listo si KAP) with support plan for low-functioning barangays</t>
  </si>
  <si>
    <t xml:space="preserve">RA 10121; DILG MC 2025-035 (Listo si KAP)</t>
  </si>
  <si>
    <t xml:space="preserve">BDRRMC functionality matrix</t>
  </si>
  <si>
    <t xml:space="preserve">DR, FGD</t>
  </si>
  <si>
    <t xml:space="preserve">A7.4</t>
  </si>
  <si>
    <t xml:space="preserve">Permanent evacuation center(s) planned/established and existing ECs meet minimum standards (WASH, privacy, PWD access, child-friendly space)</t>
  </si>
  <si>
    <t xml:space="preserve">RA 12076 (Ligtas Pinoy Centers Act); RA 10821; DSWD standards</t>
  </si>
  <si>
    <t xml:space="preserve">EC inventory &amp; audit; site inspection</t>
  </si>
  <si>
    <t xml:space="preserve">MOO Ch.4 / EOC Ch.6</t>
  </si>
  <si>
    <t xml:space="preserve">A7.5</t>
  </si>
  <si>
    <t xml:space="preserve">Prepositioned relief stocks/food packs and non-food items with inventory and replenishment triggers</t>
  </si>
  <si>
    <t xml:space="preserve">RA 10121; DSWD-LGU protocols; Operation L!sto</t>
  </si>
  <si>
    <t xml:space="preserve">Stock inventory; warehouse inspection</t>
  </si>
  <si>
    <t xml:space="preserve">OBS, DR</t>
  </si>
  <si>
    <t xml:space="preserve">EOC Ch.6 Logistics</t>
  </si>
  <si>
    <t xml:space="preserve">A7.6</t>
  </si>
  <si>
    <t xml:space="preserve">Inclusive DRRM: GAD, PWD, senior citizen, children, IP considerations embedded in plans and services, with vulnerable-sector representatives confirming they were engaged</t>
  </si>
  <si>
    <t xml:space="preserve">RA 9710; RA 7277 as amended; RA 9994; RA 10821; RA 8371; RA 12287 IRR (2026) Rule IV Sec. 1(a); UNDRR DRSC 7.2.2</t>
  </si>
  <si>
    <t xml:space="preserve">Plans; GAD-tagged budget; inclusion checklist; sector representatives' confirmation (FGD)</t>
  </si>
  <si>
    <t xml:space="preserve">MOO Ch.3 / Ch.4</t>
  </si>
  <si>
    <t xml:space="preserve">A7.7</t>
  </si>
  <si>
    <t xml:space="preserve">Schools, hospitals and critical facilities included in preparedness planning and drills</t>
  </si>
  <si>
    <t xml:space="preserve">DepEd/DOH DRRM policies; Safe Schools/Hospitals</t>
  </si>
  <si>
    <t xml:space="preserve">Coordination records; joint drills</t>
  </si>
  <si>
    <t xml:space="preserve">A7.8</t>
  </si>
  <si>
    <t xml:space="preserve">Refresher cycle (at least annual) set for trained responders, EOC staff and BDRRMC members, with attendance tracked</t>
  </si>
  <si>
    <t xml:space="preserve">UNDRR DRSC 6.4.2</t>
  </si>
  <si>
    <t xml:space="preserve">Training calendar; attendance records</t>
  </si>
  <si>
    <t xml:space="preserve">A7.9</t>
  </si>
  <si>
    <t xml:space="preserve">BDRRMCs can account for residents of affected puroks within 12 hours of impact (welfare check), shown in a drill or a real event</t>
  </si>
  <si>
    <t xml:space="preserve">UNDRR DRSC 7.2.1</t>
  </si>
  <si>
    <t xml:space="preserve">Drill or AAR record; barangay reports</t>
  </si>
  <si>
    <t xml:space="preserve">A8  RESPONSE CAPABILITY  -  ICS/IMT, SAR, EMS, equipment, cluster coordination, anticipatory action</t>
  </si>
  <si>
    <t xml:space="preserve">A8.1</t>
  </si>
  <si>
    <t xml:space="preserve">Incident Command System institutionalized: EO on ICS, trained IMT roster, pre-designated Incident Commanders</t>
  </si>
  <si>
    <t xml:space="preserve">NDRRMC MC No. 4, s. 2012 (ICS)</t>
  </si>
  <si>
    <t xml:space="preserve">EO; IMT roster; ICS certificates</t>
  </si>
  <si>
    <t xml:space="preserve">MOO Ch.4 Response Operations</t>
  </si>
  <si>
    <t xml:space="preserve">A8.2</t>
  </si>
  <si>
    <t xml:space="preserve">Organized and trained response teams: SAR (WASAR/CSSR/HAZMAT as relevant), EMS/ambulance, fire coordination with BFP</t>
  </si>
  <si>
    <t xml:space="preserve">RA 10121 Sec. 12(c)(16); RA 11589 (BFP)</t>
  </si>
  <si>
    <t xml:space="preserve">Team roster; certificates; MOA with BFP</t>
  </si>
  <si>
    <t xml:space="preserve">A8.3</t>
  </si>
  <si>
    <t xml:space="preserve">Response equipment and vehicles inventoried, serviceable and maintained (preventive maintenance schedule)</t>
  </si>
  <si>
    <t xml:space="preserve">COA property rules; RA 10121</t>
  </si>
  <si>
    <t xml:space="preserve">Property inventory; PM logs; site check</t>
  </si>
  <si>
    <t xml:space="preserve">A8.4</t>
  </si>
  <si>
    <t xml:space="preserve">Emergency hotline integrated with E911 and dispatch protocol (call-taking to dispatch time tracked)</t>
  </si>
  <si>
    <t xml:space="preserve">EO 56 s. 2018 (E911); DILG guidelines</t>
  </si>
  <si>
    <t xml:space="preserve">Dispatch logs; SOP; response time data</t>
  </si>
  <si>
    <t xml:space="preserve">EOC Ch.4</t>
  </si>
  <si>
    <t xml:space="preserve">A8.5</t>
  </si>
  <si>
    <t xml:space="preserve">Response clusters organized at city level mirroring national cluster approach (Food &amp; NFI, Health, WASH, CCCM, Logistics, Search Rescue &amp; Retrieval, Law &amp; Order, Education, Protection, ETC, MDM)</t>
  </si>
  <si>
    <t xml:space="preserve">NDCC MC No. 12, s. 2008; NDRRM Plan Response pillar</t>
  </si>
  <si>
    <t xml:space="preserve">EO on clusters; cluster leads list</t>
  </si>
  <si>
    <t xml:space="preserve">A8.6</t>
  </si>
  <si>
    <t xml:space="preserve">Pre-Disaster Risk Assessment (PDRA) conducted before forecast hazards, with anticipatory actions recorded</t>
  </si>
  <si>
    <t xml:space="preserve">NDRRMC PDRA protocol; RA 12287; RA 12287 IRR (2026) Rule II Sec. 5</t>
  </si>
  <si>
    <t xml:space="preserve">PDRA minutes/reports (last season)</t>
  </si>
  <si>
    <t xml:space="preserve">EOC Ch.2</t>
  </si>
  <si>
    <t xml:space="preserve">A8.7</t>
  </si>
  <si>
    <t xml:space="preserve">Management of the Dead and Missing (MDM) and Rapid Damage Assessment &amp; Needs Analysis (RDANA) teams designated and trained</t>
  </si>
  <si>
    <t xml:space="preserve">NDRRMC MDM &amp; RDANA guidelines</t>
  </si>
  <si>
    <t xml:space="preserve">Team EO; certificates; templates</t>
  </si>
  <si>
    <t xml:space="preserve">A8.8</t>
  </si>
  <si>
    <t xml:space="preserve">Anticipatory action protocols by hazard and lead time: office-order templates for prepositioning (relief, medical supplies, animal feed, water and power for evacuation centers), deployment of heavy equipment, transport and personnel, pre-emptive evacuation incl. livestock and pets, CCCM, and safeguarding of critical infrastructure; aligned with CPs, Oplan L!sto and evacuation plans</t>
  </si>
  <si>
    <t xml:space="preserve">RA 12287 IRR (2026) Rule IV Secs. 1, 3, 4, 6</t>
  </si>
  <si>
    <t xml:space="preserve">AA protocol; office-order template; CP annexes</t>
  </si>
  <si>
    <t xml:space="preserve">EOC Ch.2 / MOO Ch.4</t>
  </si>
  <si>
    <t xml:space="preserve">A8.9</t>
  </si>
  <si>
    <t xml:space="preserve">Anticipatory social amelioration: families identified and prioritized using CBMS or the prevailing registry; data-sharing agreements compliant with RA 10173; local guidelines for anticipatory cash or vouchers issued with the CSWDO</t>
  </si>
  <si>
    <t xml:space="preserve">RA 12287 IRR (2026) Rule IV Sec. 7; RA 11315 (CBMS); RA 10173</t>
  </si>
  <si>
    <t xml:space="preserve">Local guidelines; data-sharing agreement; targeting method</t>
  </si>
  <si>
    <t xml:space="preserve">A9  REHABILITATION &amp; RECOVERY  -  PDNA/RDANA, recovery planning, build-back-better</t>
  </si>
  <si>
    <t xml:space="preserve">A9.1</t>
  </si>
  <si>
    <t xml:space="preserve">Post-Disaster Needs Assessment (PDNA) capacity: trained team and templates ready</t>
  </si>
  <si>
    <t xml:space="preserve">NDRRMC PDNA guidelines; OCD</t>
  </si>
  <si>
    <t xml:space="preserve">Certificates; PDNA templates</t>
  </si>
  <si>
    <t xml:space="preserve">MOO Ch.8 Recovery</t>
  </si>
  <si>
    <t xml:space="preserve">A9.2</t>
  </si>
  <si>
    <t xml:space="preserve">Rehabilitation &amp; recovery plan prepared after major events, with build-back-better and resettlement provisions</t>
  </si>
  <si>
    <t xml:space="preserve">RA 10121 Sec. 12(c)(11); NDRRMP Pillar 4</t>
  </si>
  <si>
    <t xml:space="preserve">Rehab plans; implementation reports</t>
  </si>
  <si>
    <t xml:space="preserve">MOO Ch.8</t>
  </si>
  <si>
    <t xml:space="preserve">A9.3</t>
  </si>
  <si>
    <t xml:space="preserve">Recovery data (damage, losses, livelihood, housing) tracked to completion</t>
  </si>
  <si>
    <t xml:space="preserve">Sendai Framework targets C-D</t>
  </si>
  <si>
    <t xml:space="preserve">Recovery monitoring matrix</t>
  </si>
  <si>
    <t xml:space="preserve">A9.4</t>
  </si>
  <si>
    <t xml:space="preserve">Psychosocial and livelihood recovery services coordinated with CSWDO, CHO, PESO</t>
  </si>
  <si>
    <t xml:space="preserve">RA 11036; DSWD protocols</t>
  </si>
  <si>
    <t xml:space="preserve">Referral pathways; MOAs</t>
  </si>
  <si>
    <t xml:space="preserve">KII</t>
  </si>
  <si>
    <t xml:space="preserve">A9.5</t>
  </si>
  <si>
    <t xml:space="preserve">Pre-disaster recovery framework: roles, PDNA activation, temporary shelter, debris management and recovery fund sources agreed before an event</t>
  </si>
  <si>
    <t xml:space="preserve">UNDRR DRSC Essential 10; NDRRMP Pillar 4</t>
  </si>
  <si>
    <t xml:space="preserve">Recovery framework or CP recovery annex</t>
  </si>
  <si>
    <t xml:space="preserve">A10  PARTNERSHIPS, M&amp;E &amp; ACCOUNTABILITY  -  MOAs, CSO/private sector, reporting, transparency, learning</t>
  </si>
  <si>
    <t xml:space="preserve">A10.1</t>
  </si>
  <si>
    <t xml:space="preserve">MOAs/ mutual aid agreements with neighbouring LGUs (Kananga, Albuera, Merida, Isabel etc.) and Province of Leyte</t>
  </si>
  <si>
    <t xml:space="preserve">RA 10121 Sec. 12(c)(15); RA 7160 Sec. 33</t>
  </si>
  <si>
    <t xml:space="preserve">Signed MOAs</t>
  </si>
  <si>
    <t xml:space="preserve">MOO Ch.9 Partnerships / EOC Ch.6</t>
  </si>
  <si>
    <t xml:space="preserve">A10.2</t>
  </si>
  <si>
    <t xml:space="preserve">Partnerships with CSOs, private sector (incl. energy/geothermal operators), academe and faith-based groups documented, with pre- and post-event roles defined and at least annual coordination meetings</t>
  </si>
  <si>
    <t xml:space="preserve">RA 10121 Sec. 12(c)(15); UNDRR DRSC 6.1.2, 6.1.4</t>
  </si>
  <si>
    <t xml:space="preserve">MOAs; partner registry; meeting records</t>
  </si>
  <si>
    <t xml:space="preserve">MOO Ch.9</t>
  </si>
  <si>
    <t xml:space="preserve">A10.3</t>
  </si>
  <si>
    <t xml:space="preserve">Regular reporting to OCD Region VIII/RDRRMC and DILG (SitReps, LDRRMF reports, Operation L!sto)</t>
  </si>
  <si>
    <t xml:space="preserve">RA 10121; DILG MCs</t>
  </si>
  <si>
    <t xml:space="preserve">Submission logs</t>
  </si>
  <si>
    <t xml:space="preserve">MOO Ch.7 / EOC Ch.5</t>
  </si>
  <si>
    <t xml:space="preserve">A10.4</t>
  </si>
  <si>
    <t xml:space="preserve">Monitoring &amp; evaluation framework for LDRRMP with indicators and annual review</t>
  </si>
  <si>
    <t xml:space="preserve">RA 10121 Sec. 12(c)(6)</t>
  </si>
  <si>
    <t xml:space="preserve">M&amp;E framework; annual review report</t>
  </si>
  <si>
    <t xml:space="preserve">A10.5</t>
  </si>
  <si>
    <t xml:space="preserve">Full Disclosure Policy: LDRRMF and utilization posted publicly</t>
  </si>
  <si>
    <t xml:space="preserve">DILG FDP MCs; RA 10121 Sec. 21</t>
  </si>
  <si>
    <t xml:space="preserve">FDP portal/board postings</t>
  </si>
  <si>
    <t xml:space="preserve">A10.6</t>
  </si>
  <si>
    <t xml:space="preserve">After-action reviews conducted after significant events and lessons integrated into plans</t>
  </si>
  <si>
    <t xml:space="preserve">NDRRMC; good practice</t>
  </si>
  <si>
    <t xml:space="preserve">AAR reports; plan revisions</t>
  </si>
  <si>
    <t xml:space="preserve">A10.7</t>
  </si>
  <si>
    <t xml:space="preserve">Participation in performance recognition/assessment systems (Gawad KALASAG Seal, SGLG Disaster Preparedness) and gaps acted upon</t>
  </si>
  <si>
    <t xml:space="preserve">NDRRMC GKS guidelines; RA 11292 (SGLG Act)</t>
  </si>
  <si>
    <t xml:space="preserve">GKS/SGLG results; action plans</t>
  </si>
  <si>
    <t xml:space="preserve">A10.8</t>
  </si>
  <si>
    <t xml:space="preserve">Post-declaration report within 45 days of lifting a State of Imminent Disaster (declaration status, AA fund utilization, estimated economic and social costs minimized); reporting route confirmed with OCD VIII</t>
  </si>
  <si>
    <t xml:space="preserve">RA 12287 IRR (2026) Rule VI Sec. 1</t>
  </si>
  <si>
    <t xml:space="preserve">Report template; submission log</t>
  </si>
  <si>
    <t xml:space="preserve">A10.9</t>
  </si>
  <si>
    <t xml:space="preserve">Structured learning from other LGUs and networks (exchanges, OCD forums, MCR2030), with resulting changes documented</t>
  </si>
  <si>
    <t xml:space="preserve">UNDRR DRSC 6.6.1</t>
  </si>
  <si>
    <t xml:space="preserve">Exchange reports; documented changes</t>
  </si>
  <si>
    <t xml:space="preserve">PART B - EMERGENCY OPERATIONS CENTER (EOC) ASSESSMENT</t>
  </si>
  <si>
    <t xml:space="preserve">B1  EOC LEGAL BASIS &amp; CONCEPT OF OPERATIONS  -  EO/ordinance, alert levels, activation/deactivation triggers</t>
  </si>
  <si>
    <t xml:space="preserve">B1.1</t>
  </si>
  <si>
    <t xml:space="preserve">EOC established by EO/ordinance with defined mandate, authority and relationship to CDRRMC and ICS</t>
  </si>
  <si>
    <t xml:space="preserve">NDRRMC MC No. 131, s. 2018 (EOC Guidelines); RA 10121</t>
  </si>
  <si>
    <t xml:space="preserve">EO/ordinance</t>
  </si>
  <si>
    <t xml:space="preserve">EOC Ch.1 Legal Basis</t>
  </si>
  <si>
    <t xml:space="preserve">B1.2</t>
  </si>
  <si>
    <t xml:space="preserve">Alert/activation levels defined (e.g., White-normal, Blue-alert, Red-full activation) with hazard-based triggers and a defined EOC posture when a State of Imminent Disaster is declared</t>
  </si>
  <si>
    <t xml:space="preserve">NDRRMC EOC Guidelines; NDRRMC alert protocol; RA 12287 IRR (2026) Rule IV Sec. 1</t>
  </si>
  <si>
    <t xml:space="preserve">Activation matrix</t>
  </si>
  <si>
    <t xml:space="preserve">B1.3</t>
  </si>
  <si>
    <t xml:space="preserve">Activation, escalation, de-escalation and deactivation procedures with designated authority</t>
  </si>
  <si>
    <t xml:space="preserve">NDRRMC EOC Guidelines</t>
  </si>
  <si>
    <t xml:space="preserve">SOP; activation logs</t>
  </si>
  <si>
    <t xml:space="preserve">B1.4</t>
  </si>
  <si>
    <t xml:space="preserve">Concept of operations documents EOC functions: coordination, information management, resource management, policy support</t>
  </si>
  <si>
    <t xml:space="preserve">ConOps document</t>
  </si>
  <si>
    <t xml:space="preserve">B1.5</t>
  </si>
  <si>
    <t xml:space="preserve">EOC linkage to Provincial (Leyte) and Regional (OCD VIII) EOCs defined</t>
  </si>
  <si>
    <t xml:space="preserve">Reporting/coordination protocol</t>
  </si>
  <si>
    <t xml:space="preserve">B2  EOC FACILITY, SITE &amp; RESILIENCE  -  Location safety, structure, power, water, security, alternate EOC</t>
  </si>
  <si>
    <t xml:space="preserve">B2.1</t>
  </si>
  <si>
    <t xml:space="preserve">EOC site located outside high flood, landslide, tsunami and liquefaction zones (checked vs hazard maps)</t>
  </si>
  <si>
    <t xml:space="preserve">NDRRMC EOC Guidelines; hazard maps</t>
  </si>
  <si>
    <t xml:space="preserve">Site hazard overlay; inspection</t>
  </si>
  <si>
    <t xml:space="preserve">EOC Ch.3 Facility</t>
  </si>
  <si>
    <t xml:space="preserve">B2.2</t>
  </si>
  <si>
    <t xml:space="preserve">Building structural integrity assessed (seismic - Philippine Fault proximity) and certified</t>
  </si>
  <si>
    <t xml:space="preserve">NBC (PD 1096); NSCP; DPWH</t>
  </si>
  <si>
    <t xml:space="preserve">Structural assessment; occupancy permit</t>
  </si>
  <si>
    <t xml:space="preserve">EOC Ch.3</t>
  </si>
  <si>
    <t xml:space="preserve">B2.3</t>
  </si>
  <si>
    <t xml:space="preserve">Backup power (generator + fuel for &gt;=72 hours, UPS) tested regularly</t>
  </si>
  <si>
    <t xml:space="preserve">NDRRMC EOC Guidelines; good practice</t>
  </si>
  <si>
    <t xml:space="preserve">Generator test logs; fuel stock</t>
  </si>
  <si>
    <t xml:space="preserve">OBS, TST</t>
  </si>
  <si>
    <t xml:space="preserve">B2.4</t>
  </si>
  <si>
    <t xml:space="preserve">Functional layout: operations floor, briefing/decision room, comms room, rest area, sanitation, kitchen</t>
  </si>
  <si>
    <t xml:space="preserve">Floor plan; observation</t>
  </si>
  <si>
    <t xml:space="preserve">OBS</t>
  </si>
  <si>
    <t xml:space="preserve">B2.5</t>
  </si>
  <si>
    <t xml:space="preserve">Water, food and sanitation supplies for EOC staff for &gt;=72 hours</t>
  </si>
  <si>
    <t xml:space="preserve">Good practice; PSCP</t>
  </si>
  <si>
    <t xml:space="preserve">Inventory</t>
  </si>
  <si>
    <t xml:space="preserve">B2.6</t>
  </si>
  <si>
    <t xml:space="preserve">Physical security and access control (ID, visitor log, CCTV)</t>
  </si>
  <si>
    <t xml:space="preserve">Good practice</t>
  </si>
  <si>
    <t xml:space="preserve">Access log; observation</t>
  </si>
  <si>
    <t xml:space="preserve">B2.7</t>
  </si>
  <si>
    <t xml:space="preserve">Designated and equipped alternate EOC with relocation procedure</t>
  </si>
  <si>
    <t xml:space="preserve">PSCP Guidebook; NDRRMC EOC Guidelines</t>
  </si>
  <si>
    <t xml:space="preserve">Alternate site plan; relocation drill</t>
  </si>
  <si>
    <t xml:space="preserve">EOC Ch.3 / Ch.7</t>
  </si>
  <si>
    <t xml:space="preserve">B3  EOC COMMUNICATIONS &amp; ICT  -  Redundant comms, connectivity, systems, cybersecurity</t>
  </si>
  <si>
    <t xml:space="preserve">B3.1</t>
  </si>
  <si>
    <t xml:space="preserve">Redundant communications: VHF/UHF radio, HF, satellite phone, landline, mobile, internet (min. 3 independent channels)</t>
  </si>
  <si>
    <t xml:space="preserve">NDRRMC EOC Guidelines; NTC frequency assignment</t>
  </si>
  <si>
    <t xml:space="preserve">Comms inventory; radio net test</t>
  </si>
  <si>
    <t xml:space="preserve">EOC Ch.4 Communications</t>
  </si>
  <si>
    <t xml:space="preserve">B3.2</t>
  </si>
  <si>
    <t xml:space="preserve">Radio network covering all 85 barangays and responders, with call signs and net-control procedure</t>
  </si>
  <si>
    <t xml:space="preserve">NTC licensing; ETC cluster</t>
  </si>
  <si>
    <t xml:space="preserve">Coverage test; frequency licenses</t>
  </si>
  <si>
    <t xml:space="preserve">TST, DR</t>
  </si>
  <si>
    <t xml:space="preserve">B3.3</t>
  </si>
  <si>
    <t xml:space="preserve">Backup internet (secondary ISP/satellite) and continuity of digital systems</t>
  </si>
  <si>
    <t xml:space="preserve">Good practice; DICT</t>
  </si>
  <si>
    <t xml:space="preserve">ISP contracts; failover test</t>
  </si>
  <si>
    <t xml:space="preserve">B3.4</t>
  </si>
  <si>
    <t xml:space="preserve">Communications plan/ directory (agencies, barangays, clusters) updated within last 6 months</t>
  </si>
  <si>
    <t xml:space="preserve">Directory; version date</t>
  </si>
  <si>
    <t xml:space="preserve">B3.5</t>
  </si>
  <si>
    <t xml:space="preserve">Cybersecurity and information security measures for EOC systems</t>
  </si>
  <si>
    <t xml:space="preserve">RA 10173; DICT National Cybersecurity Plan</t>
  </si>
  <si>
    <t xml:space="preserve">Password/access policy; backups</t>
  </si>
  <si>
    <t xml:space="preserve">KII, OBS</t>
  </si>
  <si>
    <t xml:space="preserve">B3.6</t>
  </si>
  <si>
    <t xml:space="preserve">Display and monitoring equipment (video wall/monitors, weather feeds, CCTV feeds)</t>
  </si>
  <si>
    <t xml:space="preserve">Observation</t>
  </si>
  <si>
    <t xml:space="preserve">B4  EOC ORGANIZATION &amp; STAFFING  -  EOC structure, duty roster, cluster/agency desks, fatigue management</t>
  </si>
  <si>
    <t xml:space="preserve">B4.1</t>
  </si>
  <si>
    <t xml:space="preserve">EOC organizational structure defined (EOC Manager, Operations, Planning/Information, Logistics, Admin/Finance, liaison desks)</t>
  </si>
  <si>
    <t xml:space="preserve">NDRRMC EOC Guidelines; ICS</t>
  </si>
  <si>
    <t xml:space="preserve">Organogram; EO</t>
  </si>
  <si>
    <t xml:space="preserve">EOC Ch.5 Organization</t>
  </si>
  <si>
    <t xml:space="preserve">B4.2</t>
  </si>
  <si>
    <t xml:space="preserve">Pre-designated EOC staff with alternates (at least 2 deep per key position)</t>
  </si>
  <si>
    <t xml:space="preserve">Roster with alternates</t>
  </si>
  <si>
    <t xml:space="preserve">B4.3</t>
  </si>
  <si>
    <t xml:space="preserve">Duty roster for sustained 24/7 operations with shift handover protocol</t>
  </si>
  <si>
    <t xml:space="preserve">Roster; handover forms</t>
  </si>
  <si>
    <t xml:space="preserve">B4.4</t>
  </si>
  <si>
    <t xml:space="preserve">Agency/cluster liaison desks identified (CSWDO, CHO, CEO, PNP, BFP, AFP, DepEd, utilities, Red Cross)</t>
  </si>
  <si>
    <t xml:space="preserve">NDCC MC 12 s. 2008; EOC Guidelines</t>
  </si>
  <si>
    <t xml:space="preserve">Desk assignments</t>
  </si>
  <si>
    <t xml:space="preserve">B4.5</t>
  </si>
  <si>
    <t xml:space="preserve">Position checklists/job action sheets for each EOC role</t>
  </si>
  <si>
    <t xml:space="preserve">Job action sheets</t>
  </si>
  <si>
    <t xml:space="preserve">B4.6</t>
  </si>
  <si>
    <t xml:space="preserve">Responder welfare in EOC: rest cycles, meals, MHPSS, family support</t>
  </si>
  <si>
    <t xml:space="preserve">RA 11036; good practice</t>
  </si>
  <si>
    <t xml:space="preserve">Policy; observation</t>
  </si>
  <si>
    <t xml:space="preserve">B5  INFORMATION MANAGEMENT &amp; REPORTING  -  SitReps, common operating picture, GIS, reporting timelines</t>
  </si>
  <si>
    <t xml:space="preserve">B5.1</t>
  </si>
  <si>
    <t xml:space="preserve">Standard SitRep/ Report templates aligned with NDRRMC/OCD formats and fixed reporting schedule</t>
  </si>
  <si>
    <t xml:space="preserve">NDRRMC reporting protocol</t>
  </si>
  <si>
    <t xml:space="preserve">Templates; sample SitReps</t>
  </si>
  <si>
    <t xml:space="preserve">EOC Ch.6 Information Mgmt</t>
  </si>
  <si>
    <t xml:space="preserve">B5.2</t>
  </si>
  <si>
    <t xml:space="preserve">Barangay-to-city reporting flow (BDRRMC -&gt; EOC) with defined timelines and formats</t>
  </si>
  <si>
    <t xml:space="preserve">RA 10121; DILG</t>
  </si>
  <si>
    <t xml:space="preserve">Flowchart; sample reports</t>
  </si>
  <si>
    <t xml:space="preserve">EOC Ch.6</t>
  </si>
  <si>
    <t xml:space="preserve">B5.3</t>
  </si>
  <si>
    <t xml:space="preserve">Common Operating Picture maintained (dashboard/ GIS map of incidents, evacuees, resources)</t>
  </si>
  <si>
    <t xml:space="preserve">Dashboard; observation</t>
  </si>
  <si>
    <t xml:space="preserve">B5.4</t>
  </si>
  <si>
    <t xml:space="preserve">Evacuation center and affected-family tracking (DAFAC/ registration) feeds EOC data</t>
  </si>
  <si>
    <t xml:space="preserve">DSWD DAFAC; RA 10821</t>
  </si>
  <si>
    <t xml:space="preserve">DAFAC records; EC reports</t>
  </si>
  <si>
    <t xml:space="preserve">B5.5</t>
  </si>
  <si>
    <t xml:space="preserve">EOC logbook/ significant events log and document retention</t>
  </si>
  <si>
    <t xml:space="preserve">Good practice; NAP rules</t>
  </si>
  <si>
    <t xml:space="preserve">Logbook; records schedule</t>
  </si>
  <si>
    <t xml:space="preserve">B5.6</t>
  </si>
  <si>
    <t xml:space="preserve">Weather/hazard monitoring routine (PAGASA, PHIVOLCS feeds) with bulletins logged and disseminated</t>
  </si>
  <si>
    <t xml:space="preserve">RA 10121; PAGASA protocols</t>
  </si>
  <si>
    <t xml:space="preserve">Monitoring log</t>
  </si>
  <si>
    <t xml:space="preserve">B5.7</t>
  </si>
  <si>
    <t xml:space="preserve">Inbound citizen reporting (hotline, SMS, social media) feeds the common operating picture after a verification step</t>
  </si>
  <si>
    <t xml:space="preserve">UNDRR DRSC 7.4.2</t>
  </si>
  <si>
    <t xml:space="preserve">Intake log; verification SOP; dashboard</t>
  </si>
  <si>
    <t xml:space="preserve">B6  COORDINATION &amp; RESOURCE MANAGEMENT  -  ICS-EOC interface, clusters, resource tracking, mutual aid</t>
  </si>
  <si>
    <t xml:space="preserve">B6.1</t>
  </si>
  <si>
    <t xml:space="preserve">ICS-EOC interface defined: EOC supports Incident Commander(s); no duplication of command</t>
  </si>
  <si>
    <t xml:space="preserve">NDRRMC MC No. 4 s. 2012; EOC Guidelines</t>
  </si>
  <si>
    <t xml:space="preserve">SOP; organigram showing relationships</t>
  </si>
  <si>
    <t xml:space="preserve">EOC Ch.7 Coordination</t>
  </si>
  <si>
    <t xml:space="preserve">B6.2</t>
  </si>
  <si>
    <t xml:space="preserve">Resource management system: request, tracking, mobilization and demobilization of resources</t>
  </si>
  <si>
    <t xml:space="preserve">ICS resource management; EOC Guidelines</t>
  </si>
  <si>
    <t xml:space="preserve">Resource request forms; tracking sheet</t>
  </si>
  <si>
    <t xml:space="preserve">EOC Ch.7</t>
  </si>
  <si>
    <t xml:space="preserve">B6.3</t>
  </si>
  <si>
    <t xml:space="preserve">Resource inventory (city, barangays, partners, private sector) accessible from EOC</t>
  </si>
  <si>
    <t xml:space="preserve">RA 10121; ICS</t>
  </si>
  <si>
    <t xml:space="preserve">Resource database</t>
  </si>
  <si>
    <t xml:space="preserve">B6.4</t>
  </si>
  <si>
    <t xml:space="preserve">Procedures for receiving and managing external assistance/ donations and volunteers</t>
  </si>
  <si>
    <t xml:space="preserve">NDRRMC guidelines on international/ external assistance</t>
  </si>
  <si>
    <t xml:space="preserve">SOP</t>
  </si>
  <si>
    <t xml:space="preserve">B6.5</t>
  </si>
  <si>
    <t xml:space="preserve">Decision-support briefings to CDRRMC/Mayor at fixed intervals during activation</t>
  </si>
  <si>
    <t xml:space="preserve">EOC Guidelines</t>
  </si>
  <si>
    <t xml:space="preserve">Briefing records</t>
  </si>
  <si>
    <t xml:space="preserve">B6.6</t>
  </si>
  <si>
    <t xml:space="preserve">Pre-arranged resource commitments from partners and suppliers set out by item, quantity, activation trigger and contact in signed agreements (incl. supplier agreements tapped for anticipatory action)</t>
  </si>
  <si>
    <t xml:space="preserve">UNDRR DRSC 1.2.4; RA 12287 IRR (2026) Rule IV Sec. 6(a)(ii)</t>
  </si>
  <si>
    <t xml:space="preserve">Signed agreements with schedules</t>
  </si>
  <si>
    <t xml:space="preserve">B7  EOC SOPS, TRAINING, EXERCISES &amp; CONTINUITY  -  SOPs, exercises, after-action review, sustainability</t>
  </si>
  <si>
    <t xml:space="preserve">B7.1</t>
  </si>
  <si>
    <t xml:space="preserve">Written EOC SOPs/ Manual approved and disseminated to all EOC staff</t>
  </si>
  <si>
    <t xml:space="preserve">Approved manual; distribution log</t>
  </si>
  <si>
    <t xml:space="preserve">EOC Manual (whole)</t>
  </si>
  <si>
    <t xml:space="preserve">B7.2</t>
  </si>
  <si>
    <t xml:space="preserve">EOC staff trained (EOC operations course, ICS, IM) with records</t>
  </si>
  <si>
    <t xml:space="preserve">OCD/DRRM training; NDRRMC EOC Guidelines</t>
  </si>
  <si>
    <t xml:space="preserve">Training records</t>
  </si>
  <si>
    <t xml:space="preserve">EOC Ch.8 Training &amp; Exercises</t>
  </si>
  <si>
    <t xml:space="preserve">B7.3</t>
  </si>
  <si>
    <t xml:space="preserve">Annual exercise program (tabletop, functional, full-scale) testing EOC activation</t>
  </si>
  <si>
    <t xml:space="preserve">NDRRMC; HSEEP-style good practice</t>
  </si>
  <si>
    <t xml:space="preserve">Exercise reports</t>
  </si>
  <si>
    <t xml:space="preserve">EOC Ch.8</t>
  </si>
  <si>
    <t xml:space="preserve">B7.4</t>
  </si>
  <si>
    <t xml:space="preserve">After-action review after each activation with improvement plan tracked</t>
  </si>
  <si>
    <t xml:space="preserve">AAR; improvement plan</t>
  </si>
  <si>
    <t xml:space="preserve">B7.5</t>
  </si>
  <si>
    <t xml:space="preserve">Dedicated EOC budget for operations, maintenance and upgrades in LDRRMFIP</t>
  </si>
  <si>
    <t xml:space="preserve">LDRRMFIP line items</t>
  </si>
  <si>
    <t xml:space="preserve">EOC Ch.9 Sustainability</t>
  </si>
  <si>
    <t xml:space="preserve">B7.6</t>
  </si>
  <si>
    <t xml:space="preserve">Equipment maintenance schedule and annual EOC readiness self-check</t>
  </si>
  <si>
    <t xml:space="preserve">PM schedule; checklist</t>
  </si>
  <si>
    <t xml:space="preserve">EOC Ch.9</t>
  </si>
  <si>
    <t xml:space="preserve">PART C - INTERFACE INDICATORS (reported separately; not part of the Institutional Maturity Index)</t>
  </si>
  <si>
    <t xml:space="preserve">Score in yellow cells only. These items are owned by other offices or partners; they measure whether the CDRRMO has, uses or coordinates them. Same 0-4 rubric and evidence rule. Gap priority uses the Good Practice factor (x1.0). Sources: UNDRR Disaster Resilience Scorecard for Cities, Detailed Level (DRSC) and RA 12287 IRR (2026).</t>
  </si>
  <si>
    <t xml:space="preserve">Lead Office / Owner</t>
  </si>
  <si>
    <t xml:space="preserve">Status</t>
  </si>
  <si>
    <t xml:space="preserve">C1  RISK-INFORMED PLANNING &amp; DEVELOPMENT  -  use of risk data in city plans, budgets and permits</t>
  </si>
  <si>
    <t xml:space="preserve">C1.1</t>
  </si>
  <si>
    <t xml:space="preserve">C1</t>
  </si>
  <si>
    <t xml:space="preserve">Most-probable and most-severe risk scenarios inform CDP/CLUP priorities and the location of major investments</t>
  </si>
  <si>
    <t xml:space="preserve">UNDRR DRSC 1.1.1; RA 10121 Sec. 2; DHSUD CLUP guidelines</t>
  </si>
  <si>
    <t xml:space="preserve">CPDO</t>
  </si>
  <si>
    <t xml:space="preserve">CDP/CLUP; CDRA references</t>
  </si>
  <si>
    <t xml:space="preserve">C1.2</t>
  </si>
  <si>
    <t xml:space="preserve">DRR/CCA screening step in project and budget approval (LDC, LFC)</t>
  </si>
  <si>
    <t xml:space="preserve">UNDRR DRSC 1.3.1; climate change expenditure tagging guidelines</t>
  </si>
  <si>
    <t xml:space="preserve">CPDO; City Budget Office</t>
  </si>
  <si>
    <t xml:space="preserve">Screening form; LDC/LFC minutes</t>
  </si>
  <si>
    <t xml:space="preserve">MOO Ch.3 / Ch.5</t>
  </si>
  <si>
    <t xml:space="preserve">C1.3</t>
  </si>
  <si>
    <t xml:space="preserve">CDRA estimates losses beyond physical assets: livelihoods and jobs, housing and displacement, agriculture, ecosystems, cultural heritage</t>
  </si>
  <si>
    <t xml:space="preserve">UNDRR DRSC 2.2.2; DHSUD/CCC CDRA guidelines</t>
  </si>
  <si>
    <t xml:space="preserve">CDRA report</t>
  </si>
  <si>
    <t xml:space="preserve">C1.4</t>
  </si>
  <si>
    <t xml:space="preserve">Risk-sensitive development guidelines applied in zoning and building permits, based on hazard maps</t>
  </si>
  <si>
    <t xml:space="preserve">UNDRR DRSC 2.4.1; CLUP/ZO</t>
  </si>
  <si>
    <t xml:space="preserve">CPDO; Zoning Administrator</t>
  </si>
  <si>
    <t xml:space="preserve">Guidelines; sample permit reviews</t>
  </si>
  <si>
    <t xml:space="preserve">C2  CRITICAL FACILITIES &amp; LIFELINES  -  structural safety, utilities, transport</t>
  </si>
  <si>
    <t xml:space="preserve">C2.1</t>
  </si>
  <si>
    <t xml:space="preserve">C2</t>
  </si>
  <si>
    <t xml:space="preserve">Structural safety of the EOC, evacuation centers and critical public facilities assessed by the Building Official, with a rapid safety inspection procedure before forecast impact</t>
  </si>
  <si>
    <t xml:space="preserve">UNDRR DRSC 4.3.1, 4.4.2; PD 1096; RA 12076; RA 12287 IRR (2026) Rule IV Sec. 4(c)(i)</t>
  </si>
  <si>
    <t xml:space="preserve">City Engineer / Building Official</t>
  </si>
  <si>
    <t xml:space="preserve">Assessment reports; inspection checklist</t>
  </si>
  <si>
    <t xml:space="preserve">EOC Ch.3 / MOO Ch.4</t>
  </si>
  <si>
    <t xml:space="preserve">C2.2</t>
  </si>
  <si>
    <t xml:space="preserve">Pre-crisis and priority-restoration arrangements with power, water and telecom providers (load-shedding and water-rationing plans, cell-on-wheels, restoration priority list)</t>
  </si>
  <si>
    <t xml:space="preserve">UNDRR DRSC Essential 8; RA 12287 IRR (2026) Rule IV Sec. 4(c)(ii)-(iv)</t>
  </si>
  <si>
    <t xml:space="preserve">CDRRMO with utility providers</t>
  </si>
  <si>
    <t xml:space="preserve">Agreements; restoration priority list</t>
  </si>
  <si>
    <t xml:space="preserve">MOO Ch.9 / EOC Ch.7</t>
  </si>
  <si>
    <t xml:space="preserve">C2.3</t>
  </si>
  <si>
    <t xml:space="preserve">Transport anticipatory actions: pre-inspection of bridges, alternate routes and traffic teams, coordination with seaport and terminal operators</t>
  </si>
  <si>
    <t xml:space="preserve">UNDRR DRSC Essential 8; RA 12287 IRR (2026) Rule IV Sec. 10(b)</t>
  </si>
  <si>
    <t xml:space="preserve">City Engineer; traffic office; DPWH; port operator</t>
  </si>
  <si>
    <t xml:space="preserve">Route plan; inspection list; coordination records</t>
  </si>
  <si>
    <t xml:space="preserve">C3  ECOSYSTEMS &amp; WATERSHED  -  protective ecosystems and environmental anticipatory action</t>
  </si>
  <si>
    <t xml:space="preserve">C3.1</t>
  </si>
  <si>
    <t xml:space="preserve">C3</t>
  </si>
  <si>
    <t xml:space="preserve">Critical protective ecosystems (upper Anilao-Malbasag watershed, upland forest cover, coastal mangroves) identified and monitored as risk-reduction assets</t>
  </si>
  <si>
    <t xml:space="preserve">UNDRR DRSC 5.1.1; RA 9729 as amended</t>
  </si>
  <si>
    <t xml:space="preserve">CENRO; DENR CENRO</t>
  </si>
  <si>
    <t xml:space="preserve">Ecosystem inventory; monitoring reports</t>
  </si>
  <si>
    <t xml:space="preserve">C3.2</t>
  </si>
  <si>
    <t xml:space="preserve">Arrangements with neighbouring LGUs and DENR where watersheds or protective ecosystems extend beyond city limits</t>
  </si>
  <si>
    <t xml:space="preserve">UNDRR DRSC 5.3.1, 5.3.2; RA 7160 Sec. 33</t>
  </si>
  <si>
    <t xml:space="preserve">CENRO</t>
  </si>
  <si>
    <t xml:space="preserve">MOAs; watershed council records</t>
  </si>
  <si>
    <t xml:space="preserve">C3.3</t>
  </si>
  <si>
    <t xml:space="preserve">Environmental anticipatory actions: declogging of waterways and drainage, slope stabilization, safe debris and carcass disposal</t>
  </si>
  <si>
    <t xml:space="preserve">RA 12287 IRR (2026) Rule IV Sec. 10(d)</t>
  </si>
  <si>
    <t xml:space="preserve">CENRO; City Engineer; GSO</t>
  </si>
  <si>
    <t xml:space="preserve">Protocol; work orders from last season</t>
  </si>
  <si>
    <t xml:space="preserve">C4  SECTORAL ANTICIPATORY ACTION  -  health, education, agri-fisheries, prices</t>
  </si>
  <si>
    <t xml:space="preserve">C4.1</t>
  </si>
  <si>
    <t xml:space="preserve">C4</t>
  </si>
  <si>
    <t xml:space="preserve">Health anticipatory action: Health Cluster activation, facility service-continuity and surge plans, prepositioned commodities, health emergency response teams on standby</t>
  </si>
  <si>
    <t xml:space="preserve">RA 12287 IRR (2026) Rule IV Sec. 9</t>
  </si>
  <si>
    <t xml:space="preserve">City Health Office; hospitals</t>
  </si>
  <si>
    <t xml:space="preserve">Health AA plan; surge plans</t>
  </si>
  <si>
    <t xml:space="preserve">C4.2</t>
  </si>
  <si>
    <t xml:space="preserve">Education anticipatory action: schools' AA plans and learning-continuity modalities</t>
  </si>
  <si>
    <t xml:space="preserve">RA 12287 IRR (2026) Rule IV Sec. 10(a); RA 10821</t>
  </si>
  <si>
    <t xml:space="preserve">DepEd Schools Division of Ormoc City</t>
  </si>
  <si>
    <t xml:space="preserve">AA plans; learning continuity plan</t>
  </si>
  <si>
    <t xml:space="preserve">C4.3</t>
  </si>
  <si>
    <t xml:space="preserve">Agri-fisheries anticipatory action using RSBSA, FishR and livestock registries; early action guidelines on storage, inputs and animal health</t>
  </si>
  <si>
    <t xml:space="preserve">RA 12287 IRR (2026) Rule IV Sec. 8</t>
  </si>
  <si>
    <t xml:space="preserve">City Agriculture Office; City Veterinary Office</t>
  </si>
  <si>
    <t xml:space="preserve">Guidelines; registry extracts</t>
  </si>
  <si>
    <t xml:space="preserve">C4.4</t>
  </si>
  <si>
    <t xml:space="preserve">Pre-impact price monitoring and anti-profiteering of basic goods</t>
  </si>
  <si>
    <t xml:space="preserve">RA 12287 IRR (2026) Rule IV Sec. 10(c); RA 7581 (Price Act)</t>
  </si>
  <si>
    <t xml:space="preserve">DTI Leyte; city market office</t>
  </si>
  <si>
    <t xml:space="preserve">Monitoring reports</t>
  </si>
  <si>
    <t xml:space="preserve">C5  ECONOMIC CONTINUITY  -  business continuity outreach</t>
  </si>
  <si>
    <t xml:space="preserve">C5.1</t>
  </si>
  <si>
    <t xml:space="preserve">C5</t>
  </si>
  <si>
    <t xml:space="preserve">Business continuity outreach to local businesses based on shared hazard scenarios (outreach only; no mandate implied)</t>
  </si>
  <si>
    <t xml:space="preserve">UNDRR DRSC 7.3.2</t>
  </si>
  <si>
    <t xml:space="preserve">CDRRMO with Chamber of Commerce</t>
  </si>
  <si>
    <t xml:space="preserve">Outreach records; materials</t>
  </si>
  <si>
    <t xml:space="preserve">IMPROVEMENT ACTION PLAN (feeds the Manual of Operations drafting)</t>
  </si>
  <si>
    <t xml:space="preserve">Grey columns pull from the assessment sheets. Filter 'Priority' = High first. Fill yellow columns during the validation workshop. Part C rows (Type = IF) pre-fill the lead office; confirm it in the workshop.</t>
  </si>
  <si>
    <t xml:space="preserve">Type</t>
  </si>
  <si>
    <t xml:space="preserve">Compliance</t>
  </si>
  <si>
    <t xml:space="preserve">Recommended Action (from assessment)</t>
  </si>
  <si>
    <t xml:space="preserve">Responsible Office / Person</t>
  </si>
  <si>
    <t xml:space="preserve">Target Date</t>
  </si>
  <si>
    <t xml:space="preserve">Resources / Budget Source</t>
  </si>
  <si>
    <t xml:space="preserve">Manual Chapter</t>
  </si>
  <si>
    <t xml:space="preserve">IF</t>
  </si>
  <si>
    <t xml:space="preserve">STANDARDS &amp; POLICY REFERENCES USED IN THE TOOL</t>
  </si>
  <si>
    <t xml:space="preserve">Instrument</t>
  </si>
  <si>
    <t xml:space="preserve">Relevance to the assessment</t>
  </si>
  <si>
    <t xml:space="preserve">Status note</t>
  </si>
  <si>
    <t xml:space="preserve">RA 10121 - Philippine DRRM Act of 2010 and its IRR</t>
  </si>
  <si>
    <t xml:space="preserve">Core mandate: CDRRMC (Sec. 11), CDRRMO functions and structure (Sec. 12), LDRRMF 5% and 30% QRF (Sec. 21), state of calamity (Sec. 16).</t>
  </si>
  <si>
    <t xml:space="preserve">In force</t>
  </si>
  <si>
    <t xml:space="preserve">RA 12287 - Declaration of State of Imminent Disaster Act (12 Sept 2025)</t>
  </si>
  <si>
    <t xml:space="preserve">Pre-disaster declaration by the LCE through an EO upon RDRRMC recommendation; anticipatory action protocols; AA funding up to 10% of the 70% LDRRMF with a 30%/70% disbursement rule; 45-day post-lifting report to OCD.</t>
  </si>
  <si>
    <t xml:space="preserve">IRR signed 14 Sep 2026 (certified true copy on file). NDRRMC operational guidelines on triggers/thresholds, DBM-COA funding guidelines and the M&amp;E framework are still to be issued.</t>
  </si>
  <si>
    <t xml:space="preserve">RA 12076 - Ligtas Pinoy Centers Act (2024)</t>
  </si>
  <si>
    <t xml:space="preserve">Permanent, standards-compliant evacuation centers for every city/municipality.</t>
  </si>
  <si>
    <t xml:space="preserve">New; IRR to be checked</t>
  </si>
  <si>
    <t xml:space="preserve">RA 7160 - Local Government Code of 1991</t>
  </si>
  <si>
    <t xml:space="preserve">General welfare, LGU powers, inter-LGU cooperation (Sec. 33), local special bodies.</t>
  </si>
  <si>
    <t xml:space="preserve">RA 9729 as amended by RA 10174 - Climate Change Act / People's Survival Fund</t>
  </si>
  <si>
    <t xml:space="preserve">LCCAP, DRR-CCA mainstreaming, PSF access.</t>
  </si>
  <si>
    <t xml:space="preserve">RA 11292 - Seal of Good Local Governance Act (2019)</t>
  </si>
  <si>
    <t xml:space="preserve">Disaster preparedness is an SGLG governance area; criteria change yearly.</t>
  </si>
  <si>
    <t xml:space="preserve">Check current-year technical notes</t>
  </si>
  <si>
    <t xml:space="preserve">RA 12009 - New Government Procurement Act (2024) and IRR</t>
  </si>
  <si>
    <t xml:space="preserve">Emergency/negotiated procurement for disaster response; framework agreements.</t>
  </si>
  <si>
    <t xml:space="preserve">RA 10173 - Data Privacy Act of 2012</t>
  </si>
  <si>
    <t xml:space="preserve">Handling of affected-population, beneficiary and EOC data.</t>
  </si>
  <si>
    <t xml:space="preserve">RA 10821 - Children's Emergency Relief and Protection Act</t>
  </si>
  <si>
    <t xml:space="preserve">Child-friendly spaces, limits on use of schools as evacuation centers, child protection.</t>
  </si>
  <si>
    <t xml:space="preserve">RA 9710 (Magna Carta of Women); RA 7277 as amended (PWD); RA 9994 (Senior Citizens); RA 8371 (IPRA); RA 11106 (FSL Act)</t>
  </si>
  <si>
    <t xml:space="preserve">Inclusive and gender-responsive DRRM, accessible warnings and facilities.</t>
  </si>
  <si>
    <t xml:space="preserve">RA 10639 - Free Mobile Disaster Alerts Act</t>
  </si>
  <si>
    <t xml:space="preserve">Mobile alert dissemination (ECBS/SMS) for last-mile warning.</t>
  </si>
  <si>
    <t xml:space="preserve">RA 11036 - Mental Health Act</t>
  </si>
  <si>
    <t xml:space="preserve">MHPSS for affected populations and responders.</t>
  </si>
  <si>
    <t xml:space="preserve">NDRRMC-DILG-DBM-CSC JMC No. 2014-1</t>
  </si>
  <si>
    <t xml:space="preserve">Establishment of LDRRMOs: structure, divisions, plantilla positions.</t>
  </si>
  <si>
    <t xml:space="preserve">In force; confirm amendments</t>
  </si>
  <si>
    <t xml:space="preserve">NDRRMC-DBM-DILG JMC No. 2013-1</t>
  </si>
  <si>
    <t xml:space="preserve">Allocation and utilization of the LDRRMF.</t>
  </si>
  <si>
    <t xml:space="preserve">COA Circular No. 2012-002</t>
  </si>
  <si>
    <t xml:space="preserve">Accounting and reporting of the LDRRMF and Special Trust Fund.</t>
  </si>
  <si>
    <t xml:space="preserve">NDRRMC Memorandum Circular No. 4, s. 2012</t>
  </si>
  <si>
    <t xml:space="preserve">Implementing guidelines on the use of the Incident Command System.</t>
  </si>
  <si>
    <t xml:space="preserve">NDRRMC Memorandum Circular No. 131, s. 2018 (as catalogued by ADPC)</t>
  </si>
  <si>
    <t xml:space="preserve">Guidelines on the establishment, operationalization and management of EOCs - primary EOC standard.</t>
  </si>
  <si>
    <t xml:space="preserve">Verify exact issuance title/number with OCD VIII</t>
  </si>
  <si>
    <t xml:space="preserve">NDCC Memorandum Circular No. 12, s. 2008</t>
  </si>
  <si>
    <t xml:space="preserve">Institutionalization of the cluster approach.</t>
  </si>
  <si>
    <t xml:space="preserve">NDRRM Framework and NDRRM Plan 2020-2030</t>
  </si>
  <si>
    <t xml:space="preserve">Four thematic pillars; LDRRMP alignment.</t>
  </si>
  <si>
    <t xml:space="preserve">OCD/NDRRMC Public Service Continuity Planning (PSCP) Guidebook</t>
  </si>
  <si>
    <t xml:space="preserve">Continuity of essential services; alternate EOC; BIA. (Project reference document)</t>
  </si>
  <si>
    <t xml:space="preserve">In project files</t>
  </si>
  <si>
    <t xml:space="preserve">NDRRMC Gawad KALASAG Seal (GKS) guidelines</t>
  </si>
  <si>
    <t xml:space="preserve">National benchmark for LDRRMC/LDRRMO functionality ('Fully Compliant' / 'Beyond Compliant').</t>
  </si>
  <si>
    <t xml:space="preserve">Check current-year guidelines</t>
  </si>
  <si>
    <t xml:space="preserve">DILG Operation L!sto protocols; DILG MC 2025-051 (Listo sa Tag-ulan 2025); DILG MC 2025-035 (Listo si KAP)</t>
  </si>
  <si>
    <t xml:space="preserve">Preparedness checklists for LGUs and barangays.</t>
  </si>
  <si>
    <t xml:space="preserve">Annual issuances; check latest</t>
  </si>
  <si>
    <t xml:space="preserve">EO No. 56, s. 2018 - Emergency 911</t>
  </si>
  <si>
    <t xml:space="preserve">Hotline integration and dispatch.</t>
  </si>
  <si>
    <t xml:space="preserve">PD 1096 (National Building Code) and NSCP</t>
  </si>
  <si>
    <t xml:space="preserve">Structural safety of EOC and evacuation centers.</t>
  </si>
  <si>
    <t xml:space="preserve">Sendai Framework for DRR 2015-2030</t>
  </si>
  <si>
    <t xml:space="preserve">Global targets and monitoring; good-practice benchmark.</t>
  </si>
  <si>
    <t xml:space="preserve">International</t>
  </si>
  <si>
    <t xml:space="preserve">UNDRR Disaster Resilience Scorecard for Cities - Detailed Level Assessment (2017)</t>
  </si>
  <si>
    <t xml:space="preserve">Source of adapted Good Practice and Part C interface indicators (Ten Essentials). Scores are not comparable between cities.</t>
  </si>
  <si>
    <t xml:space="preserve">RA 11315 - Community-Based Monitoring System Act (2019)</t>
  </si>
  <si>
    <t xml:space="preserve">Registry used to identify and prioritize families for anticipatory social amelioration (RA 12287 IRR Rule IV Sec. 7).</t>
  </si>
  <si>
    <t xml:space="preserve">RA 7581 - Price Act</t>
  </si>
  <si>
    <t xml:space="preserve">Pre-impact price monitoring and anti-profiteering (Part C, C4.4).</t>
  </si>
  <si>
    <t xml:space="preserve">RSBSA, FishR and BAI livestock registries</t>
  </si>
  <si>
    <t xml:space="preserve">Targeting of agri-fisheries anticipatory action (RA 12287 IRR Rule IV Sec. 8).</t>
  </si>
  <si>
    <t xml:space="preserve">DA systems</t>
  </si>
  <si>
    <t xml:space="preserve">CROSSWALK - UNDRR SCORECARD (DETAILED LEVEL) AND RA 12287 IRR TO THE IAT v1.1</t>
  </si>
  <si>
    <t xml:space="preserve">Treatment: New = added indicator; Modified = existing indicator widened; Covered = already assessed; Interface = Part C; Deferred = left to the city-wide Scorecard workshop (owned by other offices or needs data the CDRRMO does not hold).</t>
  </si>
  <si>
    <t xml:space="preserve">A. UNDRR Disaster Resilience Scorecard for Cities - Detailed Level</t>
  </si>
  <si>
    <t xml:space="preserve">DRSC ref</t>
  </si>
  <si>
    <t xml:space="preserve">Subject</t>
  </si>
  <si>
    <t xml:space="preserve">Treatment</t>
  </si>
  <si>
    <t xml:space="preserve">IAT indicator(s)</t>
  </si>
  <si>
    <t xml:space="preserve">Note</t>
  </si>
  <si>
    <t xml:space="preserve">1.1.1</t>
  </si>
  <si>
    <t xml:space="preserve">Risk consideration in plan making</t>
  </si>
  <si>
    <t xml:space="preserve">Interface</t>
  </si>
  <si>
    <t xml:space="preserve">1.1.2</t>
  </si>
  <si>
    <t xml:space="preserve">Consultation in plan making</t>
  </si>
  <si>
    <t xml:space="preserve">Deferred</t>
  </si>
  <si>
    <t xml:space="preserve">-</t>
  </si>
  <si>
    <t xml:space="preserve">City planning process; Scorecard workshop</t>
  </si>
  <si>
    <t xml:space="preserve">1.1.3</t>
  </si>
  <si>
    <t xml:space="preserve">Review of strategic plans</t>
  </si>
  <si>
    <t xml:space="preserve">Covered</t>
  </si>
  <si>
    <t xml:space="preserve">LDRRMP annual review</t>
  </si>
  <si>
    <t xml:space="preserve">1.2.1</t>
  </si>
  <si>
    <t xml:space="preserve">Pre-event planning coordination</t>
  </si>
  <si>
    <t xml:space="preserve">A1.2, A1.3, A3.3</t>
  </si>
  <si>
    <t xml:space="preserve">1.2.2</t>
  </si>
  <si>
    <t xml:space="preserve">Coordination of event response</t>
  </si>
  <si>
    <t xml:space="preserve">A8.5, B1.4, B6.1</t>
  </si>
  <si>
    <t xml:space="preserve">1.2.3</t>
  </si>
  <si>
    <t xml:space="preserve">City resources and authority for DRR</t>
  </si>
  <si>
    <t xml:space="preserve">A2.3, A4.1</t>
  </si>
  <si>
    <t xml:space="preserve">1.2.4</t>
  </si>
  <si>
    <t xml:space="preserve">Physical contributions from partners</t>
  </si>
  <si>
    <t xml:space="preserve">New</t>
  </si>
  <si>
    <t xml:space="preserve">1.3.1</t>
  </si>
  <si>
    <t xml:space="preserve">Resilience screening of policy and budget</t>
  </si>
  <si>
    <t xml:space="preserve">1.4.1</t>
  </si>
  <si>
    <t xml:space="preserve">Shared resilience data</t>
  </si>
  <si>
    <t xml:space="preserve">2.1.1</t>
  </si>
  <si>
    <t xml:space="preserve">Knowledge of hazards</t>
  </si>
  <si>
    <t xml:space="preserve">2.2.1</t>
  </si>
  <si>
    <t xml:space="preserve">Exposure and vulnerability scenarios</t>
  </si>
  <si>
    <t xml:space="preserve">2.2.2</t>
  </si>
  <si>
    <t xml:space="preserve">Damage and loss estimation</t>
  </si>
  <si>
    <t xml:space="preserve">2.3.1</t>
  </si>
  <si>
    <t xml:space="preserve">Critical assets and failure chains</t>
  </si>
  <si>
    <t xml:space="preserve">2.4.1</t>
  </si>
  <si>
    <t xml:space="preserve">Hazard maps and guidelines</t>
  </si>
  <si>
    <t xml:space="preserve">Covered / Interface</t>
  </si>
  <si>
    <t xml:space="preserve">A5.1; C1.4</t>
  </si>
  <si>
    <t xml:space="preserve">Maps in A5.1; development guidelines in C1.4</t>
  </si>
  <si>
    <t xml:space="preserve">2.5.1</t>
  </si>
  <si>
    <t xml:space="preserve">Update process</t>
  </si>
  <si>
    <t xml:space="preserve">3.1.1</t>
  </si>
  <si>
    <t xml:space="preserve">Knowledge of financing options</t>
  </si>
  <si>
    <t xml:space="preserve">Partly A4.7; full mapping in Scorecard workshop</t>
  </si>
  <si>
    <t xml:space="preserve">3.2.1</t>
  </si>
  <si>
    <t xml:space="preserve">Financial planning for resilience</t>
  </si>
  <si>
    <t xml:space="preserve">Covered (partial)</t>
  </si>
  <si>
    <t xml:space="preserve">City-wide 5-year plan deferred</t>
  </si>
  <si>
    <t xml:space="preserve">3.2.2</t>
  </si>
  <si>
    <t xml:space="preserve">Capital funding</t>
  </si>
  <si>
    <t xml:space="preserve">City capital program</t>
  </si>
  <si>
    <t xml:space="preserve">3.2.3</t>
  </si>
  <si>
    <t xml:space="preserve">Operating funding</t>
  </si>
  <si>
    <t xml:space="preserve">Covered / New</t>
  </si>
  <si>
    <t xml:space="preserve">A4.1, A4.4; A4.9</t>
  </si>
  <si>
    <t xml:space="preserve">3.2.4</t>
  </si>
  <si>
    <t xml:space="preserve">Contingency fund adequacy</t>
  </si>
  <si>
    <t xml:space="preserve">3.3.1</t>
  </si>
  <si>
    <t xml:space="preserve">Domestic insurance coverage</t>
  </si>
  <si>
    <t xml:space="preserve">Household data not available to CDRRMO</t>
  </si>
  <si>
    <t xml:space="preserve">3.3.2</t>
  </si>
  <si>
    <t xml:space="preserve">Non-domestic insurance coverage</t>
  </si>
  <si>
    <t xml:space="preserve">GSIS insurance of public assets</t>
  </si>
  <si>
    <t xml:space="preserve">3.4.1-3</t>
  </si>
  <si>
    <t xml:space="preserve">Incentives to businesses, non-profits, homeowners</t>
  </si>
  <si>
    <t xml:space="preserve">City policy; Scorecard workshop</t>
  </si>
  <si>
    <t xml:space="preserve">4.1.1-4.1.3</t>
  </si>
  <si>
    <t xml:space="preserve">Population, jobs, output and farmland at risk</t>
  </si>
  <si>
    <t xml:space="preserve">Needs loss modelling</t>
  </si>
  <si>
    <t xml:space="preserve">4.2.1</t>
  </si>
  <si>
    <t xml:space="preserve">Urban design solutions</t>
  </si>
  <si>
    <t xml:space="preserve">4.3.1</t>
  </si>
  <si>
    <t xml:space="preserve">Building codes vs risk</t>
  </si>
  <si>
    <t xml:space="preserve">Interface (partial)</t>
  </si>
  <si>
    <t xml:space="preserve">Critical facilities only</t>
  </si>
  <si>
    <t xml:space="preserve">4.3.2</t>
  </si>
  <si>
    <t xml:space="preserve">Updates to building codes</t>
  </si>
  <si>
    <t xml:space="preserve">National code</t>
  </si>
  <si>
    <t xml:space="preserve">4.3.3</t>
  </si>
  <si>
    <t xml:space="preserve">Sustainable building standards</t>
  </si>
  <si>
    <t xml:space="preserve">4.4.1</t>
  </si>
  <si>
    <t xml:space="preserve">Application of land use zoning</t>
  </si>
  <si>
    <t xml:space="preserve">A1.5 checks ordinances exist</t>
  </si>
  <si>
    <t xml:space="preserve">4.4.2</t>
  </si>
  <si>
    <t xml:space="preserve">Application of building codes</t>
  </si>
  <si>
    <t xml:space="preserve">5.1.1</t>
  </si>
  <si>
    <t xml:space="preserve">Awareness of ecosystem services</t>
  </si>
  <si>
    <t xml:space="preserve">5.1.2</t>
  </si>
  <si>
    <t xml:space="preserve">Ecosystem health</t>
  </si>
  <si>
    <t xml:space="preserve">Needs 5-year monitoring data</t>
  </si>
  <si>
    <t xml:space="preserve">5.2.1</t>
  </si>
  <si>
    <t xml:space="preserve">Land use impact on ecosystems</t>
  </si>
  <si>
    <t xml:space="preserve">5.2.2</t>
  </si>
  <si>
    <t xml:space="preserve">Green and blue infrastructure</t>
  </si>
  <si>
    <t xml:space="preserve">5.3.1-5.3.2</t>
  </si>
  <si>
    <t xml:space="preserve">Transboundary ecosystems and agreements</t>
  </si>
  <si>
    <t xml:space="preserve">6.1.1</t>
  </si>
  <si>
    <t xml:space="preserve">Skills and experience inventory</t>
  </si>
  <si>
    <t xml:space="preserve">6.1.2</t>
  </si>
  <si>
    <t xml:space="preserve">Private sector links</t>
  </si>
  <si>
    <t xml:space="preserve">Modified</t>
  </si>
  <si>
    <t xml:space="preserve">6.1.3</t>
  </si>
  <si>
    <t xml:space="preserve">Insurance sector engagement</t>
  </si>
  <si>
    <t xml:space="preserve">6.1.4</t>
  </si>
  <si>
    <t xml:space="preserve">Civil society links</t>
  </si>
  <si>
    <t xml:space="preserve">A10.2, A2.8</t>
  </si>
  <si>
    <t xml:space="preserve">6.2.1</t>
  </si>
  <si>
    <t xml:space="preserve">Public education campaign</t>
  </si>
  <si>
    <t xml:space="preserve">6.2.1.1</t>
  </si>
  <si>
    <t xml:space="preserve">Message exposures per person</t>
  </si>
  <si>
    <t xml:space="preserve">Needs population survey</t>
  </si>
  <si>
    <t xml:space="preserve">6.3.1-6.3.2</t>
  </si>
  <si>
    <t xml:space="preserve">Data shared with organizations and public</t>
  </si>
  <si>
    <t xml:space="preserve">6.4.1</t>
  </si>
  <si>
    <t xml:space="preserve">Professional training</t>
  </si>
  <si>
    <t xml:space="preserve">A2.6, A7.1, B7.2</t>
  </si>
  <si>
    <t xml:space="preserve">6.4.1.1</t>
  </si>
  <si>
    <t xml:space="preserve">% population trained</t>
  </si>
  <si>
    <t xml:space="preserve">Needs population data</t>
  </si>
  <si>
    <t xml:space="preserve">6.4.2</t>
  </si>
  <si>
    <t xml:space="preserve">Refresher training</t>
  </si>
  <si>
    <t xml:space="preserve">6.5.1</t>
  </si>
  <si>
    <t xml:space="preserve">Language accessibility</t>
  </si>
  <si>
    <t xml:space="preserve">6.6.1</t>
  </si>
  <si>
    <t xml:space="preserve">Learning from other cities</t>
  </si>
  <si>
    <t xml:space="preserve">7.1.1-7.1.2.1</t>
  </si>
  <si>
    <t xml:space="preserve">Community organizations: coverage, effectiveness, roles</t>
  </si>
  <si>
    <t xml:space="preserve">A7.3, B5.2</t>
  </si>
  <si>
    <t xml:space="preserve">7.2.1</t>
  </si>
  <si>
    <t xml:space="preserve">Social connectedness (contact within 12 hours)</t>
  </si>
  <si>
    <t xml:space="preserve">7.2.2</t>
  </si>
  <si>
    <t xml:space="preserve">Engagement of vulnerable groups</t>
  </si>
  <si>
    <t xml:space="preserve">7.3.1</t>
  </si>
  <si>
    <t xml:space="preserve">Employers as a channel</t>
  </si>
  <si>
    <t xml:space="preserve">Needs business survey</t>
  </si>
  <si>
    <t xml:space="preserve">7.3.2</t>
  </si>
  <si>
    <t xml:space="preserve">Business continuity planning</t>
  </si>
  <si>
    <t xml:space="preserve">Outreach only</t>
  </si>
  <si>
    <t xml:space="preserve">7.4.1</t>
  </si>
  <si>
    <t xml:space="preserve">Frequency of engagement</t>
  </si>
  <si>
    <t xml:space="preserve">7.4.2</t>
  </si>
  <si>
    <t xml:space="preserve">Mobile systems of engagement</t>
  </si>
  <si>
    <t xml:space="preserve">Ess. 8</t>
  </si>
  <si>
    <t xml:space="preserve">Infrastructure resilience (theme)</t>
  </si>
  <si>
    <t xml:space="preserve">B2.1-B2.7; C2.2, C2.3</t>
  </si>
  <si>
    <t xml:space="preserve">City-wide utility outcomes deferred</t>
  </si>
  <si>
    <t xml:space="preserve">Ess. 9</t>
  </si>
  <si>
    <t xml:space="preserve">Effective disaster response (theme)</t>
  </si>
  <si>
    <t xml:space="preserve">A6, A8, B1-B7</t>
  </si>
  <si>
    <t xml:space="preserve">Ess. 10</t>
  </si>
  <si>
    <t xml:space="preserve">Recovery and build back better (theme)</t>
  </si>
  <si>
    <t xml:space="preserve">A9.1-A9.4; A9.5</t>
  </si>
  <si>
    <t xml:space="preserve">B. RA 12287 Implementing Rules and Regulations (signed 14 Sep 2026)</t>
  </si>
  <si>
    <t xml:space="preserve">IRR provision</t>
  </si>
  <si>
    <t xml:space="preserve">Rule II Sec. 2</t>
  </si>
  <si>
    <t xml:space="preserve">Triggers and thresholds (NDRRMC operational guidelines pending)</t>
  </si>
  <si>
    <t xml:space="preserve">Rule II Sec. 5</t>
  </si>
  <si>
    <t xml:space="preserve">Pre-disaster risk assessment</t>
  </si>
  <si>
    <t xml:space="preserve">Rule II Sec. 6; Rule III Secs. 2-4</t>
  </si>
  <si>
    <t xml:space="preserve">Declaration, request to RDRRMC, LCE Executive Order, lifting</t>
  </si>
  <si>
    <t xml:space="preserve">Rule IV Sec. 1</t>
  </si>
  <si>
    <t xml:space="preserve">AA protocols in LGU preparedness; principles (inclusion, do no harm, no regrets, Sphere)</t>
  </si>
  <si>
    <t xml:space="preserve">New / Modified</t>
  </si>
  <si>
    <t xml:space="preserve">A8.8; A7.6; B1.2</t>
  </si>
  <si>
    <t xml:space="preserve">Rule IV Sec. 2</t>
  </si>
  <si>
    <t xml:space="preserve">Public information and advisories, incl. GIDAs</t>
  </si>
  <si>
    <t xml:space="preserve">Rule IV Secs. 3, 4, 6</t>
  </si>
  <si>
    <t xml:space="preserve">Prepositioning, asset deployment, pre-emptive evacuation, CCCM, CI safeguarding, FNI distribution</t>
  </si>
  <si>
    <t xml:space="preserve">A8.8; B6.6; C2.1, C2.2</t>
  </si>
  <si>
    <t xml:space="preserve">Rule IV Sec. 5</t>
  </si>
  <si>
    <t xml:space="preserve">Mobilization of ACDVs, CSOs, private sector</t>
  </si>
  <si>
    <t xml:space="preserve">Rule IV Sec. 7</t>
  </si>
  <si>
    <t xml:space="preserve">Social amelioration: CBMS targeting, cash and vouchers</t>
  </si>
  <si>
    <t xml:space="preserve">Rule IV Sec. 8</t>
  </si>
  <si>
    <t xml:space="preserve">Agri-fisheries AA (RSBSA, FishR, livestock)</t>
  </si>
  <si>
    <t xml:space="preserve">Rule IV Sec. 9</t>
  </si>
  <si>
    <t xml:space="preserve">Health AA</t>
  </si>
  <si>
    <t xml:space="preserve">Rule IV Sec. 10</t>
  </si>
  <si>
    <t xml:space="preserve">Education, transport, economy, environment AA</t>
  </si>
  <si>
    <t xml:space="preserve">C4.2, C2.3, C4.4, C3.3</t>
  </si>
  <si>
    <t xml:space="preserve">Rule V Secs. 1-3</t>
  </si>
  <si>
    <t xml:space="preserve">Funding: up to 10% of 70% LDRRMF; other sources; 30/70 disbursement rule; no regrets</t>
  </si>
  <si>
    <t xml:space="preserve">Rule VI Sec. 1</t>
  </si>
  <si>
    <t xml:space="preserve">Report to OCD within 45 days of lifting</t>
  </si>
  <si>
    <t xml:space="preserve">Rule VII</t>
  </si>
  <si>
    <t xml:space="preserve">Capacity development; focal persons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</si>
</sst>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%"/>
    <numFmt numFmtId="167" formatCode="0.0"/>
    <numFmt numFmtId="168" formatCode="General"/>
  </numFmts>
  <fonts count="3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Roboto"/>
      <family val="0"/>
      <charset val="1"/>
    </font>
    <font>
      <b val="true"/>
      <sz val="11"/>
      <color rgb="FF0E6E6E"/>
      <name val="Roboto"/>
      <family val="0"/>
      <charset val="1"/>
    </font>
    <font>
      <b val="true"/>
      <sz val="15"/>
      <color rgb="FF1F3864"/>
      <name val="Poppins"/>
      <family val="0"/>
      <charset val="1"/>
    </font>
    <font>
      <i val="true"/>
      <sz val="9"/>
      <color theme="1"/>
      <name val="Roboto"/>
      <family val="0"/>
      <charset val="1"/>
    </font>
    <font>
      <b val="true"/>
      <sz val="11"/>
      <color rgb="FF1F3864"/>
      <name val="Roboto"/>
      <family val="0"/>
      <charset val="1"/>
    </font>
    <font>
      <sz val="10"/>
      <color theme="1"/>
      <name val="Roboto"/>
      <family val="0"/>
      <charset val="1"/>
    </font>
    <font>
      <b val="true"/>
      <sz val="10"/>
      <color rgb="FFFFFFFF"/>
      <name val="Roboto"/>
      <family val="0"/>
      <charset val="1"/>
    </font>
    <font>
      <b val="true"/>
      <sz val="9"/>
      <color theme="1"/>
      <name val="Roboto"/>
      <family val="0"/>
      <charset val="1"/>
    </font>
    <font>
      <sz val="9"/>
      <color theme="1"/>
      <name val="Roboto"/>
      <family val="0"/>
      <charset val="1"/>
    </font>
    <font>
      <b val="true"/>
      <sz val="14"/>
      <color rgb="FF1F3864"/>
      <name val="Roboto"/>
      <family val="0"/>
      <charset val="1"/>
    </font>
    <font>
      <b val="true"/>
      <sz val="10"/>
      <color theme="1"/>
      <name val="Roboto"/>
      <family val="0"/>
      <charset val="1"/>
    </font>
    <font>
      <i val="true"/>
      <sz val="10"/>
      <color rgb="FF404040"/>
      <name val="Roboto"/>
      <family val="0"/>
      <charset val="1"/>
    </font>
    <font>
      <i val="true"/>
      <sz val="8"/>
      <color theme="1"/>
      <name val="Roboto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i val="true"/>
      <sz val="8"/>
      <color theme="1"/>
      <name val="Arial"/>
      <family val="0"/>
      <charset val="1"/>
    </font>
    <font>
      <b val="true"/>
      <sz val="13"/>
      <color rgb="FF1F3864"/>
      <name val="Roboto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12"/>
      <color rgb="FF1F3864"/>
      <name val="Roboto"/>
      <family val="0"/>
      <charset val="1"/>
    </font>
    <font>
      <i val="true"/>
      <sz val="9"/>
      <name val="Roboto"/>
      <family val="0"/>
      <charset val="1"/>
    </font>
    <font>
      <b val="true"/>
      <sz val="10"/>
      <color rgb="FF1F3864"/>
      <name val="Roboto"/>
      <family val="0"/>
      <charset val="1"/>
    </font>
    <font>
      <b val="true"/>
      <sz val="9"/>
      <color rgb="FFFFFFFF"/>
      <name val="Roboto"/>
      <family val="0"/>
      <charset val="1"/>
    </font>
    <font>
      <sz val="9"/>
      <name val="Roboto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3F3F3"/>
      </patternFill>
    </fill>
    <fill>
      <patternFill patternType="solid">
        <fgColor rgb="FF0E6E6E"/>
        <bgColor rgb="FF008080"/>
      </patternFill>
    </fill>
    <fill>
      <patternFill patternType="solid">
        <fgColor rgb="FFE8EEF7"/>
        <bgColor rgb="FFDDEBF7"/>
      </patternFill>
    </fill>
    <fill>
      <patternFill patternType="solid">
        <fgColor rgb="FFF3F3F3"/>
        <bgColor rgb="FFF2F2F2"/>
      </patternFill>
    </fill>
    <fill>
      <patternFill patternType="solid">
        <fgColor rgb="FF7F7F7F"/>
        <bgColor rgb="FF969696"/>
      </patternFill>
    </fill>
    <fill>
      <patternFill patternType="solid">
        <fgColor rgb="FFDDEBF7"/>
        <bgColor rgb="FFE8EEF7"/>
      </patternFill>
    </fill>
    <fill>
      <patternFill patternType="solid">
        <fgColor rgb="FFE2EFDA"/>
        <bgColor rgb="FFE8EE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>
          <bgColor rgb="FFF4B6B6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9BC2E6"/>
        </patternFill>
      </fill>
    </dxf>
    <dxf>
      <fill>
        <patternFill patternType="solid">
          <fgColor rgb="FF0E6E6E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4B6B6"/>
        </patternFill>
      </fill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00703C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9C0006"/>
      <rgbColor rgb="FF00703C"/>
      <rgbColor rgb="FF000080"/>
      <rgbColor rgb="FF808000"/>
      <rgbColor rgb="FF800080"/>
      <rgbColor rgb="FF0E6E6E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8EEF7"/>
      <rgbColor rgb="FFC6EFCE"/>
      <rgbColor rgb="FFFFE699"/>
      <rgbColor rgb="FF9BC2E6"/>
      <rgbColor rgb="FFF4B6B6"/>
      <rgbColor rgb="FFE2EFDA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Domain Maturity Index (0-4)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Dashboard!$F$5</c:f>
              <c:strCache>
                <c:ptCount val="1"/>
                <c:pt idx="0">
                  <c:v>Maturity Index (0-4)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Dashboard!$B$6:$B$22</c:f>
              <c:strCache>
                <c:ptCount val="17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A4</c:v>
                </c:pt>
                <c:pt idx="4">
                  <c:v>A5</c:v>
                </c:pt>
                <c:pt idx="5">
                  <c:v>A6</c:v>
                </c:pt>
                <c:pt idx="6">
                  <c:v>A7</c:v>
                </c:pt>
                <c:pt idx="7">
                  <c:v>A8</c:v>
                </c:pt>
                <c:pt idx="8">
                  <c:v>A9</c:v>
                </c:pt>
                <c:pt idx="9">
                  <c:v>A10</c:v>
                </c:pt>
                <c:pt idx="10">
                  <c:v>B1</c:v>
                </c:pt>
                <c:pt idx="11">
                  <c:v>B2</c:v>
                </c:pt>
                <c:pt idx="12">
                  <c:v>B3</c:v>
                </c:pt>
                <c:pt idx="13">
                  <c:v>B4</c:v>
                </c:pt>
                <c:pt idx="14">
                  <c:v>B5</c:v>
                </c:pt>
                <c:pt idx="15">
                  <c:v>B6</c:v>
                </c:pt>
                <c:pt idx="16">
                  <c:v>B7</c:v>
                </c:pt>
              </c:strCache>
            </c:strRef>
          </c:cat>
          <c:val>
            <c:numRef>
              <c:f>Dashboard!$F$6:$F$22</c:f>
              <c:numCache>
                <c:formatCode>General</c:formatCode>
                <c:ptCount val="17"/>
              </c:numCache>
            </c:numRef>
          </c:val>
        </c:ser>
        <c:gapWidth val="150"/>
        <c:overlap val="0"/>
        <c:axId val="90790211"/>
        <c:axId val="83514003"/>
      </c:barChart>
      <c:catAx>
        <c:axId val="90790211"/>
        <c:scaling>
          <c:orientation val="maxMin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3514003"/>
        <c:crosses val="autoZero"/>
        <c:auto val="1"/>
        <c:lblAlgn val="ctr"/>
        <c:lblOffset val="100"/>
        <c:noMultiLvlLbl val="0"/>
      </c:catAx>
      <c:valAx>
        <c:axId val="835140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0790211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28</xdr:row>
      <xdr:rowOff>9720</xdr:rowOff>
    </xdr:from>
    <xdr:to>
      <xdr:col>6</xdr:col>
      <xdr:colOff>81720</xdr:colOff>
      <xdr:row>48</xdr:row>
      <xdr:rowOff>171360</xdr:rowOff>
    </xdr:to>
    <xdr:graphicFrame>
      <xdr:nvGraphicFramePr>
        <xdr:cNvPr id="0" name="Chart 1"/>
        <xdr:cNvGraphicFramePr/>
      </xdr:nvGraphicFramePr>
      <xdr:xfrm>
        <a:off x="211320" y="6105240"/>
        <a:ext cx="6143400" cy="4161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6" min="3" style="0" width="30"/>
    <col collapsed="false" customWidth="true" hidden="false" outlineLevel="0" max="26" min="7" style="0" width="8.7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fals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8.55" hidden="false" customHeight="false" outlineLevel="0" collapsed="false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false" outlineLevel="0" collapsed="false">
      <c r="A4" s="1"/>
      <c r="B4" s="4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1"/>
      <c r="B6" s="5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4.25" hidden="false" customHeight="true" outlineLevel="0" collapsed="false">
      <c r="A7" s="1"/>
      <c r="B7" s="6" t="s">
        <v>4</v>
      </c>
      <c r="C7" s="6"/>
      <c r="D7" s="6"/>
      <c r="E7" s="6"/>
      <c r="F7" s="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.75" hidden="false" customHeight="true" outlineLevel="0" collapsed="false">
      <c r="A8" s="1"/>
      <c r="B8" s="6" t="s">
        <v>5</v>
      </c>
      <c r="C8" s="6"/>
      <c r="D8" s="6"/>
      <c r="E8" s="6"/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6.5" hidden="false" customHeight="true" outlineLevel="0" collapsed="false">
      <c r="A9" s="1"/>
      <c r="B9" s="6" t="s">
        <v>6</v>
      </c>
      <c r="C9" s="6"/>
      <c r="D9" s="6"/>
      <c r="E9" s="6"/>
      <c r="F9" s="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6.5" hidden="false" customHeight="true" outlineLevel="0" collapsed="false">
      <c r="A10" s="1"/>
      <c r="B10" s="6" t="s">
        <v>7</v>
      </c>
      <c r="C10" s="6"/>
      <c r="D10" s="6"/>
      <c r="E10" s="6"/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"/>
      <c r="B11" s="6" t="s">
        <v>8</v>
      </c>
      <c r="C11" s="6"/>
      <c r="D11" s="6"/>
      <c r="E11" s="6"/>
      <c r="F11" s="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.75" hidden="false" customHeight="true" outlineLevel="0" collapsed="false">
      <c r="A12" s="1"/>
      <c r="B12" s="6" t="s">
        <v>9</v>
      </c>
      <c r="C12" s="6"/>
      <c r="D12" s="6"/>
      <c r="E12" s="6"/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false" outlineLevel="0" collapsed="false">
      <c r="A14" s="1"/>
      <c r="B14" s="5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false" outlineLevel="0" collapsed="false">
      <c r="A15" s="1"/>
      <c r="B15" s="7" t="s">
        <v>11</v>
      </c>
      <c r="C15" s="7" t="s">
        <v>12</v>
      </c>
      <c r="D15" s="7" t="s">
        <v>13</v>
      </c>
      <c r="E15" s="7" t="s">
        <v>14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30" hidden="false" customHeight="true" outlineLevel="0" collapsed="false">
      <c r="A16" s="1"/>
      <c r="B16" s="8" t="s">
        <v>15</v>
      </c>
      <c r="C16" s="9" t="s">
        <v>16</v>
      </c>
      <c r="D16" s="10" t="s">
        <v>17</v>
      </c>
      <c r="E16" s="10" t="s">
        <v>18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30" hidden="false" customHeight="true" outlineLevel="0" collapsed="false">
      <c r="A17" s="1"/>
      <c r="B17" s="8" t="s">
        <v>19</v>
      </c>
      <c r="C17" s="9" t="s">
        <v>20</v>
      </c>
      <c r="D17" s="10" t="s">
        <v>21</v>
      </c>
      <c r="E17" s="10" t="s">
        <v>22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30" hidden="false" customHeight="true" outlineLevel="0" collapsed="false">
      <c r="A18" s="1"/>
      <c r="B18" s="8" t="s">
        <v>23</v>
      </c>
      <c r="C18" s="9" t="s">
        <v>24</v>
      </c>
      <c r="D18" s="10" t="s">
        <v>25</v>
      </c>
      <c r="E18" s="10" t="s">
        <v>26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30" hidden="false" customHeight="true" outlineLevel="0" collapsed="false">
      <c r="A19" s="1"/>
      <c r="B19" s="8" t="s">
        <v>27</v>
      </c>
      <c r="C19" s="9" t="s">
        <v>28</v>
      </c>
      <c r="D19" s="10" t="s">
        <v>29</v>
      </c>
      <c r="E19" s="10" t="s">
        <v>30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30" hidden="false" customHeight="true" outlineLevel="0" collapsed="false">
      <c r="A20" s="1"/>
      <c r="B20" s="8" t="s">
        <v>31</v>
      </c>
      <c r="C20" s="9" t="s">
        <v>32</v>
      </c>
      <c r="D20" s="10" t="s">
        <v>33</v>
      </c>
      <c r="E20" s="10" t="s">
        <v>34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30" hidden="false" customHeight="true" outlineLevel="0" collapsed="false">
      <c r="A21" s="1"/>
      <c r="B21" s="8" t="s">
        <v>35</v>
      </c>
      <c r="C21" s="9" t="s">
        <v>36</v>
      </c>
      <c r="D21" s="10" t="s">
        <v>37</v>
      </c>
      <c r="E21" s="10" t="s">
        <v>38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1"/>
      <c r="B23" s="5" t="s">
        <v>39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25.5" hidden="false" customHeight="true" outlineLevel="0" collapsed="false">
      <c r="A24" s="1"/>
      <c r="B24" s="9" t="s">
        <v>40</v>
      </c>
      <c r="C24" s="11" t="s">
        <v>41</v>
      </c>
      <c r="D24" s="11"/>
      <c r="E24" s="11"/>
      <c r="F24" s="1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25.5" hidden="false" customHeight="true" outlineLevel="0" collapsed="false">
      <c r="A25" s="1"/>
      <c r="B25" s="9" t="s">
        <v>42</v>
      </c>
      <c r="C25" s="11" t="s">
        <v>43</v>
      </c>
      <c r="D25" s="11"/>
      <c r="E25" s="11"/>
      <c r="F25" s="1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25.5" hidden="false" customHeight="true" outlineLevel="0" collapsed="false">
      <c r="A26" s="1"/>
      <c r="B26" s="9" t="s">
        <v>44</v>
      </c>
      <c r="C26" s="11" t="s">
        <v>45</v>
      </c>
      <c r="D26" s="11"/>
      <c r="E26" s="11"/>
      <c r="F26" s="1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25.5" hidden="false" customHeight="true" outlineLevel="0" collapsed="false">
      <c r="A27" s="1"/>
      <c r="B27" s="9" t="s">
        <v>46</v>
      </c>
      <c r="C27" s="11" t="s">
        <v>47</v>
      </c>
      <c r="D27" s="11"/>
      <c r="E27" s="11"/>
      <c r="F27" s="1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25.5" hidden="false" customHeight="true" outlineLevel="0" collapsed="false">
      <c r="A28" s="1"/>
      <c r="B28" s="9" t="s">
        <v>48</v>
      </c>
      <c r="C28" s="11" t="s">
        <v>49</v>
      </c>
      <c r="D28" s="11"/>
      <c r="E28" s="11"/>
      <c r="F28" s="1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1"/>
      <c r="B30" s="5" t="s">
        <v>50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1"/>
      <c r="B31" s="12" t="s">
        <v>51</v>
      </c>
      <c r="C31" s="10" t="s">
        <v>52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1"/>
      <c r="B32" s="13" t="s">
        <v>53</v>
      </c>
      <c r="C32" s="10" t="s">
        <v>54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1"/>
      <c r="B34" s="5" t="s">
        <v>55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1"/>
      <c r="B35" s="14" t="s">
        <v>56</v>
      </c>
      <c r="C35" s="14" t="s">
        <v>11</v>
      </c>
      <c r="D35" s="14" t="s">
        <v>57</v>
      </c>
      <c r="E35" s="14" t="s">
        <v>58</v>
      </c>
      <c r="F35" s="14" t="s">
        <v>59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33" hidden="false" customHeight="true" outlineLevel="0" collapsed="false">
      <c r="A36" s="1"/>
      <c r="B36" s="15" t="s">
        <v>60</v>
      </c>
      <c r="C36" s="16" t="s">
        <v>23</v>
      </c>
      <c r="D36" s="15" t="s">
        <v>61</v>
      </c>
      <c r="E36" s="15" t="s">
        <v>62</v>
      </c>
      <c r="F36" s="15" t="s">
        <v>63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1"/>
      <c r="B39" s="5" t="s">
        <v>64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39.75" hidden="false" customHeight="true" outlineLevel="0" collapsed="false">
      <c r="A40" s="1"/>
      <c r="B40" s="12" t="s">
        <v>65</v>
      </c>
      <c r="C40" s="10" t="s">
        <v>66</v>
      </c>
      <c r="D40" s="10"/>
      <c r="E40" s="10"/>
      <c r="F40" s="10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39.75" hidden="false" customHeight="true" outlineLevel="0" collapsed="false">
      <c r="A41" s="1"/>
      <c r="B41" s="12" t="s">
        <v>67</v>
      </c>
      <c r="C41" s="10" t="s">
        <v>68</v>
      </c>
      <c r="D41" s="10"/>
      <c r="E41" s="10"/>
      <c r="F41" s="10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39.75" hidden="false" customHeight="true" outlineLevel="0" collapsed="false">
      <c r="A42" s="1"/>
      <c r="B42" s="12" t="s">
        <v>69</v>
      </c>
      <c r="C42" s="10" t="s">
        <v>70</v>
      </c>
      <c r="D42" s="10"/>
      <c r="E42" s="10"/>
      <c r="F42" s="10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39.75" hidden="false" customHeight="true" outlineLevel="0" collapsed="false">
      <c r="A43" s="1"/>
      <c r="B43" s="12" t="s">
        <v>71</v>
      </c>
      <c r="C43" s="10" t="s">
        <v>72</v>
      </c>
      <c r="D43" s="10"/>
      <c r="E43" s="10"/>
      <c r="F43" s="10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39.75" hidden="false" customHeight="true" outlineLevel="0" collapsed="false">
      <c r="A44" s="1"/>
      <c r="B44" s="12" t="s">
        <v>73</v>
      </c>
      <c r="C44" s="10" t="s">
        <v>74</v>
      </c>
      <c r="D44" s="10"/>
      <c r="E44" s="10"/>
      <c r="F44" s="10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B7:F7"/>
    <mergeCell ref="B8:F8"/>
    <mergeCell ref="B9:F9"/>
    <mergeCell ref="B10:F10"/>
    <mergeCell ref="B11:F11"/>
    <mergeCell ref="B12:F12"/>
    <mergeCell ref="C24:F24"/>
    <mergeCell ref="C25:F25"/>
    <mergeCell ref="C26:F26"/>
    <mergeCell ref="C27:F27"/>
    <mergeCell ref="C28:F28"/>
    <mergeCell ref="C40:F40"/>
    <mergeCell ref="C41:F41"/>
    <mergeCell ref="C42:F42"/>
    <mergeCell ref="C43:F43"/>
    <mergeCell ref="C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44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5.29"/>
    <col collapsed="false" customWidth="true" hidden="false" outlineLevel="0" max="10" min="10" style="0" width="12"/>
    <col collapsed="false" customWidth="true" hidden="false" outlineLevel="0" max="26" min="11" style="0" width="8.7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7.35" hidden="false" customHeight="false" outlineLevel="0" collapsed="false">
      <c r="A2" s="1"/>
      <c r="B2" s="17" t="s">
        <v>75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1"/>
      <c r="B3" s="4" t="s">
        <v>76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31.5" hidden="false" customHeight="true" outlineLevel="0" collapsed="false">
      <c r="A5" s="1"/>
      <c r="B5" s="7" t="s">
        <v>77</v>
      </c>
      <c r="C5" s="7" t="s">
        <v>78</v>
      </c>
      <c r="D5" s="7" t="s">
        <v>79</v>
      </c>
      <c r="E5" s="7" t="s">
        <v>80</v>
      </c>
      <c r="F5" s="7" t="s">
        <v>81</v>
      </c>
      <c r="G5" s="7" t="s">
        <v>82</v>
      </c>
      <c r="H5" s="7" t="s">
        <v>83</v>
      </c>
      <c r="I5" s="7" t="s">
        <v>84</v>
      </c>
      <c r="J5" s="7" t="s">
        <v>85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1"/>
      <c r="B6" s="18" t="s">
        <v>86</v>
      </c>
      <c r="C6" s="19" t="s">
        <v>87</v>
      </c>
      <c r="D6" s="18" t="n">
        <f aca="false">COUNTIF(A_CDRRMO!$B$5:$B$96,B6)</f>
        <v>8</v>
      </c>
      <c r="E6" s="18" t="n">
        <f aca="false">SUMIF(A_CDRRMO!$B$5:$B$96,B6,A_CDRRMO!$S$5:$S$96)</f>
        <v>0</v>
      </c>
      <c r="F6" s="20" t="str">
        <f aca="false">IF(SUMIF(A_CDRRMO!$B$5:$B$96,B6,A_CDRRMO!$R$5:$R$96)=0,"",SUMIF(A_CDRRMO!$B$5:$B$96,B6,A_CDRRMO!$Q$5:$Q$96)/SUMIF(A_CDRRMO!$B$5:$B$96,B6,A_CDRRMO!$R$5:$R$96)*4)</f>
        <v/>
      </c>
      <c r="G6" s="18" t="str">
        <f aca="false">IF(F6="","",IF(F6&lt;0.5,"Absent",IF(F6&lt;1.5,"Initial",IF(F6&lt;2.5,"Developing",IF(F6&lt;3.5,"Compliant","Advanced")))))</f>
        <v/>
      </c>
      <c r="H6" s="21" t="str">
        <f aca="false">IF(SUMIF(A_CDRRMO!$B$5:$B$96,B6,A_CDRRMO!$T$5:$T$96)=0,"",SUMIF(A_CDRRMO!$B$5:$B$96,B6,A_CDRRMO!$U$5:$U$96)/SUMIF(A_CDRRMO!$B$5:$B$96,B6,A_CDRRMO!$T$5:$T$96))</f>
        <v/>
      </c>
      <c r="I6" s="18" t="n">
        <f aca="false">COUNTIFS(A_CDRRMO!$B$5:$B$96,B6,A_CDRRMO!$N$5:$N$96,"High")</f>
        <v>0</v>
      </c>
      <c r="J6" s="21" t="n">
        <f aca="false">IF(F6="",0,F6/4)</f>
        <v>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false" outlineLevel="0" collapsed="false">
      <c r="A7" s="1"/>
      <c r="B7" s="18" t="s">
        <v>88</v>
      </c>
      <c r="C7" s="19" t="s">
        <v>89</v>
      </c>
      <c r="D7" s="18" t="n">
        <f aca="false">COUNTIF(A_CDRRMO!$B$5:$B$96,B7)</f>
        <v>10</v>
      </c>
      <c r="E7" s="18" t="n">
        <f aca="false">SUMIF(A_CDRRMO!$B$5:$B$96,B7,A_CDRRMO!$S$5:$S$96)</f>
        <v>0</v>
      </c>
      <c r="F7" s="20" t="str">
        <f aca="false">IF(SUMIF(A_CDRRMO!$B$5:$B$96,B7,A_CDRRMO!$R$5:$R$96)=0,"",SUMIF(A_CDRRMO!$B$5:$B$96,B7,A_CDRRMO!$Q$5:$Q$96)/SUMIF(A_CDRRMO!$B$5:$B$96,B7,A_CDRRMO!$R$5:$R$96)*4)</f>
        <v/>
      </c>
      <c r="G7" s="18" t="str">
        <f aca="false">IF(F7="","",IF(F7&lt;0.5,"Absent",IF(F7&lt;1.5,"Initial",IF(F7&lt;2.5,"Developing",IF(F7&lt;3.5,"Compliant","Advanced")))))</f>
        <v/>
      </c>
      <c r="H7" s="21" t="str">
        <f aca="false">IF(SUMIF(A_CDRRMO!$B$5:$B$96,B7,A_CDRRMO!$T$5:$T$96)=0,"",SUMIF(A_CDRRMO!$B$5:$B$96,B7,A_CDRRMO!$U$5:$U$96)/SUMIF(A_CDRRMO!$B$5:$B$96,B7,A_CDRRMO!$T$5:$T$96))</f>
        <v/>
      </c>
      <c r="I7" s="18" t="n">
        <f aca="false">COUNTIFS(A_CDRRMO!$B$5:$B$96,B7,A_CDRRMO!$N$5:$N$96,"High")</f>
        <v>0</v>
      </c>
      <c r="J7" s="21" t="n">
        <f aca="false">IF(F7="",0,F7/4)</f>
        <v>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false" outlineLevel="0" collapsed="false">
      <c r="A8" s="1"/>
      <c r="B8" s="18" t="s">
        <v>90</v>
      </c>
      <c r="C8" s="19" t="s">
        <v>91</v>
      </c>
      <c r="D8" s="18" t="n">
        <f aca="false">COUNTIF(A_CDRRMO!$B$5:$B$96,B8)</f>
        <v>7</v>
      </c>
      <c r="E8" s="18" t="n">
        <f aca="false">SUMIF(A_CDRRMO!$B$5:$B$96,B8,A_CDRRMO!$S$5:$S$96)</f>
        <v>0</v>
      </c>
      <c r="F8" s="20" t="str">
        <f aca="false">IF(SUMIF(A_CDRRMO!$B$5:$B$96,B8,A_CDRRMO!$R$5:$R$96)=0,"",SUMIF(A_CDRRMO!$B$5:$B$96,B8,A_CDRRMO!$Q$5:$Q$96)/SUMIF(A_CDRRMO!$B$5:$B$96,B8,A_CDRRMO!$R$5:$R$96)*4)</f>
        <v/>
      </c>
      <c r="G8" s="18" t="str">
        <f aca="false">IF(F8="","",IF(F8&lt;0.5,"Absent",IF(F8&lt;1.5,"Initial",IF(F8&lt;2.5,"Developing",IF(F8&lt;3.5,"Compliant","Advanced")))))</f>
        <v/>
      </c>
      <c r="H8" s="21" t="str">
        <f aca="false">IF(SUMIF(A_CDRRMO!$B$5:$B$96,B8,A_CDRRMO!$T$5:$T$96)=0,"",SUMIF(A_CDRRMO!$B$5:$B$96,B8,A_CDRRMO!$U$5:$U$96)/SUMIF(A_CDRRMO!$B$5:$B$96,B8,A_CDRRMO!$T$5:$T$96))</f>
        <v/>
      </c>
      <c r="I8" s="18" t="n">
        <f aca="false">COUNTIFS(A_CDRRMO!$B$5:$B$96,B8,A_CDRRMO!$N$5:$N$96,"High")</f>
        <v>0</v>
      </c>
      <c r="J8" s="21" t="n">
        <f aca="false">IF(F8="",0,F8/4)</f>
        <v>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false" outlineLevel="0" collapsed="false">
      <c r="A9" s="1"/>
      <c r="B9" s="18" t="s">
        <v>92</v>
      </c>
      <c r="C9" s="19" t="s">
        <v>93</v>
      </c>
      <c r="D9" s="18" t="n">
        <f aca="false">COUNTIF(A_CDRRMO!$B$5:$B$96,B9)</f>
        <v>9</v>
      </c>
      <c r="E9" s="18" t="n">
        <f aca="false">SUMIF(A_CDRRMO!$B$5:$B$96,B9,A_CDRRMO!$S$5:$S$96)</f>
        <v>0</v>
      </c>
      <c r="F9" s="20" t="str">
        <f aca="false">IF(SUMIF(A_CDRRMO!$B$5:$B$96,B9,A_CDRRMO!$R$5:$R$96)=0,"",SUMIF(A_CDRRMO!$B$5:$B$96,B9,A_CDRRMO!$Q$5:$Q$96)/SUMIF(A_CDRRMO!$B$5:$B$96,B9,A_CDRRMO!$R$5:$R$96)*4)</f>
        <v/>
      </c>
      <c r="G9" s="18" t="str">
        <f aca="false">IF(F9="","",IF(F9&lt;0.5,"Absent",IF(F9&lt;1.5,"Initial",IF(F9&lt;2.5,"Developing",IF(F9&lt;3.5,"Compliant","Advanced")))))</f>
        <v/>
      </c>
      <c r="H9" s="21" t="str">
        <f aca="false">IF(SUMIF(A_CDRRMO!$B$5:$B$96,B9,A_CDRRMO!$T$5:$T$96)=0,"",SUMIF(A_CDRRMO!$B$5:$B$96,B9,A_CDRRMO!$U$5:$U$96)/SUMIF(A_CDRRMO!$B$5:$B$96,B9,A_CDRRMO!$T$5:$T$96))</f>
        <v/>
      </c>
      <c r="I9" s="18" t="n">
        <f aca="false">COUNTIFS(A_CDRRMO!$B$5:$B$96,B9,A_CDRRMO!$N$5:$N$96,"High")</f>
        <v>0</v>
      </c>
      <c r="J9" s="21" t="n">
        <f aca="false">IF(F9="",0,F9/4)</f>
        <v>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23.85" hidden="false" customHeight="false" outlineLevel="0" collapsed="false">
      <c r="A10" s="1"/>
      <c r="B10" s="18" t="s">
        <v>94</v>
      </c>
      <c r="C10" s="19" t="s">
        <v>95</v>
      </c>
      <c r="D10" s="18" t="n">
        <f aca="false">COUNTIF(A_CDRRMO!$B$5:$B$96,B10)</f>
        <v>9</v>
      </c>
      <c r="E10" s="18" t="n">
        <f aca="false">SUMIF(A_CDRRMO!$B$5:$B$96,B10,A_CDRRMO!$S$5:$S$96)</f>
        <v>0</v>
      </c>
      <c r="F10" s="20" t="str">
        <f aca="false">IF(SUMIF(A_CDRRMO!$B$5:$B$96,B10,A_CDRRMO!$R$5:$R$96)=0,"",SUMIF(A_CDRRMO!$B$5:$B$96,B10,A_CDRRMO!$Q$5:$Q$96)/SUMIF(A_CDRRMO!$B$5:$B$96,B10,A_CDRRMO!$R$5:$R$96)*4)</f>
        <v/>
      </c>
      <c r="G10" s="18" t="str">
        <f aca="false">IF(F10="","",IF(F10&lt;0.5,"Absent",IF(F10&lt;1.5,"Initial",IF(F10&lt;2.5,"Developing",IF(F10&lt;3.5,"Compliant","Advanced")))))</f>
        <v/>
      </c>
      <c r="H10" s="21" t="str">
        <f aca="false">IF(SUMIF(A_CDRRMO!$B$5:$B$96,B10,A_CDRRMO!$T$5:$T$96)=0,"",SUMIF(A_CDRRMO!$B$5:$B$96,B10,A_CDRRMO!$U$5:$U$96)/SUMIF(A_CDRRMO!$B$5:$B$96,B10,A_CDRRMO!$T$5:$T$96))</f>
        <v/>
      </c>
      <c r="I10" s="18" t="n">
        <f aca="false">COUNTIFS(A_CDRRMO!$B$5:$B$96,B10,A_CDRRMO!$N$5:$N$96,"High")</f>
        <v>0</v>
      </c>
      <c r="J10" s="21" t="n">
        <f aca="false">IF(F10="",0,F10/4)</f>
        <v>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false" outlineLevel="0" collapsed="false">
      <c r="A11" s="1"/>
      <c r="B11" s="18" t="s">
        <v>96</v>
      </c>
      <c r="C11" s="19" t="s">
        <v>97</v>
      </c>
      <c r="D11" s="18" t="n">
        <f aca="false">COUNTIF(A_CDRRMO!$B$5:$B$96,B11)</f>
        <v>7</v>
      </c>
      <c r="E11" s="18" t="n">
        <f aca="false">SUMIF(A_CDRRMO!$B$5:$B$96,B11,A_CDRRMO!$S$5:$S$96)</f>
        <v>0</v>
      </c>
      <c r="F11" s="20" t="str">
        <f aca="false">IF(SUMIF(A_CDRRMO!$B$5:$B$96,B11,A_CDRRMO!$R$5:$R$96)=0,"",SUMIF(A_CDRRMO!$B$5:$B$96,B11,A_CDRRMO!$Q$5:$Q$96)/SUMIF(A_CDRRMO!$B$5:$B$96,B11,A_CDRRMO!$R$5:$R$96)*4)</f>
        <v/>
      </c>
      <c r="G11" s="18" t="str">
        <f aca="false">IF(F11="","",IF(F11&lt;0.5,"Absent",IF(F11&lt;1.5,"Initial",IF(F11&lt;2.5,"Developing",IF(F11&lt;3.5,"Compliant","Advanced")))))</f>
        <v/>
      </c>
      <c r="H11" s="21" t="str">
        <f aca="false">IF(SUMIF(A_CDRRMO!$B$5:$B$96,B11,A_CDRRMO!$T$5:$T$96)=0,"",SUMIF(A_CDRRMO!$B$5:$B$96,B11,A_CDRRMO!$U$5:$U$96)/SUMIF(A_CDRRMO!$B$5:$B$96,B11,A_CDRRMO!$T$5:$T$96))</f>
        <v/>
      </c>
      <c r="I11" s="18" t="n">
        <f aca="false">COUNTIFS(A_CDRRMO!$B$5:$B$96,B11,A_CDRRMO!$N$5:$N$96,"High")</f>
        <v>0</v>
      </c>
      <c r="J11" s="21" t="n">
        <f aca="false">IF(F11="",0,F11/4)</f>
        <v>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false" outlineLevel="0" collapsed="false">
      <c r="A12" s="1"/>
      <c r="B12" s="18" t="s">
        <v>98</v>
      </c>
      <c r="C12" s="19" t="s">
        <v>99</v>
      </c>
      <c r="D12" s="18" t="n">
        <f aca="false">COUNTIF(A_CDRRMO!$B$5:$B$96,B12)</f>
        <v>9</v>
      </c>
      <c r="E12" s="18" t="n">
        <f aca="false">SUMIF(A_CDRRMO!$B$5:$B$96,B12,A_CDRRMO!$S$5:$S$96)</f>
        <v>0</v>
      </c>
      <c r="F12" s="20" t="str">
        <f aca="false">IF(SUMIF(A_CDRRMO!$B$5:$B$96,B12,A_CDRRMO!$R$5:$R$96)=0,"",SUMIF(A_CDRRMO!$B$5:$B$96,B12,A_CDRRMO!$Q$5:$Q$96)/SUMIF(A_CDRRMO!$B$5:$B$96,B12,A_CDRRMO!$R$5:$R$96)*4)</f>
        <v/>
      </c>
      <c r="G12" s="18" t="str">
        <f aca="false">IF(F12="","",IF(F12&lt;0.5,"Absent",IF(F12&lt;1.5,"Initial",IF(F12&lt;2.5,"Developing",IF(F12&lt;3.5,"Compliant","Advanced")))))</f>
        <v/>
      </c>
      <c r="H12" s="21" t="str">
        <f aca="false">IF(SUMIF(A_CDRRMO!$B$5:$B$96,B12,A_CDRRMO!$T$5:$T$96)=0,"",SUMIF(A_CDRRMO!$B$5:$B$96,B12,A_CDRRMO!$U$5:$U$96)/SUMIF(A_CDRRMO!$B$5:$B$96,B12,A_CDRRMO!$T$5:$T$96))</f>
        <v/>
      </c>
      <c r="I12" s="18" t="n">
        <f aca="false">COUNTIFS(A_CDRRMO!$B$5:$B$96,B12,A_CDRRMO!$N$5:$N$96,"High")</f>
        <v>0</v>
      </c>
      <c r="J12" s="21" t="n">
        <f aca="false">IF(F12="",0,F12/4)</f>
        <v>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false" outlineLevel="0" collapsed="false">
      <c r="A13" s="1"/>
      <c r="B13" s="18" t="s">
        <v>100</v>
      </c>
      <c r="C13" s="19" t="s">
        <v>101</v>
      </c>
      <c r="D13" s="18" t="n">
        <f aca="false">COUNTIF(A_CDRRMO!$B$5:$B$96,B13)</f>
        <v>9</v>
      </c>
      <c r="E13" s="18" t="n">
        <f aca="false">SUMIF(A_CDRRMO!$B$5:$B$96,B13,A_CDRRMO!$S$5:$S$96)</f>
        <v>0</v>
      </c>
      <c r="F13" s="20" t="str">
        <f aca="false">IF(SUMIF(A_CDRRMO!$B$5:$B$96,B13,A_CDRRMO!$R$5:$R$96)=0,"",SUMIF(A_CDRRMO!$B$5:$B$96,B13,A_CDRRMO!$Q$5:$Q$96)/SUMIF(A_CDRRMO!$B$5:$B$96,B13,A_CDRRMO!$R$5:$R$96)*4)</f>
        <v/>
      </c>
      <c r="G13" s="18" t="str">
        <f aca="false">IF(F13="","",IF(F13&lt;0.5,"Absent",IF(F13&lt;1.5,"Initial",IF(F13&lt;2.5,"Developing",IF(F13&lt;3.5,"Compliant","Advanced")))))</f>
        <v/>
      </c>
      <c r="H13" s="21" t="str">
        <f aca="false">IF(SUMIF(A_CDRRMO!$B$5:$B$96,B13,A_CDRRMO!$T$5:$T$96)=0,"",SUMIF(A_CDRRMO!$B$5:$B$96,B13,A_CDRRMO!$U$5:$U$96)/SUMIF(A_CDRRMO!$B$5:$B$96,B13,A_CDRRMO!$T$5:$T$96))</f>
        <v/>
      </c>
      <c r="I13" s="18" t="n">
        <f aca="false">COUNTIFS(A_CDRRMO!$B$5:$B$96,B13,A_CDRRMO!$N$5:$N$96,"High")</f>
        <v>0</v>
      </c>
      <c r="J13" s="21" t="n">
        <f aca="false">IF(F13="",0,F13/4)</f>
        <v>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false" outlineLevel="0" collapsed="false">
      <c r="A14" s="1"/>
      <c r="B14" s="18" t="s">
        <v>102</v>
      </c>
      <c r="C14" s="19" t="s">
        <v>103</v>
      </c>
      <c r="D14" s="18" t="n">
        <f aca="false">COUNTIF(A_CDRRMO!$B$5:$B$96,B14)</f>
        <v>5</v>
      </c>
      <c r="E14" s="18" t="n">
        <f aca="false">SUMIF(A_CDRRMO!$B$5:$B$96,B14,A_CDRRMO!$S$5:$S$96)</f>
        <v>0</v>
      </c>
      <c r="F14" s="20" t="str">
        <f aca="false">IF(SUMIF(A_CDRRMO!$B$5:$B$96,B14,A_CDRRMO!$R$5:$R$96)=0,"",SUMIF(A_CDRRMO!$B$5:$B$96,B14,A_CDRRMO!$Q$5:$Q$96)/SUMIF(A_CDRRMO!$B$5:$B$96,B14,A_CDRRMO!$R$5:$R$96)*4)</f>
        <v/>
      </c>
      <c r="G14" s="18" t="str">
        <f aca="false">IF(F14="","",IF(F14&lt;0.5,"Absent",IF(F14&lt;1.5,"Initial",IF(F14&lt;2.5,"Developing",IF(F14&lt;3.5,"Compliant","Advanced")))))</f>
        <v/>
      </c>
      <c r="H14" s="21" t="str">
        <f aca="false">IF(SUMIF(A_CDRRMO!$B$5:$B$96,B14,A_CDRRMO!$T$5:$T$96)=0,"",SUMIF(A_CDRRMO!$B$5:$B$96,B14,A_CDRRMO!$U$5:$U$96)/SUMIF(A_CDRRMO!$B$5:$B$96,B14,A_CDRRMO!$T$5:$T$96))</f>
        <v/>
      </c>
      <c r="I14" s="18" t="n">
        <f aca="false">COUNTIFS(A_CDRRMO!$B$5:$B$96,B14,A_CDRRMO!$N$5:$N$96,"High")</f>
        <v>0</v>
      </c>
      <c r="J14" s="21" t="n">
        <f aca="false">IF(F14="",0,F14/4)</f>
        <v>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false" outlineLevel="0" collapsed="false">
      <c r="A15" s="1"/>
      <c r="B15" s="18" t="s">
        <v>104</v>
      </c>
      <c r="C15" s="19" t="s">
        <v>105</v>
      </c>
      <c r="D15" s="18" t="n">
        <f aca="false">COUNTIF(A_CDRRMO!$B$5:$B$96,B15)</f>
        <v>9</v>
      </c>
      <c r="E15" s="18" t="n">
        <f aca="false">SUMIF(A_CDRRMO!$B$5:$B$96,B15,A_CDRRMO!$S$5:$S$96)</f>
        <v>0</v>
      </c>
      <c r="F15" s="20" t="str">
        <f aca="false">IF(SUMIF(A_CDRRMO!$B$5:$B$96,B15,A_CDRRMO!$R$5:$R$96)=0,"",SUMIF(A_CDRRMO!$B$5:$B$96,B15,A_CDRRMO!$Q$5:$Q$96)/SUMIF(A_CDRRMO!$B$5:$B$96,B15,A_CDRRMO!$R$5:$R$96)*4)</f>
        <v/>
      </c>
      <c r="G15" s="18" t="str">
        <f aca="false">IF(F15="","",IF(F15&lt;0.5,"Absent",IF(F15&lt;1.5,"Initial",IF(F15&lt;2.5,"Developing",IF(F15&lt;3.5,"Compliant","Advanced")))))</f>
        <v/>
      </c>
      <c r="H15" s="21" t="str">
        <f aca="false">IF(SUMIF(A_CDRRMO!$B$5:$B$96,B15,A_CDRRMO!$T$5:$T$96)=0,"",SUMIF(A_CDRRMO!$B$5:$B$96,B15,A_CDRRMO!$U$5:$U$96)/SUMIF(A_CDRRMO!$B$5:$B$96,B15,A_CDRRMO!$T$5:$T$96))</f>
        <v/>
      </c>
      <c r="I15" s="18" t="n">
        <f aca="false">COUNTIFS(A_CDRRMO!$B$5:$B$96,B15,A_CDRRMO!$N$5:$N$96,"High")</f>
        <v>0</v>
      </c>
      <c r="J15" s="21" t="n">
        <f aca="false">IF(F15="",0,F15/4)</f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false" outlineLevel="0" collapsed="false">
      <c r="A16" s="1"/>
      <c r="B16" s="18" t="s">
        <v>106</v>
      </c>
      <c r="C16" s="19" t="s">
        <v>107</v>
      </c>
      <c r="D16" s="18" t="n">
        <f aca="false">COUNTIF(B_EOC!$B$5:$B$54,B16)</f>
        <v>5</v>
      </c>
      <c r="E16" s="18" t="n">
        <f aca="false">SUMIF(B_EOC!$B$5:$B$54,B16,B_EOC!$S$5:$S$54)</f>
        <v>0</v>
      </c>
      <c r="F16" s="20" t="str">
        <f aca="false">IF(SUMIF(B_EOC!$B$5:$B$54,B16,B_EOC!$R$5:$R$54)=0,"",SUMIF(B_EOC!$B$5:$B$54,B16,B_EOC!$Q$5:$Q$54)/SUMIF(B_EOC!$B$5:$B$54,B16,B_EOC!$R$5:$R$54)*4)</f>
        <v/>
      </c>
      <c r="G16" s="18" t="str">
        <f aca="false">IF(F16="","",IF(F16&lt;0.5,"Absent",IF(F16&lt;1.5,"Initial",IF(F16&lt;2.5,"Developing",IF(F16&lt;3.5,"Compliant","Advanced")))))</f>
        <v/>
      </c>
      <c r="H16" s="21" t="str">
        <f aca="false">IF(SUMIF(B_EOC!$B$5:$B$54,B16,B_EOC!$T$5:$T$54)=0,"",SUMIF(B_EOC!$B$5:$B$54,B16,B_EOC!$U$5:$U$54)/SUMIF(B_EOC!$B$5:$B$54,B16,B_EOC!$T$5:$T$54))</f>
        <v/>
      </c>
      <c r="I16" s="18" t="n">
        <f aca="false">COUNTIFS(B_EOC!$B$5:$B$54,B16,B_EOC!$N$5:$N$54,"High")</f>
        <v>0</v>
      </c>
      <c r="J16" s="21" t="n">
        <f aca="false">IF(F16="",0,F16/4)</f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false" outlineLevel="0" collapsed="false">
      <c r="A17" s="1"/>
      <c r="B17" s="18" t="s">
        <v>108</v>
      </c>
      <c r="C17" s="19" t="s">
        <v>109</v>
      </c>
      <c r="D17" s="18" t="n">
        <f aca="false">COUNTIF(B_EOC!$B$5:$B$54,B17)</f>
        <v>7</v>
      </c>
      <c r="E17" s="18" t="n">
        <f aca="false">SUMIF(B_EOC!$B$5:$B$54,B17,B_EOC!$S$5:$S$54)</f>
        <v>0</v>
      </c>
      <c r="F17" s="20" t="str">
        <f aca="false">IF(SUMIF(B_EOC!$B$5:$B$54,B17,B_EOC!$R$5:$R$54)=0,"",SUMIF(B_EOC!$B$5:$B$54,B17,B_EOC!$Q$5:$Q$54)/SUMIF(B_EOC!$B$5:$B$54,B17,B_EOC!$R$5:$R$54)*4)</f>
        <v/>
      </c>
      <c r="G17" s="18" t="str">
        <f aca="false">IF(F17="","",IF(F17&lt;0.5,"Absent",IF(F17&lt;1.5,"Initial",IF(F17&lt;2.5,"Developing",IF(F17&lt;3.5,"Compliant","Advanced")))))</f>
        <v/>
      </c>
      <c r="H17" s="21" t="str">
        <f aca="false">IF(SUMIF(B_EOC!$B$5:$B$54,B17,B_EOC!$T$5:$T$54)=0,"",SUMIF(B_EOC!$B$5:$B$54,B17,B_EOC!$U$5:$U$54)/SUMIF(B_EOC!$B$5:$B$54,B17,B_EOC!$T$5:$T$54))</f>
        <v/>
      </c>
      <c r="I17" s="18" t="n">
        <f aca="false">COUNTIFS(B_EOC!$B$5:$B$54,B17,B_EOC!$N$5:$N$54,"High")</f>
        <v>0</v>
      </c>
      <c r="J17" s="21" t="n">
        <f aca="false">IF(F17="",0,F17/4)</f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false" outlineLevel="0" collapsed="false">
      <c r="A18" s="1"/>
      <c r="B18" s="18" t="s">
        <v>110</v>
      </c>
      <c r="C18" s="19" t="s">
        <v>111</v>
      </c>
      <c r="D18" s="18" t="n">
        <f aca="false">COUNTIF(B_EOC!$B$5:$B$54,B18)</f>
        <v>6</v>
      </c>
      <c r="E18" s="18" t="n">
        <f aca="false">SUMIF(B_EOC!$B$5:$B$54,B18,B_EOC!$S$5:$S$54)</f>
        <v>0</v>
      </c>
      <c r="F18" s="20" t="str">
        <f aca="false">IF(SUMIF(B_EOC!$B$5:$B$54,B18,B_EOC!$R$5:$R$54)=0,"",SUMIF(B_EOC!$B$5:$B$54,B18,B_EOC!$Q$5:$Q$54)/SUMIF(B_EOC!$B$5:$B$54,B18,B_EOC!$R$5:$R$54)*4)</f>
        <v/>
      </c>
      <c r="G18" s="18" t="str">
        <f aca="false">IF(F18="","",IF(F18&lt;0.5,"Absent",IF(F18&lt;1.5,"Initial",IF(F18&lt;2.5,"Developing",IF(F18&lt;3.5,"Compliant","Advanced")))))</f>
        <v/>
      </c>
      <c r="H18" s="21" t="str">
        <f aca="false">IF(SUMIF(B_EOC!$B$5:$B$54,B18,B_EOC!$T$5:$T$54)=0,"",SUMIF(B_EOC!$B$5:$B$54,B18,B_EOC!$U$5:$U$54)/SUMIF(B_EOC!$B$5:$B$54,B18,B_EOC!$T$5:$T$54))</f>
        <v/>
      </c>
      <c r="I18" s="18" t="n">
        <f aca="false">COUNTIFS(B_EOC!$B$5:$B$54,B18,B_EOC!$N$5:$N$54,"High")</f>
        <v>0</v>
      </c>
      <c r="J18" s="21" t="n">
        <f aca="false">IF(F18="",0,F18/4)</f>
        <v>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false" outlineLevel="0" collapsed="false">
      <c r="A19" s="1"/>
      <c r="B19" s="18" t="s">
        <v>112</v>
      </c>
      <c r="C19" s="19" t="s">
        <v>113</v>
      </c>
      <c r="D19" s="18" t="n">
        <f aca="false">COUNTIF(B_EOC!$B$5:$B$54,B19)</f>
        <v>6</v>
      </c>
      <c r="E19" s="18" t="n">
        <f aca="false">SUMIF(B_EOC!$B$5:$B$54,B19,B_EOC!$S$5:$S$54)</f>
        <v>0</v>
      </c>
      <c r="F19" s="20" t="str">
        <f aca="false">IF(SUMIF(B_EOC!$B$5:$B$54,B19,B_EOC!$R$5:$R$54)=0,"",SUMIF(B_EOC!$B$5:$B$54,B19,B_EOC!$Q$5:$Q$54)/SUMIF(B_EOC!$B$5:$B$54,B19,B_EOC!$R$5:$R$54)*4)</f>
        <v/>
      </c>
      <c r="G19" s="18" t="str">
        <f aca="false">IF(F19="","",IF(F19&lt;0.5,"Absent",IF(F19&lt;1.5,"Initial",IF(F19&lt;2.5,"Developing",IF(F19&lt;3.5,"Compliant","Advanced")))))</f>
        <v/>
      </c>
      <c r="H19" s="21" t="str">
        <f aca="false">IF(SUMIF(B_EOC!$B$5:$B$54,B19,B_EOC!$T$5:$T$54)=0,"",SUMIF(B_EOC!$B$5:$B$54,B19,B_EOC!$U$5:$U$54)/SUMIF(B_EOC!$B$5:$B$54,B19,B_EOC!$T$5:$T$54))</f>
        <v/>
      </c>
      <c r="I19" s="18" t="n">
        <f aca="false">COUNTIFS(B_EOC!$B$5:$B$54,B19,B_EOC!$N$5:$N$54,"High")</f>
        <v>0</v>
      </c>
      <c r="J19" s="21" t="n">
        <f aca="false">IF(F19="",0,F19/4)</f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false" outlineLevel="0" collapsed="false">
      <c r="A20" s="1"/>
      <c r="B20" s="18" t="s">
        <v>114</v>
      </c>
      <c r="C20" s="19" t="s">
        <v>115</v>
      </c>
      <c r="D20" s="18" t="n">
        <f aca="false">COUNTIF(B_EOC!$B$5:$B$54,B20)</f>
        <v>7</v>
      </c>
      <c r="E20" s="18" t="n">
        <f aca="false">SUMIF(B_EOC!$B$5:$B$54,B20,B_EOC!$S$5:$S$54)</f>
        <v>0</v>
      </c>
      <c r="F20" s="20" t="str">
        <f aca="false">IF(SUMIF(B_EOC!$B$5:$B$54,B20,B_EOC!$R$5:$R$54)=0,"",SUMIF(B_EOC!$B$5:$B$54,B20,B_EOC!$Q$5:$Q$54)/SUMIF(B_EOC!$B$5:$B$54,B20,B_EOC!$R$5:$R$54)*4)</f>
        <v/>
      </c>
      <c r="G20" s="18" t="str">
        <f aca="false">IF(F20="","",IF(F20&lt;0.5,"Absent",IF(F20&lt;1.5,"Initial",IF(F20&lt;2.5,"Developing",IF(F20&lt;3.5,"Compliant","Advanced")))))</f>
        <v/>
      </c>
      <c r="H20" s="21" t="str">
        <f aca="false">IF(SUMIF(B_EOC!$B$5:$B$54,B20,B_EOC!$T$5:$T$54)=0,"",SUMIF(B_EOC!$B$5:$B$54,B20,B_EOC!$U$5:$U$54)/SUMIF(B_EOC!$B$5:$B$54,B20,B_EOC!$T$5:$T$54))</f>
        <v/>
      </c>
      <c r="I20" s="18" t="n">
        <f aca="false">COUNTIFS(B_EOC!$B$5:$B$54,B20,B_EOC!$N$5:$N$54,"High")</f>
        <v>0</v>
      </c>
      <c r="J20" s="21" t="n">
        <f aca="false">IF(F20="",0,F20/4)</f>
        <v>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"/>
      <c r="B21" s="18" t="s">
        <v>116</v>
      </c>
      <c r="C21" s="19" t="s">
        <v>117</v>
      </c>
      <c r="D21" s="18" t="n">
        <f aca="false">COUNTIF(B_EOC!$B$5:$B$54,B21)</f>
        <v>6</v>
      </c>
      <c r="E21" s="18" t="n">
        <f aca="false">SUMIF(B_EOC!$B$5:$B$54,B21,B_EOC!$S$5:$S$54)</f>
        <v>0</v>
      </c>
      <c r="F21" s="20" t="str">
        <f aca="false">IF(SUMIF(B_EOC!$B$5:$B$54,B21,B_EOC!$R$5:$R$54)=0,"",SUMIF(B_EOC!$B$5:$B$54,B21,B_EOC!$Q$5:$Q$54)/SUMIF(B_EOC!$B$5:$B$54,B21,B_EOC!$R$5:$R$54)*4)</f>
        <v/>
      </c>
      <c r="G21" s="18" t="str">
        <f aca="false">IF(F21="","",IF(F21&lt;0.5,"Absent",IF(F21&lt;1.5,"Initial",IF(F21&lt;2.5,"Developing",IF(F21&lt;3.5,"Compliant","Advanced")))))</f>
        <v/>
      </c>
      <c r="H21" s="21" t="str">
        <f aca="false">IF(SUMIF(B_EOC!$B$5:$B$54,B21,B_EOC!$T$5:$T$54)=0,"",SUMIF(B_EOC!$B$5:$B$54,B21,B_EOC!$U$5:$U$54)/SUMIF(B_EOC!$B$5:$B$54,B21,B_EOC!$T$5:$T$54))</f>
        <v/>
      </c>
      <c r="I21" s="18" t="n">
        <f aca="false">COUNTIFS(B_EOC!$B$5:$B$54,B21,B_EOC!$N$5:$N$54,"High")</f>
        <v>0</v>
      </c>
      <c r="J21" s="21" t="n">
        <f aca="false">IF(F21="",0,F21/4)</f>
        <v>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1"/>
      <c r="B22" s="18" t="s">
        <v>118</v>
      </c>
      <c r="C22" s="19" t="s">
        <v>119</v>
      </c>
      <c r="D22" s="18" t="n">
        <f aca="false">COUNTIF(B_EOC!$B$5:$B$54,B22)</f>
        <v>6</v>
      </c>
      <c r="E22" s="18" t="n">
        <f aca="false">SUMIF(B_EOC!$B$5:$B$54,B22,B_EOC!$S$5:$S$54)</f>
        <v>0</v>
      </c>
      <c r="F22" s="20" t="str">
        <f aca="false">IF(SUMIF(B_EOC!$B$5:$B$54,B22,B_EOC!$R$5:$R$54)=0,"",SUMIF(B_EOC!$B$5:$B$54,B22,B_EOC!$Q$5:$Q$54)/SUMIF(B_EOC!$B$5:$B$54,B22,B_EOC!$R$5:$R$54)*4)</f>
        <v/>
      </c>
      <c r="G22" s="18" t="str">
        <f aca="false">IF(F22="","",IF(F22&lt;0.5,"Absent",IF(F22&lt;1.5,"Initial",IF(F22&lt;2.5,"Developing",IF(F22&lt;3.5,"Compliant","Advanced")))))</f>
        <v/>
      </c>
      <c r="H22" s="21" t="str">
        <f aca="false">IF(SUMIF(B_EOC!$B$5:$B$54,B22,B_EOC!$T$5:$T$54)=0,"",SUMIF(B_EOC!$B$5:$B$54,B22,B_EOC!$U$5:$U$54)/SUMIF(B_EOC!$B$5:$B$54,B22,B_EOC!$T$5:$T$54))</f>
        <v/>
      </c>
      <c r="I22" s="18" t="n">
        <f aca="false">COUNTIFS(B_EOC!$B$5:$B$54,B22,B_EOC!$N$5:$N$54,"High")</f>
        <v>0</v>
      </c>
      <c r="J22" s="21" t="n">
        <f aca="false">IF(F22="",0,F22/4)</f>
        <v>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1"/>
      <c r="B24" s="22"/>
      <c r="C24" s="23" t="s">
        <v>120</v>
      </c>
      <c r="D24" s="22" t="n">
        <f aca="false">COUNTA(A_CDRRMO!$B$5:$B$96)</f>
        <v>82</v>
      </c>
      <c r="E24" s="22" t="n">
        <f aca="false">SUM(A_CDRRMO!$S$5:$S$96)</f>
        <v>0</v>
      </c>
      <c r="F24" s="24" t="str">
        <f aca="false">IF((SUM(A_CDRRMO!$R$5:$R$96))=0,"",(SUM(A_CDRRMO!$Q$5:$Q$96))/(SUM(A_CDRRMO!$R$5:$R$96))*4)</f>
        <v/>
      </c>
      <c r="G24" s="22" t="str">
        <f aca="false">IF(F24="","",IF(F24&lt;0.5,"Absent",IF(F24&lt;1.5,"Initial",IF(F24&lt;2.5,"Developing",IF(F24&lt;3.5,"Compliant","Advanced")))))</f>
        <v/>
      </c>
      <c r="H24" s="25" t="str">
        <f aca="false">IF((SUM(A_CDRRMO!$T$5:$T$96))=0,"",(SUM(A_CDRRMO!$U$5:$U$96))/(SUM(A_CDRRMO!$T$5:$T$96)))</f>
        <v/>
      </c>
      <c r="I24" s="22" t="n">
        <f aca="false">COUNTIF(A_CDRRMO!$N$5:$N$96,"High")</f>
        <v>0</v>
      </c>
      <c r="J24" s="25" t="n">
        <f aca="false">IF(F24="",0,F24/4)</f>
        <v>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"/>
      <c r="B25" s="22"/>
      <c r="C25" s="23" t="s">
        <v>121</v>
      </c>
      <c r="D25" s="22" t="n">
        <f aca="false">COUNTA(B_EOC!$B$5:$B$54)</f>
        <v>43</v>
      </c>
      <c r="E25" s="22" t="n">
        <f aca="false">SUM(B_EOC!$S$5:$S$54)</f>
        <v>0</v>
      </c>
      <c r="F25" s="24" t="str">
        <f aca="false">IF((SUM(B_EOC!$R$5:$R$54))=0,"",(SUM(B_EOC!$Q$5:$Q$54))/(SUM(B_EOC!$R$5:$R$54))*4)</f>
        <v/>
      </c>
      <c r="G25" s="22" t="str">
        <f aca="false">IF(F25="","",IF(F25&lt;0.5,"Absent",IF(F25&lt;1.5,"Initial",IF(F25&lt;2.5,"Developing",IF(F25&lt;3.5,"Compliant","Advanced")))))</f>
        <v/>
      </c>
      <c r="H25" s="25" t="str">
        <f aca="false">IF((SUM(B_EOC!$T$5:$T$54))=0,"",(SUM(B_EOC!$U$5:$U$54))/(SUM(B_EOC!$T$5:$T$54)))</f>
        <v/>
      </c>
      <c r="I25" s="22" t="n">
        <f aca="false">COUNTIF(B_EOC!$N$5:$N$54,"High")</f>
        <v>0</v>
      </c>
      <c r="J25" s="25" t="n">
        <f aca="false">IF(F25="",0,F25/4)</f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"/>
      <c r="B26" s="22"/>
      <c r="C26" s="23" t="s">
        <v>122</v>
      </c>
      <c r="D26" s="22" t="n">
        <f aca="false">COUNTA(A_CDRRMO!$B$5:$B$96)+COUNTA(B_EOC!$B$5:$B$54)</f>
        <v>125</v>
      </c>
      <c r="E26" s="22" t="n">
        <f aca="false">SUM(A_CDRRMO!$S$5:$S$96)+SUM(B_EOC!$S$5:$S$54)</f>
        <v>0</v>
      </c>
      <c r="F26" s="24" t="str">
        <f aca="false">IF((SUM(A_CDRRMO!$R$5:$R$96)+SUM(B_EOC!$R$5:$R$54))=0,"",(SUM(A_CDRRMO!$Q$5:$Q$96)+SUM(B_EOC!$Q$5:$Q$54))/(SUM(A_CDRRMO!$R$5:$R$96)+SUM(B_EOC!$R$5:$R$54))*4)</f>
        <v/>
      </c>
      <c r="G26" s="22" t="str">
        <f aca="false">IF(F26="","",IF(F26&lt;0.5,"Absent",IF(F26&lt;1.5,"Initial",IF(F26&lt;2.5,"Developing",IF(F26&lt;3.5,"Compliant","Advanced")))))</f>
        <v/>
      </c>
      <c r="H26" s="25" t="str">
        <f aca="false">IF((SUM(A_CDRRMO!$T$5:$T$96)+SUM(B_EOC!$T$5:$T$54))=0,"",(SUM(A_CDRRMO!$U$5:$U$96)+SUM(B_EOC!$U$5:$U$54))/(SUM(A_CDRRMO!$T$5:$T$96)+SUM(B_EOC!$T$5:$T$54)))</f>
        <v/>
      </c>
      <c r="I26" s="22" t="n">
        <f aca="false">COUNTIF(A_CDRRMO!$N$5:$N$96,"High")+COUNTIF(B_EOC!$N$5:$N$54,"High")</f>
        <v>0</v>
      </c>
      <c r="J26" s="25" t="n">
        <f aca="false">IF(F26="",0,F26/4)</f>
        <v>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1"/>
      <c r="B27" s="26"/>
      <c r="C27" s="27" t="s">
        <v>123</v>
      </c>
      <c r="D27" s="26" t="n">
        <f aca="false">COUNTA(C_Interface!$B$5:$B$24)</f>
        <v>15</v>
      </c>
      <c r="E27" s="26" t="n">
        <f aca="false">SUM(C_Interface!$S$5:$S$24)</f>
        <v>0</v>
      </c>
      <c r="F27" s="28" t="str">
        <f aca="false">IF(SUM(C_Interface!$R$5:$R$24)=0,"",SUM(C_Interface!$Q$5:$Q$24)/SUM(C_Interface!$R$5:$R$24)*4)</f>
        <v/>
      </c>
      <c r="G27" s="26" t="str">
        <f aca="false">IF(F27="","",IF(F27&lt;0.5,"Absent",IF(F27&lt;1.5,"Initial",IF(F27&lt;2.5,"Developing",IF(F27&lt;3.5,"Compliant","Advanced")))))</f>
        <v/>
      </c>
      <c r="H27" s="29" t="s">
        <v>124</v>
      </c>
      <c r="I27" s="26" t="n">
        <f aca="false">COUNTIF(C_Interface!$N$5:$N$24,"High")</f>
        <v>0</v>
      </c>
      <c r="J27" s="30" t="n">
        <f aca="false">IF(F27="",0,F27/4)</f>
        <v>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42" hidden="false" customHeight="true" outlineLevel="0" collapsed="false">
      <c r="A28" s="1"/>
      <c r="B28" s="31" t="s">
        <v>125</v>
      </c>
      <c r="C28" s="31"/>
      <c r="D28" s="31"/>
      <c r="E28" s="31"/>
      <c r="F28" s="31"/>
      <c r="G28" s="31"/>
      <c r="H28" s="31"/>
      <c r="I28" s="31"/>
      <c r="J28" s="3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8:J28"/>
  </mergeCells>
  <conditionalFormatting sqref="G6:G27">
    <cfRule type="cellIs" priority="2" operator="equal" aboveAverage="0" equalAverage="0" bottom="0" percent="0" rank="0" text="" dxfId="0">
      <formula>"Absent"</formula>
    </cfRule>
    <cfRule type="cellIs" priority="3" operator="equal" aboveAverage="0" equalAverage="0" bottom="0" percent="0" rank="0" text="" dxfId="1">
      <formula>"Initial"</formula>
    </cfRule>
    <cfRule type="cellIs" priority="4" operator="equal" aboveAverage="0" equalAverage="0" bottom="0" percent="0" rank="0" text="" dxfId="2">
      <formula>"Developing"</formula>
    </cfRule>
    <cfRule type="cellIs" priority="5" operator="equal" aboveAverage="0" equalAverage="0" bottom="0" percent="0" rank="0" text="" dxfId="3">
      <formula>"Compliant"</formula>
    </cfRule>
    <cfRule type="cellIs" priority="6" operator="equal" aboveAverage="0" equalAverage="0" bottom="0" percent="0" rank="0" text="" dxfId="4">
      <formula>"Advanced"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26" min="4" style="0" width="8.71"/>
  </cols>
  <sheetData>
    <row r="2" customFormat="false" ht="17.35" hidden="false" customHeight="false" outlineLevel="0" collapsed="false">
      <c r="B2" s="32" t="s">
        <v>126</v>
      </c>
    </row>
    <row r="4" customFormat="false" ht="21.75" hidden="false" customHeight="true" outlineLevel="0" collapsed="false">
      <c r="B4" s="33" t="s">
        <v>127</v>
      </c>
      <c r="C4" s="34" t="s">
        <v>128</v>
      </c>
    </row>
    <row r="5" customFormat="false" ht="21.75" hidden="false" customHeight="true" outlineLevel="0" collapsed="false">
      <c r="B5" s="33" t="s">
        <v>129</v>
      </c>
      <c r="C5" s="34" t="s">
        <v>130</v>
      </c>
    </row>
    <row r="6" customFormat="false" ht="21.75" hidden="false" customHeight="true" outlineLevel="0" collapsed="false">
      <c r="B6" s="33" t="s">
        <v>131</v>
      </c>
      <c r="C6" s="34"/>
    </row>
    <row r="7" customFormat="false" ht="21.75" hidden="false" customHeight="true" outlineLevel="0" collapsed="false">
      <c r="B7" s="33" t="s">
        <v>132</v>
      </c>
      <c r="C7" s="34"/>
    </row>
    <row r="8" customFormat="false" ht="21.75" hidden="false" customHeight="true" outlineLevel="0" collapsed="false">
      <c r="B8" s="33" t="s">
        <v>133</v>
      </c>
      <c r="C8" s="34" t="s">
        <v>134</v>
      </c>
    </row>
    <row r="9" customFormat="false" ht="21.75" hidden="false" customHeight="true" outlineLevel="0" collapsed="false">
      <c r="B9" s="33" t="s">
        <v>135</v>
      </c>
      <c r="C9" s="34"/>
    </row>
    <row r="10" customFormat="false" ht="21.75" hidden="false" customHeight="true" outlineLevel="0" collapsed="false">
      <c r="B10" s="33" t="s">
        <v>136</v>
      </c>
      <c r="C10" s="34"/>
    </row>
    <row r="11" customFormat="false" ht="21.75" hidden="false" customHeight="true" outlineLevel="0" collapsed="false">
      <c r="B11" s="33" t="s">
        <v>137</v>
      </c>
      <c r="C11" s="34" t="s">
        <v>138</v>
      </c>
    </row>
    <row r="12" customFormat="false" ht="21.75" hidden="false" customHeight="true" outlineLevel="0" collapsed="false">
      <c r="B12" s="33" t="s">
        <v>139</v>
      </c>
      <c r="C12" s="34"/>
    </row>
    <row r="13" customFormat="false" ht="21.75" hidden="false" customHeight="true" outlineLevel="0" collapsed="false">
      <c r="B13" s="33" t="s">
        <v>140</v>
      </c>
      <c r="C13" s="34"/>
    </row>
    <row r="14" customFormat="false" ht="21.75" hidden="false" customHeight="true" outlineLevel="0" collapsed="false">
      <c r="B14" s="33" t="s">
        <v>141</v>
      </c>
      <c r="C14" s="34"/>
    </row>
    <row r="15" customFormat="false" ht="21.75" hidden="false" customHeight="true" outlineLevel="0" collapsed="false">
      <c r="B15" s="33" t="s">
        <v>142</v>
      </c>
      <c r="C15" s="34"/>
    </row>
    <row r="16" customFormat="false" ht="21.75" hidden="false" customHeight="true" outlineLevel="0" collapsed="false">
      <c r="B16" s="33" t="s">
        <v>143</v>
      </c>
      <c r="C16" s="34"/>
    </row>
    <row r="17" customFormat="false" ht="21.75" hidden="false" customHeight="true" outlineLevel="0" collapsed="false">
      <c r="B17" s="33" t="s">
        <v>144</v>
      </c>
      <c r="C17" s="34"/>
    </row>
    <row r="18" customFormat="false" ht="21.75" hidden="false" customHeight="true" outlineLevel="0" collapsed="false">
      <c r="B18" s="33" t="s">
        <v>145</v>
      </c>
      <c r="C18" s="34"/>
    </row>
    <row r="20" customFormat="false" ht="15" hidden="false" customHeight="false" outlineLevel="0" collapsed="false">
      <c r="B20" s="35" t="s">
        <v>146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D6" activeCellId="0" sqref="D6"/>
    </sheetView>
  </sheetViews>
  <sheetFormatPr defaultColWidth="14.43359375" defaultRowHeight="15" zeroHeight="false" outlineLevelRow="0" outlineLevelCol="1"/>
  <cols>
    <col collapsed="false" customWidth="true" hidden="false" outlineLevel="0" max="1" min="1" style="0" width="10.14"/>
    <col collapsed="false" customWidth="true" hidden="false" outlineLevel="0" max="2" min="2" style="0" width="11"/>
    <col collapsed="false" customWidth="true" hidden="false" outlineLevel="0" max="3" min="3" style="0" width="43"/>
    <col collapsed="false" customWidth="true" hidden="false" outlineLevel="0" max="4" min="4" style="0" width="28"/>
    <col collapsed="false" customWidth="true" hidden="false" outlineLevel="0" max="5" min="5" style="0" width="7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10.85"/>
    <col collapsed="false" customWidth="true" hidden="false" outlineLevel="0" max="9" min="9" style="0" width="13.71"/>
    <col collapsed="false" customWidth="true" hidden="false" outlineLevel="0" max="10" min="10" style="0" width="30"/>
    <col collapsed="false" customWidth="true" hidden="false" outlineLevel="0" max="11" min="11" style="0" width="28"/>
    <col collapsed="false" customWidth="true" hidden="false" outlineLevel="0" max="12" min="12" style="0" width="30"/>
    <col collapsed="false" customWidth="true" hidden="false" outlineLevel="0" max="13" min="13" style="0" width="17.29"/>
    <col collapsed="false" customWidth="true" hidden="false" outlineLevel="0" max="14" min="14" style="0" width="12.86"/>
    <col collapsed="false" customWidth="true" hidden="false" outlineLevel="0" max="15" min="15" style="0" width="15.57"/>
    <col collapsed="false" customWidth="true" hidden="false" outlineLevel="0" max="16" min="16" style="0" width="20"/>
    <col collapsed="false" customWidth="true" hidden="true" outlineLevel="1" max="21" min="17" style="0" width="7"/>
    <col collapsed="false" customWidth="true" hidden="false" outlineLevel="0" max="26" min="22" style="0" width="8.71"/>
  </cols>
  <sheetData>
    <row r="1" customFormat="false" ht="16.15" hidden="false" customHeight="false" outlineLevel="0" collapsed="false">
      <c r="A1" s="36" t="s">
        <v>147</v>
      </c>
      <c r="B1" s="1"/>
      <c r="C1" s="1"/>
      <c r="D1" s="1"/>
      <c r="E1" s="1"/>
      <c r="F1" s="1"/>
      <c r="G1" s="3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false" outlineLevel="0" collapsed="false">
      <c r="A2" s="38" t="s">
        <v>148</v>
      </c>
      <c r="B2" s="1"/>
      <c r="C2" s="1"/>
      <c r="D2" s="1"/>
      <c r="E2" s="1"/>
      <c r="F2" s="1"/>
      <c r="G2" s="3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3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31.5" hidden="false" customHeight="true" outlineLevel="0" collapsed="false">
      <c r="A4" s="7" t="s">
        <v>149</v>
      </c>
      <c r="B4" s="7" t="s">
        <v>78</v>
      </c>
      <c r="C4" s="7" t="s">
        <v>56</v>
      </c>
      <c r="D4" s="7" t="s">
        <v>150</v>
      </c>
      <c r="E4" s="7" t="s">
        <v>151</v>
      </c>
      <c r="F4" s="7" t="s">
        <v>152</v>
      </c>
      <c r="G4" s="7" t="s">
        <v>153</v>
      </c>
      <c r="H4" s="7" t="s">
        <v>48</v>
      </c>
      <c r="I4" s="7" t="s">
        <v>154</v>
      </c>
      <c r="J4" s="7" t="s">
        <v>57</v>
      </c>
      <c r="K4" s="7" t="s">
        <v>58</v>
      </c>
      <c r="L4" s="7" t="s">
        <v>59</v>
      </c>
      <c r="M4" s="7" t="s">
        <v>46</v>
      </c>
      <c r="N4" s="7" t="s">
        <v>155</v>
      </c>
      <c r="O4" s="7" t="s">
        <v>156</v>
      </c>
      <c r="P4" s="7" t="s">
        <v>157</v>
      </c>
      <c r="Q4" s="39" t="s">
        <v>158</v>
      </c>
      <c r="R4" s="39" t="s">
        <v>159</v>
      </c>
      <c r="S4" s="39" t="s">
        <v>80</v>
      </c>
      <c r="T4" s="39" t="s">
        <v>160</v>
      </c>
      <c r="U4" s="39" t="s">
        <v>161</v>
      </c>
      <c r="V4" s="37"/>
      <c r="W4" s="37"/>
      <c r="X4" s="37"/>
      <c r="Y4" s="37"/>
      <c r="Z4" s="37"/>
    </row>
    <row r="5" customFormat="false" ht="15" hidden="false" customHeight="false" outlineLevel="0" collapsed="false">
      <c r="A5" s="40" t="s">
        <v>162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43.5" hidden="false" customHeight="true" outlineLevel="0" collapsed="false">
      <c r="A6" s="41" t="s">
        <v>163</v>
      </c>
      <c r="B6" s="41" t="s">
        <v>86</v>
      </c>
      <c r="C6" s="10" t="s">
        <v>164</v>
      </c>
      <c r="D6" s="10" t="s">
        <v>165</v>
      </c>
      <c r="E6" s="41" t="s">
        <v>166</v>
      </c>
      <c r="F6" s="10" t="s">
        <v>167</v>
      </c>
      <c r="G6" s="41" t="s">
        <v>168</v>
      </c>
      <c r="H6" s="41" t="n">
        <v>3</v>
      </c>
      <c r="I6" s="16"/>
      <c r="J6" s="15"/>
      <c r="K6" s="15"/>
      <c r="L6" s="15"/>
      <c r="M6" s="42" t="str">
        <f aca="false">IF(ISNUMBER(I6),(4-I6)*H6*IF(E6="M",1.5,1),"")</f>
        <v/>
      </c>
      <c r="N6" s="43" t="str">
        <f aca="false">IF(M6="","",IF(M6&gt;=9,"High",IF(M6&gt;=4,"Medium","Low")))</f>
        <v/>
      </c>
      <c r="O6" s="43" t="str">
        <f aca="false">IF(NOT(ISNUMBER(I6)),IF(I6="NA","N/A","Not scored"),IF(E6="M",IF(I6&gt;=3,"Compliant","Non-compliant"),IF(I6&gt;=3,"Meets GP","Below GP")))</f>
        <v>Not scored</v>
      </c>
      <c r="P6" s="10" t="s">
        <v>169</v>
      </c>
      <c r="Q6" s="44" t="n">
        <f aca="false">IF(ISNUMBER(I6),I6*H6,0)</f>
        <v>0</v>
      </c>
      <c r="R6" s="44" t="n">
        <f aca="false">IF(ISNUMBER(I6),4*H6,0)</f>
        <v>0</v>
      </c>
      <c r="S6" s="44" t="n">
        <f aca="false">IF(ISNUMBER(I6),1,0)</f>
        <v>0</v>
      </c>
      <c r="T6" s="44" t="n">
        <f aca="false">IF(AND(E6="M",ISNUMBER(I6)),1,0)</f>
        <v>0</v>
      </c>
      <c r="U6" s="44" t="n">
        <f aca="false">IF(AND(E6="M",ISNUMBER(I6)),IF(I6&gt;=3,1,0),0)</f>
        <v>0</v>
      </c>
      <c r="V6" s="1"/>
      <c r="W6" s="1"/>
      <c r="X6" s="1"/>
      <c r="Y6" s="1"/>
      <c r="Z6" s="1"/>
    </row>
    <row r="7" customFormat="false" ht="43.5" hidden="false" customHeight="true" outlineLevel="0" collapsed="false">
      <c r="A7" s="41" t="s">
        <v>170</v>
      </c>
      <c r="B7" s="41" t="s">
        <v>86</v>
      </c>
      <c r="C7" s="10" t="s">
        <v>171</v>
      </c>
      <c r="D7" s="10" t="s">
        <v>172</v>
      </c>
      <c r="E7" s="41" t="s">
        <v>166</v>
      </c>
      <c r="F7" s="10" t="s">
        <v>173</v>
      </c>
      <c r="G7" s="41" t="s">
        <v>168</v>
      </c>
      <c r="H7" s="41" t="n">
        <v>2</v>
      </c>
      <c r="I7" s="16"/>
      <c r="J7" s="15"/>
      <c r="K7" s="15"/>
      <c r="L7" s="15"/>
      <c r="M7" s="42" t="str">
        <f aca="false">IF(ISNUMBER(I7),(4-I7)*H7*IF(E7="M",1.5,1),"")</f>
        <v/>
      </c>
      <c r="N7" s="43" t="str">
        <f aca="false">IF(M7="","",IF(M7&gt;=9,"High",IF(M7&gt;=4,"Medium","Low")))</f>
        <v/>
      </c>
      <c r="O7" s="43" t="str">
        <f aca="false">IF(NOT(ISNUMBER(I7)),IF(I7="NA","N/A","Not scored"),IF(E7="M",IF(I7&gt;=3,"Compliant","Non-compliant"),IF(I7&gt;=3,"Meets GP","Below GP")))</f>
        <v>Not scored</v>
      </c>
      <c r="P7" s="10" t="s">
        <v>174</v>
      </c>
      <c r="Q7" s="44" t="n">
        <f aca="false">IF(ISNUMBER(I7),I7*H7,0)</f>
        <v>0</v>
      </c>
      <c r="R7" s="44" t="n">
        <f aca="false">IF(ISNUMBER(I7),4*H7,0)</f>
        <v>0</v>
      </c>
      <c r="S7" s="44" t="n">
        <f aca="false">IF(ISNUMBER(I7),1,0)</f>
        <v>0</v>
      </c>
      <c r="T7" s="44" t="n">
        <f aca="false">IF(AND(E7="M",ISNUMBER(I7)),1,0)</f>
        <v>0</v>
      </c>
      <c r="U7" s="44" t="n">
        <f aca="false">IF(AND(E7="M",ISNUMBER(I7)),IF(I7&gt;=3,1,0),0)</f>
        <v>0</v>
      </c>
      <c r="V7" s="1"/>
      <c r="W7" s="1"/>
      <c r="X7" s="1"/>
      <c r="Y7" s="1"/>
      <c r="Z7" s="1"/>
    </row>
    <row r="8" customFormat="false" ht="30.75" hidden="false" customHeight="true" outlineLevel="0" collapsed="false">
      <c r="A8" s="41" t="s">
        <v>175</v>
      </c>
      <c r="B8" s="41" t="s">
        <v>86</v>
      </c>
      <c r="C8" s="10" t="s">
        <v>176</v>
      </c>
      <c r="D8" s="10" t="s">
        <v>177</v>
      </c>
      <c r="E8" s="41" t="s">
        <v>166</v>
      </c>
      <c r="F8" s="10" t="s">
        <v>178</v>
      </c>
      <c r="G8" s="41" t="s">
        <v>179</v>
      </c>
      <c r="H8" s="41" t="n">
        <v>2</v>
      </c>
      <c r="I8" s="16"/>
      <c r="J8" s="15"/>
      <c r="K8" s="15"/>
      <c r="L8" s="15"/>
      <c r="M8" s="42" t="str">
        <f aca="false">IF(ISNUMBER(I8),(4-I8)*H8*IF(E8="M",1.5,1),"")</f>
        <v/>
      </c>
      <c r="N8" s="43" t="str">
        <f aca="false">IF(M8="","",IF(M8&gt;=9,"High",IF(M8&gt;=4,"Medium","Low")))</f>
        <v/>
      </c>
      <c r="O8" s="43" t="str">
        <f aca="false">IF(NOT(ISNUMBER(I8)),IF(I8="NA","N/A","Not scored"),IF(E8="M",IF(I8&gt;=3,"Compliant","Non-compliant"),IF(I8&gt;=3,"Meets GP","Below GP")))</f>
        <v>Not scored</v>
      </c>
      <c r="P8" s="10" t="s">
        <v>174</v>
      </c>
      <c r="Q8" s="44" t="n">
        <f aca="false">IF(ISNUMBER(I8),I8*H8,0)</f>
        <v>0</v>
      </c>
      <c r="R8" s="44" t="n">
        <f aca="false">IF(ISNUMBER(I8),4*H8,0)</f>
        <v>0</v>
      </c>
      <c r="S8" s="44" t="n">
        <f aca="false">IF(ISNUMBER(I8),1,0)</f>
        <v>0</v>
      </c>
      <c r="T8" s="44" t="n">
        <f aca="false">IF(AND(E8="M",ISNUMBER(I8)),1,0)</f>
        <v>0</v>
      </c>
      <c r="U8" s="44" t="n">
        <f aca="false">IF(AND(E8="M",ISNUMBER(I8)),IF(I8&gt;=3,1,0),0)</f>
        <v>0</v>
      </c>
      <c r="V8" s="1"/>
      <c r="W8" s="1"/>
      <c r="X8" s="1"/>
      <c r="Y8" s="1"/>
      <c r="Z8" s="1"/>
    </row>
    <row r="9" customFormat="false" ht="30.75" hidden="false" customHeight="true" outlineLevel="0" collapsed="false">
      <c r="A9" s="41" t="s">
        <v>180</v>
      </c>
      <c r="B9" s="41" t="s">
        <v>86</v>
      </c>
      <c r="C9" s="10" t="s">
        <v>181</v>
      </c>
      <c r="D9" s="10" t="s">
        <v>182</v>
      </c>
      <c r="E9" s="41" t="s">
        <v>166</v>
      </c>
      <c r="F9" s="10" t="s">
        <v>183</v>
      </c>
      <c r="G9" s="41" t="s">
        <v>179</v>
      </c>
      <c r="H9" s="41" t="n">
        <v>1</v>
      </c>
      <c r="I9" s="16"/>
      <c r="J9" s="15"/>
      <c r="K9" s="15"/>
      <c r="L9" s="15"/>
      <c r="M9" s="42" t="str">
        <f aca="false">IF(ISNUMBER(I9),(4-I9)*H9*IF(E9="M",1.5,1),"")</f>
        <v/>
      </c>
      <c r="N9" s="43" t="str">
        <f aca="false">IF(M9="","",IF(M9&gt;=9,"High",IF(M9&gt;=4,"Medium","Low")))</f>
        <v/>
      </c>
      <c r="O9" s="43" t="str">
        <f aca="false">IF(NOT(ISNUMBER(I9)),IF(I9="NA","N/A","Not scored"),IF(E9="M",IF(I9&gt;=3,"Compliant","Non-compliant"),IF(I9&gt;=3,"Meets GP","Below GP")))</f>
        <v>Not scored</v>
      </c>
      <c r="P9" s="10" t="s">
        <v>184</v>
      </c>
      <c r="Q9" s="44" t="n">
        <f aca="false">IF(ISNUMBER(I9),I9*H9,0)</f>
        <v>0</v>
      </c>
      <c r="R9" s="44" t="n">
        <f aca="false">IF(ISNUMBER(I9),4*H9,0)</f>
        <v>0</v>
      </c>
      <c r="S9" s="44" t="n">
        <f aca="false">IF(ISNUMBER(I9),1,0)</f>
        <v>0</v>
      </c>
      <c r="T9" s="44" t="n">
        <f aca="false">IF(AND(E9="M",ISNUMBER(I9)),1,0)</f>
        <v>0</v>
      </c>
      <c r="U9" s="44" t="n">
        <f aca="false">IF(AND(E9="M",ISNUMBER(I9)),IF(I9&gt;=3,1,0),0)</f>
        <v>0</v>
      </c>
      <c r="V9" s="1"/>
      <c r="W9" s="1"/>
      <c r="X9" s="1"/>
      <c r="Y9" s="1"/>
      <c r="Z9" s="1"/>
    </row>
    <row r="10" customFormat="false" ht="43.5" hidden="false" customHeight="true" outlineLevel="0" collapsed="false">
      <c r="A10" s="41" t="s">
        <v>185</v>
      </c>
      <c r="B10" s="41" t="s">
        <v>86</v>
      </c>
      <c r="C10" s="10" t="s">
        <v>186</v>
      </c>
      <c r="D10" s="10" t="s">
        <v>187</v>
      </c>
      <c r="E10" s="41" t="s">
        <v>188</v>
      </c>
      <c r="F10" s="10" t="s">
        <v>189</v>
      </c>
      <c r="G10" s="41" t="s">
        <v>168</v>
      </c>
      <c r="H10" s="41" t="n">
        <v>2</v>
      </c>
      <c r="I10" s="16"/>
      <c r="J10" s="15"/>
      <c r="K10" s="15"/>
      <c r="L10" s="15"/>
      <c r="M10" s="42" t="str">
        <f aca="false">IF(ISNUMBER(I10),(4-I10)*H10*IF(E10="M",1.5,1),"")</f>
        <v/>
      </c>
      <c r="N10" s="43" t="str">
        <f aca="false">IF(M10="","",IF(M10&gt;=9,"High",IF(M10&gt;=4,"Medium","Low")))</f>
        <v/>
      </c>
      <c r="O10" s="43" t="str">
        <f aca="false">IF(NOT(ISNUMBER(I10)),IF(I10="NA","N/A","Not scored"),IF(E10="M",IF(I10&gt;=3,"Compliant","Non-compliant"),IF(I10&gt;=3,"Meets GP","Below GP")))</f>
        <v>Not scored</v>
      </c>
      <c r="P10" s="10" t="s">
        <v>174</v>
      </c>
      <c r="Q10" s="44" t="n">
        <f aca="false">IF(ISNUMBER(I10),I10*H10,0)</f>
        <v>0</v>
      </c>
      <c r="R10" s="44" t="n">
        <f aca="false">IF(ISNUMBER(I10),4*H10,0)</f>
        <v>0</v>
      </c>
      <c r="S10" s="44" t="n">
        <f aca="false">IF(ISNUMBER(I10),1,0)</f>
        <v>0</v>
      </c>
      <c r="T10" s="44" t="n">
        <f aca="false">IF(AND(E10="M",ISNUMBER(I10)),1,0)</f>
        <v>0</v>
      </c>
      <c r="U10" s="44" t="n">
        <f aca="false">IF(AND(E10="M",ISNUMBER(I10)),IF(I10&gt;=3,1,0),0)</f>
        <v>0</v>
      </c>
      <c r="V10" s="1"/>
      <c r="W10" s="1"/>
      <c r="X10" s="1"/>
      <c r="Y10" s="1"/>
      <c r="Z10" s="1"/>
    </row>
    <row r="11" customFormat="false" ht="55.5" hidden="false" customHeight="true" outlineLevel="0" collapsed="false">
      <c r="A11" s="41" t="s">
        <v>190</v>
      </c>
      <c r="B11" s="41" t="s">
        <v>86</v>
      </c>
      <c r="C11" s="10" t="s">
        <v>191</v>
      </c>
      <c r="D11" s="10" t="s">
        <v>192</v>
      </c>
      <c r="E11" s="41" t="s">
        <v>166</v>
      </c>
      <c r="F11" s="10" t="s">
        <v>193</v>
      </c>
      <c r="G11" s="41" t="s">
        <v>179</v>
      </c>
      <c r="H11" s="41" t="n">
        <v>3</v>
      </c>
      <c r="I11" s="16"/>
      <c r="J11" s="15"/>
      <c r="K11" s="15"/>
      <c r="L11" s="15"/>
      <c r="M11" s="42" t="str">
        <f aca="false">IF(ISNUMBER(I11),(4-I11)*H11*IF(E11="M",1.5,1),"")</f>
        <v/>
      </c>
      <c r="N11" s="43" t="str">
        <f aca="false">IF(M11="","",IF(M11&gt;=9,"High",IF(M11&gt;=4,"Medium","Low")))</f>
        <v/>
      </c>
      <c r="O11" s="43" t="str">
        <f aca="false">IF(NOT(ISNUMBER(I11)),IF(I11="NA","N/A","Not scored"),IF(E11="M",IF(I11&gt;=3,"Compliant","Non-compliant"),IF(I11&gt;=3,"Meets GP","Below GP")))</f>
        <v>Not scored</v>
      </c>
      <c r="P11" s="10" t="s">
        <v>174</v>
      </c>
      <c r="Q11" s="44" t="n">
        <f aca="false">IF(ISNUMBER(I11),I11*H11,0)</f>
        <v>0</v>
      </c>
      <c r="R11" s="44" t="n">
        <f aca="false">IF(ISNUMBER(I11),4*H11,0)</f>
        <v>0</v>
      </c>
      <c r="S11" s="44" t="n">
        <f aca="false">IF(ISNUMBER(I11),1,0)</f>
        <v>0</v>
      </c>
      <c r="T11" s="44" t="n">
        <f aca="false">IF(AND(E11="M",ISNUMBER(I11)),1,0)</f>
        <v>0</v>
      </c>
      <c r="U11" s="44" t="n">
        <f aca="false">IF(AND(E11="M",ISNUMBER(I11)),IF(I11&gt;=3,1,0),0)</f>
        <v>0</v>
      </c>
      <c r="V11" s="1"/>
      <c r="W11" s="1"/>
      <c r="X11" s="1"/>
      <c r="Y11" s="1"/>
      <c r="Z11" s="1"/>
    </row>
    <row r="12" customFormat="false" ht="30.75" hidden="false" customHeight="true" outlineLevel="0" collapsed="false">
      <c r="A12" s="41" t="s">
        <v>194</v>
      </c>
      <c r="B12" s="41" t="s">
        <v>86</v>
      </c>
      <c r="C12" s="10" t="s">
        <v>195</v>
      </c>
      <c r="D12" s="10" t="s">
        <v>196</v>
      </c>
      <c r="E12" s="41" t="s">
        <v>188</v>
      </c>
      <c r="F12" s="10" t="s">
        <v>197</v>
      </c>
      <c r="G12" s="41" t="s">
        <v>179</v>
      </c>
      <c r="H12" s="41" t="n">
        <v>1</v>
      </c>
      <c r="I12" s="16"/>
      <c r="J12" s="15"/>
      <c r="K12" s="15"/>
      <c r="L12" s="15"/>
      <c r="M12" s="42" t="str">
        <f aca="false">IF(ISNUMBER(I12),(4-I12)*H12*IF(E12="M",1.5,1),"")</f>
        <v/>
      </c>
      <c r="N12" s="43" t="str">
        <f aca="false">IF(M12="","",IF(M12&gt;=9,"High",IF(M12&gt;=4,"Medium","Low")))</f>
        <v/>
      </c>
      <c r="O12" s="43" t="str">
        <f aca="false">IF(NOT(ISNUMBER(I12)),IF(I12="NA","N/A","Not scored"),IF(E12="M",IF(I12&gt;=3,"Compliant","Non-compliant"),IF(I12&gt;=3,"Meets GP","Below GP")))</f>
        <v>Not scored</v>
      </c>
      <c r="P12" s="10" t="s">
        <v>174</v>
      </c>
      <c r="Q12" s="44" t="n">
        <f aca="false">IF(ISNUMBER(I12),I12*H12,0)</f>
        <v>0</v>
      </c>
      <c r="R12" s="44" t="n">
        <f aca="false">IF(ISNUMBER(I12),4*H12,0)</f>
        <v>0</v>
      </c>
      <c r="S12" s="44" t="n">
        <f aca="false">IF(ISNUMBER(I12),1,0)</f>
        <v>0</v>
      </c>
      <c r="T12" s="44" t="n">
        <f aca="false">IF(AND(E12="M",ISNUMBER(I12)),1,0)</f>
        <v>0</v>
      </c>
      <c r="U12" s="44" t="n">
        <f aca="false">IF(AND(E12="M",ISNUMBER(I12)),IF(I12&gt;=3,1,0),0)</f>
        <v>0</v>
      </c>
      <c r="V12" s="1"/>
      <c r="W12" s="1"/>
      <c r="X12" s="1"/>
      <c r="Y12" s="1"/>
      <c r="Z12" s="1"/>
    </row>
    <row r="13" customFormat="false" ht="105.75" hidden="false" customHeight="true" outlineLevel="0" collapsed="false">
      <c r="A13" s="41" t="s">
        <v>198</v>
      </c>
      <c r="B13" s="41" t="s">
        <v>86</v>
      </c>
      <c r="C13" s="10" t="s">
        <v>199</v>
      </c>
      <c r="D13" s="10" t="s">
        <v>200</v>
      </c>
      <c r="E13" s="41" t="s">
        <v>166</v>
      </c>
      <c r="F13" s="10" t="s">
        <v>201</v>
      </c>
      <c r="G13" s="41" t="s">
        <v>179</v>
      </c>
      <c r="H13" s="41" t="n">
        <v>3</v>
      </c>
      <c r="I13" s="16"/>
      <c r="J13" s="15"/>
      <c r="K13" s="15"/>
      <c r="L13" s="15"/>
      <c r="M13" s="42" t="str">
        <f aca="false">IF(ISNUMBER(I13),(4-I13)*H13*IF(E13="M",1.5,1),"")</f>
        <v/>
      </c>
      <c r="N13" s="43" t="str">
        <f aca="false">IF(M13="","",IF(M13&gt;=9,"High",IF(M13&gt;=4,"Medium","Low")))</f>
        <v/>
      </c>
      <c r="O13" s="43" t="str">
        <f aca="false">IF(NOT(ISNUMBER(I13)),IF(I13="NA","N/A","Not scored"),IF(E13="M",IF(I13&gt;=3,"Compliant","Non-compliant"),IF(I13&gt;=3,"Meets GP","Below GP")))</f>
        <v>Not scored</v>
      </c>
      <c r="P13" s="10" t="s">
        <v>202</v>
      </c>
      <c r="Q13" s="44" t="n">
        <f aca="false">IF(ISNUMBER(I13),I13*H13,0)</f>
        <v>0</v>
      </c>
      <c r="R13" s="44" t="n">
        <f aca="false">IF(ISNUMBER(I13),4*H13,0)</f>
        <v>0</v>
      </c>
      <c r="S13" s="44" t="n">
        <f aca="false">IF(ISNUMBER(I13),1,0)</f>
        <v>0</v>
      </c>
      <c r="T13" s="44" t="n">
        <f aca="false">IF(AND(E13="M",ISNUMBER(I13)),1,0)</f>
        <v>0</v>
      </c>
      <c r="U13" s="44" t="n">
        <f aca="false">IF(AND(E13="M",ISNUMBER(I13)),IF(I13&gt;=3,1,0),0)</f>
        <v>0</v>
      </c>
      <c r="V13" s="1"/>
      <c r="W13" s="1"/>
      <c r="X13" s="1"/>
      <c r="Y13" s="1"/>
      <c r="Z13" s="1"/>
    </row>
    <row r="14" customFormat="false" ht="15" hidden="false" customHeight="false" outlineLevel="0" collapsed="false">
      <c r="A14" s="40" t="s">
        <v>203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43.5" hidden="false" customHeight="true" outlineLevel="0" collapsed="false">
      <c r="A15" s="41" t="s">
        <v>204</v>
      </c>
      <c r="B15" s="41" t="s">
        <v>88</v>
      </c>
      <c r="C15" s="10" t="s">
        <v>205</v>
      </c>
      <c r="D15" s="10" t="s">
        <v>206</v>
      </c>
      <c r="E15" s="41" t="s">
        <v>166</v>
      </c>
      <c r="F15" s="10" t="s">
        <v>207</v>
      </c>
      <c r="G15" s="41" t="s">
        <v>168</v>
      </c>
      <c r="H15" s="41" t="n">
        <v>3</v>
      </c>
      <c r="I15" s="16"/>
      <c r="J15" s="15"/>
      <c r="K15" s="15"/>
      <c r="L15" s="15"/>
      <c r="M15" s="42" t="str">
        <f aca="false">IF(ISNUMBER(I15),(4-I15)*H15*IF(E15="M",1.5,1),"")</f>
        <v/>
      </c>
      <c r="N15" s="43" t="str">
        <f aca="false">IF(M15="","",IF(M15&gt;=9,"High",IF(M15&gt;=4,"Medium","Low")))</f>
        <v/>
      </c>
      <c r="O15" s="43" t="str">
        <f aca="false">IF(NOT(ISNUMBER(I15)),IF(I15="NA","N/A","Not scored"),IF(E15="M",IF(I15&gt;=3,"Compliant","Non-compliant"),IF(I15&gt;=3,"Meets GP","Below GP")))</f>
        <v>Not scored</v>
      </c>
      <c r="P15" s="10" t="s">
        <v>184</v>
      </c>
      <c r="Q15" s="44" t="n">
        <f aca="false">IF(ISNUMBER(I15),I15*H15,0)</f>
        <v>0</v>
      </c>
      <c r="R15" s="44" t="n">
        <f aca="false">IF(ISNUMBER(I15),4*H15,0)</f>
        <v>0</v>
      </c>
      <c r="S15" s="44" t="n">
        <f aca="false">IF(ISNUMBER(I15),1,0)</f>
        <v>0</v>
      </c>
      <c r="T15" s="44" t="n">
        <f aca="false">IF(AND(E15="M",ISNUMBER(I15)),1,0)</f>
        <v>0</v>
      </c>
      <c r="U15" s="44" t="n">
        <f aca="false">IF(AND(E15="M",ISNUMBER(I15)),IF(I15&gt;=3,1,0),0)</f>
        <v>0</v>
      </c>
      <c r="V15" s="1"/>
      <c r="W15" s="1"/>
      <c r="X15" s="1"/>
      <c r="Y15" s="1"/>
      <c r="Z15" s="1"/>
    </row>
    <row r="16" customFormat="false" ht="30.75" hidden="false" customHeight="true" outlineLevel="0" collapsed="false">
      <c r="A16" s="41" t="s">
        <v>208</v>
      </c>
      <c r="B16" s="41" t="s">
        <v>88</v>
      </c>
      <c r="C16" s="10" t="s">
        <v>209</v>
      </c>
      <c r="D16" s="10" t="s">
        <v>210</v>
      </c>
      <c r="E16" s="41" t="s">
        <v>166</v>
      </c>
      <c r="F16" s="10" t="s">
        <v>211</v>
      </c>
      <c r="G16" s="41" t="s">
        <v>168</v>
      </c>
      <c r="H16" s="41" t="n">
        <v>3</v>
      </c>
      <c r="I16" s="16"/>
      <c r="J16" s="15"/>
      <c r="K16" s="15"/>
      <c r="L16" s="15"/>
      <c r="M16" s="42" t="str">
        <f aca="false">IF(ISNUMBER(I16),(4-I16)*H16*IF(E16="M",1.5,1),"")</f>
        <v/>
      </c>
      <c r="N16" s="43" t="str">
        <f aca="false">IF(M16="","",IF(M16&gt;=9,"High",IF(M16&gt;=4,"Medium","Low")))</f>
        <v/>
      </c>
      <c r="O16" s="43" t="str">
        <f aca="false">IF(NOT(ISNUMBER(I16)),IF(I16="NA","N/A","Not scored"),IF(E16="M",IF(I16&gt;=3,"Compliant","Non-compliant"),IF(I16&gt;=3,"Meets GP","Below GP")))</f>
        <v>Not scored</v>
      </c>
      <c r="P16" s="10" t="s">
        <v>212</v>
      </c>
      <c r="Q16" s="44" t="n">
        <f aca="false">IF(ISNUMBER(I16),I16*H16,0)</f>
        <v>0</v>
      </c>
      <c r="R16" s="44" t="n">
        <f aca="false">IF(ISNUMBER(I16),4*H16,0)</f>
        <v>0</v>
      </c>
      <c r="S16" s="44" t="n">
        <f aca="false">IF(ISNUMBER(I16),1,0)</f>
        <v>0</v>
      </c>
      <c r="T16" s="44" t="n">
        <f aca="false">IF(AND(E16="M",ISNUMBER(I16)),1,0)</f>
        <v>0</v>
      </c>
      <c r="U16" s="44" t="n">
        <f aca="false">IF(AND(E16="M",ISNUMBER(I16)),IF(I16&gt;=3,1,0),0)</f>
        <v>0</v>
      </c>
      <c r="V16" s="1"/>
      <c r="W16" s="1"/>
      <c r="X16" s="1"/>
      <c r="Y16" s="1"/>
      <c r="Z16" s="1"/>
    </row>
    <row r="17" customFormat="false" ht="30.75" hidden="false" customHeight="true" outlineLevel="0" collapsed="false">
      <c r="A17" s="41" t="s">
        <v>213</v>
      </c>
      <c r="B17" s="41" t="s">
        <v>88</v>
      </c>
      <c r="C17" s="10" t="s">
        <v>214</v>
      </c>
      <c r="D17" s="10" t="s">
        <v>215</v>
      </c>
      <c r="E17" s="41" t="s">
        <v>166</v>
      </c>
      <c r="F17" s="10" t="s">
        <v>216</v>
      </c>
      <c r="G17" s="41" t="s">
        <v>168</v>
      </c>
      <c r="H17" s="41" t="n">
        <v>3</v>
      </c>
      <c r="I17" s="16"/>
      <c r="J17" s="15"/>
      <c r="K17" s="15"/>
      <c r="L17" s="15"/>
      <c r="M17" s="42" t="str">
        <f aca="false">IF(ISNUMBER(I17),(4-I17)*H17*IF(E17="M",1.5,1),"")</f>
        <v/>
      </c>
      <c r="N17" s="43" t="str">
        <f aca="false">IF(M17="","",IF(M17&gt;=9,"High",IF(M17&gt;=4,"Medium","Low")))</f>
        <v/>
      </c>
      <c r="O17" s="43" t="str">
        <f aca="false">IF(NOT(ISNUMBER(I17)),IF(I17="NA","N/A","Not scored"),IF(E17="M",IF(I17&gt;=3,"Compliant","Non-compliant"),IF(I17&gt;=3,"Meets GP","Below GP")))</f>
        <v>Not scored</v>
      </c>
      <c r="P17" s="10" t="s">
        <v>212</v>
      </c>
      <c r="Q17" s="44" t="n">
        <f aca="false">IF(ISNUMBER(I17),I17*H17,0)</f>
        <v>0</v>
      </c>
      <c r="R17" s="44" t="n">
        <f aca="false">IF(ISNUMBER(I17),4*H17,0)</f>
        <v>0</v>
      </c>
      <c r="S17" s="44" t="n">
        <f aca="false">IF(ISNUMBER(I17),1,0)</f>
        <v>0</v>
      </c>
      <c r="T17" s="44" t="n">
        <f aca="false">IF(AND(E17="M",ISNUMBER(I17)),1,0)</f>
        <v>0</v>
      </c>
      <c r="U17" s="44" t="n">
        <f aca="false">IF(AND(E17="M",ISNUMBER(I17)),IF(I17&gt;=3,1,0),0)</f>
        <v>0</v>
      </c>
      <c r="V17" s="1"/>
      <c r="W17" s="1"/>
      <c r="X17" s="1"/>
      <c r="Y17" s="1"/>
      <c r="Z17" s="1"/>
    </row>
    <row r="18" customFormat="false" ht="30.75" hidden="false" customHeight="true" outlineLevel="0" collapsed="false">
      <c r="A18" s="41" t="s">
        <v>217</v>
      </c>
      <c r="B18" s="41" t="s">
        <v>88</v>
      </c>
      <c r="C18" s="10" t="s">
        <v>218</v>
      </c>
      <c r="D18" s="10" t="s">
        <v>219</v>
      </c>
      <c r="E18" s="41" t="s">
        <v>166</v>
      </c>
      <c r="F18" s="10" t="s">
        <v>220</v>
      </c>
      <c r="G18" s="41" t="s">
        <v>168</v>
      </c>
      <c r="H18" s="41" t="n">
        <v>2</v>
      </c>
      <c r="I18" s="16"/>
      <c r="J18" s="15"/>
      <c r="K18" s="15"/>
      <c r="L18" s="15"/>
      <c r="M18" s="42" t="str">
        <f aca="false">IF(ISNUMBER(I18),(4-I18)*H18*IF(E18="M",1.5,1),"")</f>
        <v/>
      </c>
      <c r="N18" s="43" t="str">
        <f aca="false">IF(M18="","",IF(M18&gt;=9,"High",IF(M18&gt;=4,"Medium","Low")))</f>
        <v/>
      </c>
      <c r="O18" s="43" t="str">
        <f aca="false">IF(NOT(ISNUMBER(I18)),IF(I18="NA","N/A","Not scored"),IF(E18="M",IF(I18&gt;=3,"Compliant","Non-compliant"),IF(I18&gt;=3,"Meets GP","Below GP")))</f>
        <v>Not scored</v>
      </c>
      <c r="P18" s="10" t="s">
        <v>221</v>
      </c>
      <c r="Q18" s="44" t="n">
        <f aca="false">IF(ISNUMBER(I18),I18*H18,0)</f>
        <v>0</v>
      </c>
      <c r="R18" s="44" t="n">
        <f aca="false">IF(ISNUMBER(I18),4*H18,0)</f>
        <v>0</v>
      </c>
      <c r="S18" s="44" t="n">
        <f aca="false">IF(ISNUMBER(I18),1,0)</f>
        <v>0</v>
      </c>
      <c r="T18" s="44" t="n">
        <f aca="false">IF(AND(E18="M",ISNUMBER(I18)),1,0)</f>
        <v>0</v>
      </c>
      <c r="U18" s="44" t="n">
        <f aca="false">IF(AND(E18="M",ISNUMBER(I18)),IF(I18&gt;=3,1,0),0)</f>
        <v>0</v>
      </c>
      <c r="V18" s="1"/>
      <c r="W18" s="1"/>
      <c r="X18" s="1"/>
      <c r="Y18" s="1"/>
      <c r="Z18" s="1"/>
    </row>
    <row r="19" customFormat="false" ht="30.75" hidden="false" customHeight="true" outlineLevel="0" collapsed="false">
      <c r="A19" s="41" t="s">
        <v>222</v>
      </c>
      <c r="B19" s="41" t="s">
        <v>88</v>
      </c>
      <c r="C19" s="10" t="s">
        <v>223</v>
      </c>
      <c r="D19" s="10" t="s">
        <v>224</v>
      </c>
      <c r="E19" s="41" t="s">
        <v>166</v>
      </c>
      <c r="F19" s="10" t="s">
        <v>225</v>
      </c>
      <c r="G19" s="41" t="s">
        <v>226</v>
      </c>
      <c r="H19" s="41" t="n">
        <v>3</v>
      </c>
      <c r="I19" s="16"/>
      <c r="J19" s="15"/>
      <c r="K19" s="15"/>
      <c r="L19" s="15"/>
      <c r="M19" s="42" t="str">
        <f aca="false">IF(ISNUMBER(I19),(4-I19)*H19*IF(E19="M",1.5,1),"")</f>
        <v/>
      </c>
      <c r="N19" s="43" t="str">
        <f aca="false">IF(M19="","",IF(M19&gt;=9,"High",IF(M19&gt;=4,"Medium","Low")))</f>
        <v/>
      </c>
      <c r="O19" s="43" t="str">
        <f aca="false">IF(NOT(ISNUMBER(I19)),IF(I19="NA","N/A","Not scored"),IF(E19="M",IF(I19&gt;=3,"Compliant","Non-compliant"),IF(I19&gt;=3,"Meets GP","Below GP")))</f>
        <v>Not scored</v>
      </c>
      <c r="P19" s="10" t="s">
        <v>227</v>
      </c>
      <c r="Q19" s="44" t="n">
        <f aca="false">IF(ISNUMBER(I19),I19*H19,0)</f>
        <v>0</v>
      </c>
      <c r="R19" s="44" t="n">
        <f aca="false">IF(ISNUMBER(I19),4*H19,0)</f>
        <v>0</v>
      </c>
      <c r="S19" s="44" t="n">
        <f aca="false">IF(ISNUMBER(I19),1,0)</f>
        <v>0</v>
      </c>
      <c r="T19" s="44" t="n">
        <f aca="false">IF(AND(E19="M",ISNUMBER(I19)),1,0)</f>
        <v>0</v>
      </c>
      <c r="U19" s="44" t="n">
        <f aca="false">IF(AND(E19="M",ISNUMBER(I19)),IF(I19&gt;=3,1,0),0)</f>
        <v>0</v>
      </c>
      <c r="V19" s="1"/>
      <c r="W19" s="1"/>
      <c r="X19" s="1"/>
      <c r="Y19" s="1"/>
      <c r="Z19" s="1"/>
    </row>
    <row r="20" customFormat="false" ht="43.5" hidden="false" customHeight="true" outlineLevel="0" collapsed="false">
      <c r="A20" s="41" t="s">
        <v>228</v>
      </c>
      <c r="B20" s="41" t="s">
        <v>88</v>
      </c>
      <c r="C20" s="10" t="s">
        <v>229</v>
      </c>
      <c r="D20" s="10" t="s">
        <v>230</v>
      </c>
      <c r="E20" s="41" t="s">
        <v>188</v>
      </c>
      <c r="F20" s="10" t="s">
        <v>231</v>
      </c>
      <c r="G20" s="41" t="s">
        <v>179</v>
      </c>
      <c r="H20" s="41" t="n">
        <v>2</v>
      </c>
      <c r="I20" s="16"/>
      <c r="J20" s="15"/>
      <c r="K20" s="15"/>
      <c r="L20" s="15"/>
      <c r="M20" s="42" t="str">
        <f aca="false">IF(ISNUMBER(I20),(4-I20)*H20*IF(E20="M",1.5,1),"")</f>
        <v/>
      </c>
      <c r="N20" s="43" t="str">
        <f aca="false">IF(M20="","",IF(M20&gt;=9,"High",IF(M20&gt;=4,"Medium","Low")))</f>
        <v/>
      </c>
      <c r="O20" s="43" t="str">
        <f aca="false">IF(NOT(ISNUMBER(I20)),IF(I20="NA","N/A","Not scored"),IF(E20="M",IF(I20&gt;=3,"Compliant","Non-compliant"),IF(I20&gt;=3,"Meets GP","Below GP")))</f>
        <v>Not scored</v>
      </c>
      <c r="P20" s="10" t="s">
        <v>232</v>
      </c>
      <c r="Q20" s="44" t="n">
        <f aca="false">IF(ISNUMBER(I20),I20*H20,0)</f>
        <v>0</v>
      </c>
      <c r="R20" s="44" t="n">
        <f aca="false">IF(ISNUMBER(I20),4*H20,0)</f>
        <v>0</v>
      </c>
      <c r="S20" s="44" t="n">
        <f aca="false">IF(ISNUMBER(I20),1,0)</f>
        <v>0</v>
      </c>
      <c r="T20" s="44" t="n">
        <f aca="false">IF(AND(E20="M",ISNUMBER(I20)),1,0)</f>
        <v>0</v>
      </c>
      <c r="U20" s="44" t="n">
        <f aca="false">IF(AND(E20="M",ISNUMBER(I20)),IF(I20&gt;=3,1,0),0)</f>
        <v>0</v>
      </c>
      <c r="V20" s="1"/>
      <c r="W20" s="1"/>
      <c r="X20" s="1"/>
      <c r="Y20" s="1"/>
      <c r="Z20" s="1"/>
    </row>
    <row r="21" customFormat="false" ht="30.75" hidden="false" customHeight="true" outlineLevel="0" collapsed="false">
      <c r="A21" s="41" t="s">
        <v>233</v>
      </c>
      <c r="B21" s="41" t="s">
        <v>88</v>
      </c>
      <c r="C21" s="10" t="s">
        <v>234</v>
      </c>
      <c r="D21" s="10" t="s">
        <v>235</v>
      </c>
      <c r="E21" s="41" t="s">
        <v>166</v>
      </c>
      <c r="F21" s="10" t="s">
        <v>236</v>
      </c>
      <c r="G21" s="41" t="s">
        <v>179</v>
      </c>
      <c r="H21" s="41" t="n">
        <v>2</v>
      </c>
      <c r="I21" s="16"/>
      <c r="J21" s="15"/>
      <c r="K21" s="15"/>
      <c r="L21" s="15"/>
      <c r="M21" s="42" t="str">
        <f aca="false">IF(ISNUMBER(I21),(4-I21)*H21*IF(E21="M",1.5,1),"")</f>
        <v/>
      </c>
      <c r="N21" s="43" t="str">
        <f aca="false">IF(M21="","",IF(M21&gt;=9,"High",IF(M21&gt;=4,"Medium","Low")))</f>
        <v/>
      </c>
      <c r="O21" s="43" t="str">
        <f aca="false">IF(NOT(ISNUMBER(I21)),IF(I21="NA","N/A","Not scored"),IF(E21="M",IF(I21&gt;=3,"Compliant","Non-compliant"),IF(I21&gt;=3,"Meets GP","Below GP")))</f>
        <v>Not scored</v>
      </c>
      <c r="P21" s="10" t="s">
        <v>237</v>
      </c>
      <c r="Q21" s="44" t="n">
        <f aca="false">IF(ISNUMBER(I21),I21*H21,0)</f>
        <v>0</v>
      </c>
      <c r="R21" s="44" t="n">
        <f aca="false">IF(ISNUMBER(I21),4*H21,0)</f>
        <v>0</v>
      </c>
      <c r="S21" s="44" t="n">
        <f aca="false">IF(ISNUMBER(I21),1,0)</f>
        <v>0</v>
      </c>
      <c r="T21" s="44" t="n">
        <f aca="false">IF(AND(E21="M",ISNUMBER(I21)),1,0)</f>
        <v>0</v>
      </c>
      <c r="U21" s="44" t="n">
        <f aca="false">IF(AND(E21="M",ISNUMBER(I21)),IF(I21&gt;=3,1,0),0)</f>
        <v>0</v>
      </c>
      <c r="V21" s="1"/>
      <c r="W21" s="1"/>
      <c r="X21" s="1"/>
      <c r="Y21" s="1"/>
      <c r="Z21" s="1"/>
    </row>
    <row r="22" customFormat="false" ht="55.5" hidden="false" customHeight="true" outlineLevel="0" collapsed="false">
      <c r="A22" s="41" t="s">
        <v>238</v>
      </c>
      <c r="B22" s="41" t="s">
        <v>88</v>
      </c>
      <c r="C22" s="10" t="s">
        <v>239</v>
      </c>
      <c r="D22" s="10" t="s">
        <v>240</v>
      </c>
      <c r="E22" s="41" t="s">
        <v>188</v>
      </c>
      <c r="F22" s="10" t="s">
        <v>241</v>
      </c>
      <c r="G22" s="41" t="s">
        <v>179</v>
      </c>
      <c r="H22" s="41" t="n">
        <v>1</v>
      </c>
      <c r="I22" s="16"/>
      <c r="J22" s="15"/>
      <c r="K22" s="15"/>
      <c r="L22" s="15"/>
      <c r="M22" s="42" t="str">
        <f aca="false">IF(ISNUMBER(I22),(4-I22)*H22*IF(E22="M",1.5,1),"")</f>
        <v/>
      </c>
      <c r="N22" s="43" t="str">
        <f aca="false">IF(M22="","",IF(M22&gt;=9,"High",IF(M22&gt;=4,"Medium","Low")))</f>
        <v/>
      </c>
      <c r="O22" s="43" t="str">
        <f aca="false">IF(NOT(ISNUMBER(I22)),IF(I22="NA","N/A","Not scored"),IF(E22="M",IF(I22&gt;=3,"Compliant","Non-compliant"),IF(I22&gt;=3,"Meets GP","Below GP")))</f>
        <v>Not scored</v>
      </c>
      <c r="P22" s="10" t="s">
        <v>242</v>
      </c>
      <c r="Q22" s="44" t="n">
        <f aca="false">IF(ISNUMBER(I22),I22*H22,0)</f>
        <v>0</v>
      </c>
      <c r="R22" s="44" t="n">
        <f aca="false">IF(ISNUMBER(I22),4*H22,0)</f>
        <v>0</v>
      </c>
      <c r="S22" s="44" t="n">
        <f aca="false">IF(ISNUMBER(I22),1,0)</f>
        <v>0</v>
      </c>
      <c r="T22" s="44" t="n">
        <f aca="false">IF(AND(E22="M",ISNUMBER(I22)),1,0)</f>
        <v>0</v>
      </c>
      <c r="U22" s="44" t="n">
        <f aca="false">IF(AND(E22="M",ISNUMBER(I22)),IF(I22&gt;=3,1,0),0)</f>
        <v>0</v>
      </c>
      <c r="V22" s="1"/>
      <c r="W22" s="1"/>
      <c r="X22" s="1"/>
      <c r="Y22" s="1"/>
      <c r="Z22" s="1"/>
    </row>
    <row r="23" customFormat="false" ht="55.5" hidden="false" customHeight="true" outlineLevel="0" collapsed="false">
      <c r="A23" s="41" t="s">
        <v>243</v>
      </c>
      <c r="B23" s="41" t="s">
        <v>88</v>
      </c>
      <c r="C23" s="10" t="s">
        <v>244</v>
      </c>
      <c r="D23" s="10" t="s">
        <v>245</v>
      </c>
      <c r="E23" s="41" t="s">
        <v>166</v>
      </c>
      <c r="F23" s="10" t="s">
        <v>246</v>
      </c>
      <c r="G23" s="41" t="s">
        <v>168</v>
      </c>
      <c r="H23" s="41" t="n">
        <v>2</v>
      </c>
      <c r="I23" s="16"/>
      <c r="J23" s="15"/>
      <c r="K23" s="15"/>
      <c r="L23" s="15"/>
      <c r="M23" s="42" t="str">
        <f aca="false">IF(ISNUMBER(I23),(4-I23)*H23*IF(E23="M",1.5,1),"")</f>
        <v/>
      </c>
      <c r="N23" s="43" t="str">
        <f aca="false">IF(M23="","",IF(M23&gt;=9,"High",IF(M23&gt;=4,"Medium","Low")))</f>
        <v/>
      </c>
      <c r="O23" s="43" t="str">
        <f aca="false">IF(NOT(ISNUMBER(I23)),IF(I23="NA","N/A","Not scored"),IF(E23="M",IF(I23&gt;=3,"Compliant","Non-compliant"),IF(I23&gt;=3,"Meets GP","Below GP")))</f>
        <v>Not scored</v>
      </c>
      <c r="P23" s="10" t="s">
        <v>247</v>
      </c>
      <c r="Q23" s="44" t="n">
        <f aca="false">IF(ISNUMBER(I23),I23*H23,0)</f>
        <v>0</v>
      </c>
      <c r="R23" s="44" t="n">
        <f aca="false">IF(ISNUMBER(I23),4*H23,0)</f>
        <v>0</v>
      </c>
      <c r="S23" s="44" t="n">
        <f aca="false">IF(ISNUMBER(I23),1,0)</f>
        <v>0</v>
      </c>
      <c r="T23" s="44" t="n">
        <f aca="false">IF(AND(E23="M",ISNUMBER(I23)),1,0)</f>
        <v>0</v>
      </c>
      <c r="U23" s="44" t="n">
        <f aca="false">IF(AND(E23="M",ISNUMBER(I23)),IF(I23&gt;=3,1,0),0)</f>
        <v>0</v>
      </c>
      <c r="V23" s="1"/>
      <c r="W23" s="1"/>
      <c r="X23" s="1"/>
      <c r="Y23" s="1"/>
      <c r="Z23" s="1"/>
    </row>
    <row r="24" customFormat="false" ht="55.5" hidden="false" customHeight="true" outlineLevel="0" collapsed="false">
      <c r="A24" s="41" t="s">
        <v>248</v>
      </c>
      <c r="B24" s="41" t="s">
        <v>88</v>
      </c>
      <c r="C24" s="10" t="s">
        <v>249</v>
      </c>
      <c r="D24" s="10" t="s">
        <v>250</v>
      </c>
      <c r="E24" s="41" t="s">
        <v>188</v>
      </c>
      <c r="F24" s="10" t="s">
        <v>251</v>
      </c>
      <c r="G24" s="41" t="s">
        <v>168</v>
      </c>
      <c r="H24" s="41" t="n">
        <v>1</v>
      </c>
      <c r="I24" s="16"/>
      <c r="J24" s="15"/>
      <c r="K24" s="15"/>
      <c r="L24" s="15"/>
      <c r="M24" s="42" t="str">
        <f aca="false">IF(ISNUMBER(I24),(4-I24)*H24*IF(E24="M",1.5,1),"")</f>
        <v/>
      </c>
      <c r="N24" s="43" t="str">
        <f aca="false">IF(M24="","",IF(M24&gt;=9,"High",IF(M24&gt;=4,"Medium","Low")))</f>
        <v/>
      </c>
      <c r="O24" s="43" t="str">
        <f aca="false">IF(NOT(ISNUMBER(I24)),IF(I24="NA","N/A","Not scored"),IF(E24="M",IF(I24&gt;=3,"Compliant","Non-compliant"),IF(I24&gt;=3,"Meets GP","Below GP")))</f>
        <v>Not scored</v>
      </c>
      <c r="P24" s="10" t="s">
        <v>242</v>
      </c>
      <c r="Q24" s="44" t="n">
        <f aca="false">IF(ISNUMBER(I24),I24*H24,0)</f>
        <v>0</v>
      </c>
      <c r="R24" s="44" t="n">
        <f aca="false">IF(ISNUMBER(I24),4*H24,0)</f>
        <v>0</v>
      </c>
      <c r="S24" s="44" t="n">
        <f aca="false">IF(ISNUMBER(I24),1,0)</f>
        <v>0</v>
      </c>
      <c r="T24" s="44" t="n">
        <f aca="false">IF(AND(E24="M",ISNUMBER(I24)),1,0)</f>
        <v>0</v>
      </c>
      <c r="U24" s="44" t="n">
        <f aca="false">IF(AND(E24="M",ISNUMBER(I24)),IF(I24&gt;=3,1,0),0)</f>
        <v>0</v>
      </c>
      <c r="V24" s="1"/>
      <c r="W24" s="1"/>
      <c r="X24" s="1"/>
      <c r="Y24" s="1"/>
      <c r="Z24" s="1"/>
    </row>
    <row r="25" customFormat="false" ht="15" hidden="false" customHeight="false" outlineLevel="0" collapsed="false">
      <c r="A25" s="40" t="s">
        <v>252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43.5" hidden="false" customHeight="true" outlineLevel="0" collapsed="false">
      <c r="A26" s="41" t="s">
        <v>253</v>
      </c>
      <c r="B26" s="41" t="s">
        <v>90</v>
      </c>
      <c r="C26" s="10" t="s">
        <v>254</v>
      </c>
      <c r="D26" s="10" t="s">
        <v>255</v>
      </c>
      <c r="E26" s="41" t="s">
        <v>166</v>
      </c>
      <c r="F26" s="10" t="s">
        <v>256</v>
      </c>
      <c r="G26" s="41" t="s">
        <v>168</v>
      </c>
      <c r="H26" s="41" t="n">
        <v>3</v>
      </c>
      <c r="I26" s="16"/>
      <c r="J26" s="15"/>
      <c r="K26" s="15"/>
      <c r="L26" s="15"/>
      <c r="M26" s="42" t="str">
        <f aca="false">IF(ISNUMBER(I26),(4-I26)*H26*IF(E26="M",1.5,1),"")</f>
        <v/>
      </c>
      <c r="N26" s="43" t="str">
        <f aca="false">IF(M26="","",IF(M26&gt;=9,"High",IF(M26&gt;=4,"Medium","Low")))</f>
        <v/>
      </c>
      <c r="O26" s="43" t="str">
        <f aca="false">IF(NOT(ISNUMBER(I26)),IF(I26="NA","N/A","Not scored"),IF(E26="M",IF(I26&gt;=3,"Compliant","Non-compliant"),IF(I26&gt;=3,"Meets GP","Below GP")))</f>
        <v>Not scored</v>
      </c>
      <c r="P26" s="10" t="s">
        <v>257</v>
      </c>
      <c r="Q26" s="44" t="n">
        <f aca="false">IF(ISNUMBER(I26),I26*H26,0)</f>
        <v>0</v>
      </c>
      <c r="R26" s="44" t="n">
        <f aca="false">IF(ISNUMBER(I26),4*H26,0)</f>
        <v>0</v>
      </c>
      <c r="S26" s="44" t="n">
        <f aca="false">IF(ISNUMBER(I26),1,0)</f>
        <v>0</v>
      </c>
      <c r="T26" s="44" t="n">
        <f aca="false">IF(AND(E26="M",ISNUMBER(I26)),1,0)</f>
        <v>0</v>
      </c>
      <c r="U26" s="44" t="n">
        <f aca="false">IF(AND(E26="M",ISNUMBER(I26)),IF(I26&gt;=3,1,0),0)</f>
        <v>0</v>
      </c>
      <c r="V26" s="1"/>
      <c r="W26" s="1"/>
      <c r="X26" s="1"/>
      <c r="Y26" s="1"/>
      <c r="Z26" s="1"/>
    </row>
    <row r="27" customFormat="false" ht="43.5" hidden="false" customHeight="true" outlineLevel="0" collapsed="false">
      <c r="A27" s="41" t="s">
        <v>258</v>
      </c>
      <c r="B27" s="41" t="s">
        <v>90</v>
      </c>
      <c r="C27" s="10" t="s">
        <v>259</v>
      </c>
      <c r="D27" s="10" t="s">
        <v>260</v>
      </c>
      <c r="E27" s="41" t="s">
        <v>166</v>
      </c>
      <c r="F27" s="10" t="s">
        <v>261</v>
      </c>
      <c r="G27" s="41" t="s">
        <v>168</v>
      </c>
      <c r="H27" s="41" t="n">
        <v>2</v>
      </c>
      <c r="I27" s="16"/>
      <c r="J27" s="15"/>
      <c r="K27" s="15"/>
      <c r="L27" s="15"/>
      <c r="M27" s="42" t="str">
        <f aca="false">IF(ISNUMBER(I27),(4-I27)*H27*IF(E27="M",1.5,1),"")</f>
        <v/>
      </c>
      <c r="N27" s="43" t="str">
        <f aca="false">IF(M27="","",IF(M27&gt;=9,"High",IF(M27&gt;=4,"Medium","Low")))</f>
        <v/>
      </c>
      <c r="O27" s="43" t="str">
        <f aca="false">IF(NOT(ISNUMBER(I27)),IF(I27="NA","N/A","Not scored"),IF(E27="M",IF(I27&gt;=3,"Compliant","Non-compliant"),IF(I27&gt;=3,"Meets GP","Below GP")))</f>
        <v>Not scored</v>
      </c>
      <c r="P27" s="10" t="s">
        <v>262</v>
      </c>
      <c r="Q27" s="44" t="n">
        <f aca="false">IF(ISNUMBER(I27),I27*H27,0)</f>
        <v>0</v>
      </c>
      <c r="R27" s="44" t="n">
        <f aca="false">IF(ISNUMBER(I27),4*H27,0)</f>
        <v>0</v>
      </c>
      <c r="S27" s="44" t="n">
        <f aca="false">IF(ISNUMBER(I27),1,0)</f>
        <v>0</v>
      </c>
      <c r="T27" s="44" t="n">
        <f aca="false">IF(AND(E27="M",ISNUMBER(I27)),1,0)</f>
        <v>0</v>
      </c>
      <c r="U27" s="44" t="n">
        <f aca="false">IF(AND(E27="M",ISNUMBER(I27)),IF(I27&gt;=3,1,0),0)</f>
        <v>0</v>
      </c>
      <c r="V27" s="1"/>
      <c r="W27" s="1"/>
      <c r="X27" s="1"/>
      <c r="Y27" s="1"/>
      <c r="Z27" s="1"/>
    </row>
    <row r="28" customFormat="false" ht="55.5" hidden="false" customHeight="true" outlineLevel="0" collapsed="false">
      <c r="A28" s="41" t="s">
        <v>263</v>
      </c>
      <c r="B28" s="41" t="s">
        <v>90</v>
      </c>
      <c r="C28" s="10" t="s">
        <v>264</v>
      </c>
      <c r="D28" s="10" t="s">
        <v>265</v>
      </c>
      <c r="E28" s="41" t="s">
        <v>166</v>
      </c>
      <c r="F28" s="10" t="s">
        <v>266</v>
      </c>
      <c r="G28" s="41" t="s">
        <v>168</v>
      </c>
      <c r="H28" s="41" t="n">
        <v>3</v>
      </c>
      <c r="I28" s="16"/>
      <c r="J28" s="15"/>
      <c r="K28" s="15"/>
      <c r="L28" s="15"/>
      <c r="M28" s="42" t="str">
        <f aca="false">IF(ISNUMBER(I28),(4-I28)*H28*IF(E28="M",1.5,1),"")</f>
        <v/>
      </c>
      <c r="N28" s="43" t="str">
        <f aca="false">IF(M28="","",IF(M28&gt;=9,"High",IF(M28&gt;=4,"Medium","Low")))</f>
        <v/>
      </c>
      <c r="O28" s="43" t="str">
        <f aca="false">IF(NOT(ISNUMBER(I28)),IF(I28="NA","N/A","Not scored"),IF(E28="M",IF(I28&gt;=3,"Compliant","Non-compliant"),IF(I28&gt;=3,"Meets GP","Below GP")))</f>
        <v>Not scored</v>
      </c>
      <c r="P28" s="10" t="s">
        <v>267</v>
      </c>
      <c r="Q28" s="44" t="n">
        <f aca="false">IF(ISNUMBER(I28),I28*H28,0)</f>
        <v>0</v>
      </c>
      <c r="R28" s="44" t="n">
        <f aca="false">IF(ISNUMBER(I28),4*H28,0)</f>
        <v>0</v>
      </c>
      <c r="S28" s="44" t="n">
        <f aca="false">IF(ISNUMBER(I28),1,0)</f>
        <v>0</v>
      </c>
      <c r="T28" s="44" t="n">
        <f aca="false">IF(AND(E28="M",ISNUMBER(I28)),1,0)</f>
        <v>0</v>
      </c>
      <c r="U28" s="44" t="n">
        <f aca="false">IF(AND(E28="M",ISNUMBER(I28)),IF(I28&gt;=3,1,0),0)</f>
        <v>0</v>
      </c>
      <c r="V28" s="1"/>
      <c r="W28" s="1"/>
      <c r="X28" s="1"/>
      <c r="Y28" s="1"/>
      <c r="Z28" s="1"/>
    </row>
    <row r="29" customFormat="false" ht="30.75" hidden="false" customHeight="true" outlineLevel="0" collapsed="false">
      <c r="A29" s="41" t="s">
        <v>268</v>
      </c>
      <c r="B29" s="41" t="s">
        <v>90</v>
      </c>
      <c r="C29" s="10" t="s">
        <v>269</v>
      </c>
      <c r="D29" s="10" t="s">
        <v>270</v>
      </c>
      <c r="E29" s="41" t="s">
        <v>166</v>
      </c>
      <c r="F29" s="10" t="s">
        <v>271</v>
      </c>
      <c r="G29" s="41" t="s">
        <v>168</v>
      </c>
      <c r="H29" s="41" t="n">
        <v>2</v>
      </c>
      <c r="I29" s="16"/>
      <c r="J29" s="15"/>
      <c r="K29" s="15"/>
      <c r="L29" s="15"/>
      <c r="M29" s="42" t="str">
        <f aca="false">IF(ISNUMBER(I29),(4-I29)*H29*IF(E29="M",1.5,1),"")</f>
        <v/>
      </c>
      <c r="N29" s="43" t="str">
        <f aca="false">IF(M29="","",IF(M29&gt;=9,"High",IF(M29&gt;=4,"Medium","Low")))</f>
        <v/>
      </c>
      <c r="O29" s="43" t="str">
        <f aca="false">IF(NOT(ISNUMBER(I29)),IF(I29="NA","N/A","Not scored"),IF(E29="M",IF(I29&gt;=3,"Compliant","Non-compliant"),IF(I29&gt;=3,"Meets GP","Below GP")))</f>
        <v>Not scored</v>
      </c>
      <c r="P29" s="10" t="s">
        <v>272</v>
      </c>
      <c r="Q29" s="44" t="n">
        <f aca="false">IF(ISNUMBER(I29),I29*H29,0)</f>
        <v>0</v>
      </c>
      <c r="R29" s="44" t="n">
        <f aca="false">IF(ISNUMBER(I29),4*H29,0)</f>
        <v>0</v>
      </c>
      <c r="S29" s="44" t="n">
        <f aca="false">IF(ISNUMBER(I29),1,0)</f>
        <v>0</v>
      </c>
      <c r="T29" s="44" t="n">
        <f aca="false">IF(AND(E29="M",ISNUMBER(I29)),1,0)</f>
        <v>0</v>
      </c>
      <c r="U29" s="44" t="n">
        <f aca="false">IF(AND(E29="M",ISNUMBER(I29)),IF(I29&gt;=3,1,0),0)</f>
        <v>0</v>
      </c>
      <c r="V29" s="1"/>
      <c r="W29" s="1"/>
      <c r="X29" s="1"/>
      <c r="Y29" s="1"/>
      <c r="Z29" s="1"/>
    </row>
    <row r="30" customFormat="false" ht="30.75" hidden="false" customHeight="true" outlineLevel="0" collapsed="false">
      <c r="A30" s="41" t="s">
        <v>273</v>
      </c>
      <c r="B30" s="41" t="s">
        <v>90</v>
      </c>
      <c r="C30" s="10" t="s">
        <v>274</v>
      </c>
      <c r="D30" s="10" t="s">
        <v>275</v>
      </c>
      <c r="E30" s="41" t="s">
        <v>166</v>
      </c>
      <c r="F30" s="10" t="s">
        <v>276</v>
      </c>
      <c r="G30" s="41" t="s">
        <v>168</v>
      </c>
      <c r="H30" s="41" t="n">
        <v>3</v>
      </c>
      <c r="I30" s="16"/>
      <c r="J30" s="15"/>
      <c r="K30" s="15"/>
      <c r="L30" s="15"/>
      <c r="M30" s="42" t="str">
        <f aca="false">IF(ISNUMBER(I30),(4-I30)*H30*IF(E30="M",1.5,1),"")</f>
        <v/>
      </c>
      <c r="N30" s="43" t="str">
        <f aca="false">IF(M30="","",IF(M30&gt;=9,"High",IF(M30&gt;=4,"Medium","Low")))</f>
        <v/>
      </c>
      <c r="O30" s="43" t="str">
        <f aca="false">IF(NOT(ISNUMBER(I30)),IF(I30="NA","N/A","Not scored"),IF(E30="M",IF(I30&gt;=3,"Compliant","Non-compliant"),IF(I30&gt;=3,"Meets GP","Below GP")))</f>
        <v>Not scored</v>
      </c>
      <c r="P30" s="10" t="s">
        <v>277</v>
      </c>
      <c r="Q30" s="44" t="n">
        <f aca="false">IF(ISNUMBER(I30),I30*H30,0)</f>
        <v>0</v>
      </c>
      <c r="R30" s="44" t="n">
        <f aca="false">IF(ISNUMBER(I30),4*H30,0)</f>
        <v>0</v>
      </c>
      <c r="S30" s="44" t="n">
        <f aca="false">IF(ISNUMBER(I30),1,0)</f>
        <v>0</v>
      </c>
      <c r="T30" s="44" t="n">
        <f aca="false">IF(AND(E30="M",ISNUMBER(I30)),1,0)</f>
        <v>0</v>
      </c>
      <c r="U30" s="44" t="n">
        <f aca="false">IF(AND(E30="M",ISNUMBER(I30)),IF(I30&gt;=3,1,0),0)</f>
        <v>0</v>
      </c>
      <c r="V30" s="1"/>
      <c r="W30" s="1"/>
      <c r="X30" s="1"/>
      <c r="Y30" s="1"/>
      <c r="Z30" s="1"/>
    </row>
    <row r="31" customFormat="false" ht="43.5" hidden="false" customHeight="true" outlineLevel="0" collapsed="false">
      <c r="A31" s="41" t="s">
        <v>278</v>
      </c>
      <c r="B31" s="41" t="s">
        <v>90</v>
      </c>
      <c r="C31" s="10" t="s">
        <v>279</v>
      </c>
      <c r="D31" s="10" t="s">
        <v>280</v>
      </c>
      <c r="E31" s="41" t="s">
        <v>166</v>
      </c>
      <c r="F31" s="10" t="s">
        <v>281</v>
      </c>
      <c r="G31" s="41" t="s">
        <v>226</v>
      </c>
      <c r="H31" s="41" t="n">
        <v>3</v>
      </c>
      <c r="I31" s="16"/>
      <c r="J31" s="15"/>
      <c r="K31" s="15"/>
      <c r="L31" s="15"/>
      <c r="M31" s="42" t="str">
        <f aca="false">IF(ISNUMBER(I31),(4-I31)*H31*IF(E31="M",1.5,1),"")</f>
        <v/>
      </c>
      <c r="N31" s="43" t="str">
        <f aca="false">IF(M31="","",IF(M31&gt;=9,"High",IF(M31&gt;=4,"Medium","Low")))</f>
        <v/>
      </c>
      <c r="O31" s="43" t="str">
        <f aca="false">IF(NOT(ISNUMBER(I31)),IF(I31="NA","N/A","Not scored"),IF(E31="M",IF(I31&gt;=3,"Compliant","Non-compliant"),IF(I31&gt;=3,"Meets GP","Below GP")))</f>
        <v>Not scored</v>
      </c>
      <c r="P31" s="10" t="s">
        <v>282</v>
      </c>
      <c r="Q31" s="44" t="n">
        <f aca="false">IF(ISNUMBER(I31),I31*H31,0)</f>
        <v>0</v>
      </c>
      <c r="R31" s="44" t="n">
        <f aca="false">IF(ISNUMBER(I31),4*H31,0)</f>
        <v>0</v>
      </c>
      <c r="S31" s="44" t="n">
        <f aca="false">IF(ISNUMBER(I31),1,0)</f>
        <v>0</v>
      </c>
      <c r="T31" s="44" t="n">
        <f aca="false">IF(AND(E31="M",ISNUMBER(I31)),1,0)</f>
        <v>0</v>
      </c>
      <c r="U31" s="44" t="n">
        <f aca="false">IF(AND(E31="M",ISNUMBER(I31)),IF(I31&gt;=3,1,0),0)</f>
        <v>0</v>
      </c>
      <c r="V31" s="1"/>
      <c r="W31" s="1"/>
      <c r="X31" s="1"/>
      <c r="Y31" s="1"/>
      <c r="Z31" s="1"/>
    </row>
    <row r="32" customFormat="false" ht="30.75" hidden="false" customHeight="true" outlineLevel="0" collapsed="false">
      <c r="A32" s="41" t="s">
        <v>283</v>
      </c>
      <c r="B32" s="41" t="s">
        <v>90</v>
      </c>
      <c r="C32" s="10" t="s">
        <v>284</v>
      </c>
      <c r="D32" s="10" t="s">
        <v>285</v>
      </c>
      <c r="E32" s="41" t="s">
        <v>188</v>
      </c>
      <c r="F32" s="10" t="s">
        <v>286</v>
      </c>
      <c r="G32" s="41" t="s">
        <v>168</v>
      </c>
      <c r="H32" s="41" t="n">
        <v>2</v>
      </c>
      <c r="I32" s="16"/>
      <c r="J32" s="15"/>
      <c r="K32" s="15"/>
      <c r="L32" s="15"/>
      <c r="M32" s="42" t="str">
        <f aca="false">IF(ISNUMBER(I32),(4-I32)*H32*IF(E32="M",1.5,1),"")</f>
        <v/>
      </c>
      <c r="N32" s="43" t="str">
        <f aca="false">IF(M32="","",IF(M32&gt;=9,"High",IF(M32&gt;=4,"Medium","Low")))</f>
        <v/>
      </c>
      <c r="O32" s="43" t="str">
        <f aca="false">IF(NOT(ISNUMBER(I32)),IF(I32="NA","N/A","Not scored"),IF(E32="M",IF(I32&gt;=3,"Compliant","Non-compliant"),IF(I32&gt;=3,"Meets GP","Below GP")))</f>
        <v>Not scored</v>
      </c>
      <c r="P32" s="10" t="s">
        <v>262</v>
      </c>
      <c r="Q32" s="44" t="n">
        <f aca="false">IF(ISNUMBER(I32),I32*H32,0)</f>
        <v>0</v>
      </c>
      <c r="R32" s="44" t="n">
        <f aca="false">IF(ISNUMBER(I32),4*H32,0)</f>
        <v>0</v>
      </c>
      <c r="S32" s="44" t="n">
        <f aca="false">IF(ISNUMBER(I32),1,0)</f>
        <v>0</v>
      </c>
      <c r="T32" s="44" t="n">
        <f aca="false">IF(AND(E32="M",ISNUMBER(I32)),1,0)</f>
        <v>0</v>
      </c>
      <c r="U32" s="44" t="n">
        <f aca="false">IF(AND(E32="M",ISNUMBER(I32)),IF(I32&gt;=3,1,0),0)</f>
        <v>0</v>
      </c>
      <c r="V32" s="1"/>
      <c r="W32" s="1"/>
      <c r="X32" s="1"/>
      <c r="Y32" s="1"/>
      <c r="Z32" s="1"/>
    </row>
    <row r="33" customFormat="false" ht="15" hidden="false" customHeight="false" outlineLevel="0" collapsed="false">
      <c r="A33" s="40" t="s">
        <v>287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30.75" hidden="false" customHeight="true" outlineLevel="0" collapsed="false">
      <c r="A34" s="41" t="s">
        <v>288</v>
      </c>
      <c r="B34" s="41" t="s">
        <v>92</v>
      </c>
      <c r="C34" s="10" t="s">
        <v>289</v>
      </c>
      <c r="D34" s="10" t="s">
        <v>290</v>
      </c>
      <c r="E34" s="41" t="s">
        <v>166</v>
      </c>
      <c r="F34" s="10" t="s">
        <v>291</v>
      </c>
      <c r="G34" s="41" t="s">
        <v>168</v>
      </c>
      <c r="H34" s="41" t="n">
        <v>3</v>
      </c>
      <c r="I34" s="16"/>
      <c r="J34" s="15"/>
      <c r="K34" s="15"/>
      <c r="L34" s="15"/>
      <c r="M34" s="42" t="str">
        <f aca="false">IF(ISNUMBER(I34),(4-I34)*H34*IF(E34="M",1.5,1),"")</f>
        <v/>
      </c>
      <c r="N34" s="43" t="str">
        <f aca="false">IF(M34="","",IF(M34&gt;=9,"High",IF(M34&gt;=4,"Medium","Low")))</f>
        <v/>
      </c>
      <c r="O34" s="43" t="str">
        <f aca="false">IF(NOT(ISNUMBER(I34)),IF(I34="NA","N/A","Not scored"),IF(E34="M",IF(I34&gt;=3,"Compliant","Non-compliant"),IF(I34&gt;=3,"Meets GP","Below GP")))</f>
        <v>Not scored</v>
      </c>
      <c r="P34" s="10" t="s">
        <v>277</v>
      </c>
      <c r="Q34" s="44" t="n">
        <f aca="false">IF(ISNUMBER(I34),I34*H34,0)</f>
        <v>0</v>
      </c>
      <c r="R34" s="44" t="n">
        <f aca="false">IF(ISNUMBER(I34),4*H34,0)</f>
        <v>0</v>
      </c>
      <c r="S34" s="44" t="n">
        <f aca="false">IF(ISNUMBER(I34),1,0)</f>
        <v>0</v>
      </c>
      <c r="T34" s="44" t="n">
        <f aca="false">IF(AND(E34="M",ISNUMBER(I34)),1,0)</f>
        <v>0</v>
      </c>
      <c r="U34" s="44" t="n">
        <f aca="false">IF(AND(E34="M",ISNUMBER(I34)),IF(I34&gt;=3,1,0),0)</f>
        <v>0</v>
      </c>
      <c r="V34" s="1"/>
      <c r="W34" s="1"/>
      <c r="X34" s="1"/>
      <c r="Y34" s="1"/>
      <c r="Z34" s="1"/>
    </row>
    <row r="35" customFormat="false" ht="30.75" hidden="false" customHeight="true" outlineLevel="0" collapsed="false">
      <c r="A35" s="41" t="s">
        <v>292</v>
      </c>
      <c r="B35" s="41" t="s">
        <v>92</v>
      </c>
      <c r="C35" s="10" t="s">
        <v>293</v>
      </c>
      <c r="D35" s="10" t="s">
        <v>290</v>
      </c>
      <c r="E35" s="41" t="s">
        <v>166</v>
      </c>
      <c r="F35" s="10" t="s">
        <v>294</v>
      </c>
      <c r="G35" s="41" t="s">
        <v>168</v>
      </c>
      <c r="H35" s="41" t="n">
        <v>3</v>
      </c>
      <c r="I35" s="16"/>
      <c r="J35" s="15"/>
      <c r="K35" s="15"/>
      <c r="L35" s="15"/>
      <c r="M35" s="42" t="str">
        <f aca="false">IF(ISNUMBER(I35),(4-I35)*H35*IF(E35="M",1.5,1),"")</f>
        <v/>
      </c>
      <c r="N35" s="43" t="str">
        <f aca="false">IF(M35="","",IF(M35&gt;=9,"High",IF(M35&gt;=4,"Medium","Low")))</f>
        <v/>
      </c>
      <c r="O35" s="43" t="str">
        <f aca="false">IF(NOT(ISNUMBER(I35)),IF(I35="NA","N/A","Not scored"),IF(E35="M",IF(I35&gt;=3,"Compliant","Non-compliant"),IF(I35&gt;=3,"Meets GP","Below GP")))</f>
        <v>Not scored</v>
      </c>
      <c r="P35" s="10" t="s">
        <v>295</v>
      </c>
      <c r="Q35" s="44" t="n">
        <f aca="false">IF(ISNUMBER(I35),I35*H35,0)</f>
        <v>0</v>
      </c>
      <c r="R35" s="44" t="n">
        <f aca="false">IF(ISNUMBER(I35),4*H35,0)</f>
        <v>0</v>
      </c>
      <c r="S35" s="44" t="n">
        <f aca="false">IF(ISNUMBER(I35),1,0)</f>
        <v>0</v>
      </c>
      <c r="T35" s="44" t="n">
        <f aca="false">IF(AND(E35="M",ISNUMBER(I35)),1,0)</f>
        <v>0</v>
      </c>
      <c r="U35" s="44" t="n">
        <f aca="false">IF(AND(E35="M",ISNUMBER(I35)),IF(I35&gt;=3,1,0),0)</f>
        <v>0</v>
      </c>
      <c r="V35" s="1"/>
      <c r="W35" s="1"/>
      <c r="X35" s="1"/>
      <c r="Y35" s="1"/>
      <c r="Z35" s="1"/>
    </row>
    <row r="36" customFormat="false" ht="30.75" hidden="false" customHeight="true" outlineLevel="0" collapsed="false">
      <c r="A36" s="41" t="s">
        <v>296</v>
      </c>
      <c r="B36" s="41" t="s">
        <v>92</v>
      </c>
      <c r="C36" s="10" t="s">
        <v>297</v>
      </c>
      <c r="D36" s="10" t="s">
        <v>298</v>
      </c>
      <c r="E36" s="41" t="s">
        <v>166</v>
      </c>
      <c r="F36" s="10" t="s">
        <v>299</v>
      </c>
      <c r="G36" s="41" t="s">
        <v>168</v>
      </c>
      <c r="H36" s="41" t="n">
        <v>2</v>
      </c>
      <c r="I36" s="16"/>
      <c r="J36" s="15"/>
      <c r="K36" s="15"/>
      <c r="L36" s="15"/>
      <c r="M36" s="42" t="str">
        <f aca="false">IF(ISNUMBER(I36),(4-I36)*H36*IF(E36="M",1.5,1),"")</f>
        <v/>
      </c>
      <c r="N36" s="43" t="str">
        <f aca="false">IF(M36="","",IF(M36&gt;=9,"High",IF(M36&gt;=4,"Medium","Low")))</f>
        <v/>
      </c>
      <c r="O36" s="43" t="str">
        <f aca="false">IF(NOT(ISNUMBER(I36)),IF(I36="NA","N/A","Not scored"),IF(E36="M",IF(I36&gt;=3,"Compliant","Non-compliant"),IF(I36&gt;=3,"Meets GP","Below GP")))</f>
        <v>Not scored</v>
      </c>
      <c r="P36" s="10" t="s">
        <v>295</v>
      </c>
      <c r="Q36" s="44" t="n">
        <f aca="false">IF(ISNUMBER(I36),I36*H36,0)</f>
        <v>0</v>
      </c>
      <c r="R36" s="44" t="n">
        <f aca="false">IF(ISNUMBER(I36),4*H36,0)</f>
        <v>0</v>
      </c>
      <c r="S36" s="44" t="n">
        <f aca="false">IF(ISNUMBER(I36),1,0)</f>
        <v>0</v>
      </c>
      <c r="T36" s="44" t="n">
        <f aca="false">IF(AND(E36="M",ISNUMBER(I36)),1,0)</f>
        <v>0</v>
      </c>
      <c r="U36" s="44" t="n">
        <f aca="false">IF(AND(E36="M",ISNUMBER(I36)),IF(I36&gt;=3,1,0),0)</f>
        <v>0</v>
      </c>
      <c r="V36" s="1"/>
      <c r="W36" s="1"/>
      <c r="X36" s="1"/>
      <c r="Y36" s="1"/>
      <c r="Z36" s="1"/>
    </row>
    <row r="37" customFormat="false" ht="30.75" hidden="false" customHeight="true" outlineLevel="0" collapsed="false">
      <c r="A37" s="41" t="s">
        <v>300</v>
      </c>
      <c r="B37" s="41" t="s">
        <v>92</v>
      </c>
      <c r="C37" s="10" t="s">
        <v>301</v>
      </c>
      <c r="D37" s="10" t="s">
        <v>302</v>
      </c>
      <c r="E37" s="41" t="s">
        <v>188</v>
      </c>
      <c r="F37" s="10" t="s">
        <v>303</v>
      </c>
      <c r="G37" s="41" t="s">
        <v>168</v>
      </c>
      <c r="H37" s="41" t="n">
        <v>2</v>
      </c>
      <c r="I37" s="16"/>
      <c r="J37" s="15"/>
      <c r="K37" s="15"/>
      <c r="L37" s="15"/>
      <c r="M37" s="42" t="str">
        <f aca="false">IF(ISNUMBER(I37),(4-I37)*H37*IF(E37="M",1.5,1),"")</f>
        <v/>
      </c>
      <c r="N37" s="43" t="str">
        <f aca="false">IF(M37="","",IF(M37&gt;=9,"High",IF(M37&gt;=4,"Medium","Low")))</f>
        <v/>
      </c>
      <c r="O37" s="43" t="str">
        <f aca="false">IF(NOT(ISNUMBER(I37)),IF(I37="NA","N/A","Not scored"),IF(E37="M",IF(I37&gt;=3,"Compliant","Non-compliant"),IF(I37&gt;=3,"Meets GP","Below GP")))</f>
        <v>Not scored</v>
      </c>
      <c r="P37" s="10" t="s">
        <v>295</v>
      </c>
      <c r="Q37" s="44" t="n">
        <f aca="false">IF(ISNUMBER(I37),I37*H37,0)</f>
        <v>0</v>
      </c>
      <c r="R37" s="44" t="n">
        <f aca="false">IF(ISNUMBER(I37),4*H37,0)</f>
        <v>0</v>
      </c>
      <c r="S37" s="44" t="n">
        <f aca="false">IF(ISNUMBER(I37),1,0)</f>
        <v>0</v>
      </c>
      <c r="T37" s="44" t="n">
        <f aca="false">IF(AND(E37="M",ISNUMBER(I37)),1,0)</f>
        <v>0</v>
      </c>
      <c r="U37" s="44" t="n">
        <f aca="false">IF(AND(E37="M",ISNUMBER(I37)),IF(I37&gt;=3,1,0),0)</f>
        <v>0</v>
      </c>
      <c r="V37" s="1"/>
      <c r="W37" s="1"/>
      <c r="X37" s="1"/>
      <c r="Y37" s="1"/>
      <c r="Z37" s="1"/>
    </row>
    <row r="38" customFormat="false" ht="55.5" hidden="false" customHeight="true" outlineLevel="0" collapsed="false">
      <c r="A38" s="41" t="s">
        <v>304</v>
      </c>
      <c r="B38" s="41" t="s">
        <v>92</v>
      </c>
      <c r="C38" s="10" t="s">
        <v>305</v>
      </c>
      <c r="D38" s="10" t="s">
        <v>306</v>
      </c>
      <c r="E38" s="41" t="s">
        <v>166</v>
      </c>
      <c r="F38" s="10" t="s">
        <v>307</v>
      </c>
      <c r="G38" s="41" t="s">
        <v>179</v>
      </c>
      <c r="H38" s="41" t="n">
        <v>2</v>
      </c>
      <c r="I38" s="16"/>
      <c r="J38" s="15"/>
      <c r="K38" s="15"/>
      <c r="L38" s="15"/>
      <c r="M38" s="42" t="str">
        <f aca="false">IF(ISNUMBER(I38),(4-I38)*H38*IF(E38="M",1.5,1),"")</f>
        <v/>
      </c>
      <c r="N38" s="43" t="str">
        <f aca="false">IF(M38="","",IF(M38&gt;=9,"High",IF(M38&gt;=4,"Medium","Low")))</f>
        <v/>
      </c>
      <c r="O38" s="43" t="str">
        <f aca="false">IF(NOT(ISNUMBER(I38)),IF(I38="NA","N/A","Not scored"),IF(E38="M",IF(I38&gt;=3,"Compliant","Non-compliant"),IF(I38&gt;=3,"Meets GP","Below GP")))</f>
        <v>Not scored</v>
      </c>
      <c r="P38" s="10" t="s">
        <v>308</v>
      </c>
      <c r="Q38" s="44" t="n">
        <f aca="false">IF(ISNUMBER(I38),I38*H38,0)</f>
        <v>0</v>
      </c>
      <c r="R38" s="44" t="n">
        <f aca="false">IF(ISNUMBER(I38),4*H38,0)</f>
        <v>0</v>
      </c>
      <c r="S38" s="44" t="n">
        <f aca="false">IF(ISNUMBER(I38),1,0)</f>
        <v>0</v>
      </c>
      <c r="T38" s="44" t="n">
        <f aca="false">IF(AND(E38="M",ISNUMBER(I38)),1,0)</f>
        <v>0</v>
      </c>
      <c r="U38" s="44" t="n">
        <f aca="false">IF(AND(E38="M",ISNUMBER(I38)),IF(I38&gt;=3,1,0),0)</f>
        <v>0</v>
      </c>
      <c r="V38" s="1"/>
      <c r="W38" s="1"/>
      <c r="X38" s="1"/>
      <c r="Y38" s="1"/>
      <c r="Z38" s="1"/>
    </row>
    <row r="39" customFormat="false" ht="93" hidden="false" customHeight="true" outlineLevel="0" collapsed="false">
      <c r="A39" s="41" t="s">
        <v>309</v>
      </c>
      <c r="B39" s="41" t="s">
        <v>92</v>
      </c>
      <c r="C39" s="10" t="s">
        <v>310</v>
      </c>
      <c r="D39" s="10" t="s">
        <v>311</v>
      </c>
      <c r="E39" s="41" t="s">
        <v>166</v>
      </c>
      <c r="F39" s="10" t="s">
        <v>312</v>
      </c>
      <c r="G39" s="41" t="s">
        <v>179</v>
      </c>
      <c r="H39" s="41" t="n">
        <v>2</v>
      </c>
      <c r="I39" s="16"/>
      <c r="J39" s="15"/>
      <c r="K39" s="15"/>
      <c r="L39" s="15"/>
      <c r="M39" s="42" t="str">
        <f aca="false">IF(ISNUMBER(I39),(4-I39)*H39*IF(E39="M",1.5,1),"")</f>
        <v/>
      </c>
      <c r="N39" s="43" t="str">
        <f aca="false">IF(M39="","",IF(M39&gt;=9,"High",IF(M39&gt;=4,"Medium","Low")))</f>
        <v/>
      </c>
      <c r="O39" s="43" t="str">
        <f aca="false">IF(NOT(ISNUMBER(I39)),IF(I39="NA","N/A","Not scored"),IF(E39="M",IF(I39&gt;=3,"Compliant","Non-compliant"),IF(I39&gt;=3,"Meets GP","Below GP")))</f>
        <v>Not scored</v>
      </c>
      <c r="P39" s="10" t="s">
        <v>295</v>
      </c>
      <c r="Q39" s="44" t="n">
        <f aca="false">IF(ISNUMBER(I39),I39*H39,0)</f>
        <v>0</v>
      </c>
      <c r="R39" s="44" t="n">
        <f aca="false">IF(ISNUMBER(I39),4*H39,0)</f>
        <v>0</v>
      </c>
      <c r="S39" s="44" t="n">
        <f aca="false">IF(ISNUMBER(I39),1,0)</f>
        <v>0</v>
      </c>
      <c r="T39" s="44" t="n">
        <f aca="false">IF(AND(E39="M",ISNUMBER(I39)),1,0)</f>
        <v>0</v>
      </c>
      <c r="U39" s="44" t="n">
        <f aca="false">IF(AND(E39="M",ISNUMBER(I39)),IF(I39&gt;=3,1,0),0)</f>
        <v>0</v>
      </c>
      <c r="V39" s="1"/>
      <c r="W39" s="1"/>
      <c r="X39" s="1"/>
      <c r="Y39" s="1"/>
      <c r="Z39" s="1"/>
    </row>
    <row r="40" customFormat="false" ht="43.5" hidden="false" customHeight="true" outlineLevel="0" collapsed="false">
      <c r="A40" s="41" t="s">
        <v>313</v>
      </c>
      <c r="B40" s="41" t="s">
        <v>92</v>
      </c>
      <c r="C40" s="10" t="s">
        <v>314</v>
      </c>
      <c r="D40" s="10" t="s">
        <v>315</v>
      </c>
      <c r="E40" s="41" t="s">
        <v>188</v>
      </c>
      <c r="F40" s="10" t="s">
        <v>316</v>
      </c>
      <c r="G40" s="41" t="s">
        <v>168</v>
      </c>
      <c r="H40" s="41" t="n">
        <v>1</v>
      </c>
      <c r="I40" s="16"/>
      <c r="J40" s="15"/>
      <c r="K40" s="15"/>
      <c r="L40" s="15"/>
      <c r="M40" s="42" t="str">
        <f aca="false">IF(ISNUMBER(I40),(4-I40)*H40*IF(E40="M",1.5,1),"")</f>
        <v/>
      </c>
      <c r="N40" s="43" t="str">
        <f aca="false">IF(M40="","",IF(M40&gt;=9,"High",IF(M40&gt;=4,"Medium","Low")))</f>
        <v/>
      </c>
      <c r="O40" s="43" t="str">
        <f aca="false">IF(NOT(ISNUMBER(I40)),IF(I40="NA","N/A","Not scored"),IF(E40="M",IF(I40&gt;=3,"Compliant","Non-compliant"),IF(I40&gt;=3,"Meets GP","Below GP")))</f>
        <v>Not scored</v>
      </c>
      <c r="P40" s="10" t="s">
        <v>295</v>
      </c>
      <c r="Q40" s="44" t="n">
        <f aca="false">IF(ISNUMBER(I40),I40*H40,0)</f>
        <v>0</v>
      </c>
      <c r="R40" s="44" t="n">
        <f aca="false">IF(ISNUMBER(I40),4*H40,0)</f>
        <v>0</v>
      </c>
      <c r="S40" s="44" t="n">
        <f aca="false">IF(ISNUMBER(I40),1,0)</f>
        <v>0</v>
      </c>
      <c r="T40" s="44" t="n">
        <f aca="false">IF(AND(E40="M",ISNUMBER(I40)),1,0)</f>
        <v>0</v>
      </c>
      <c r="U40" s="44" t="n">
        <f aca="false">IF(AND(E40="M",ISNUMBER(I40)),IF(I40&gt;=3,1,0),0)</f>
        <v>0</v>
      </c>
      <c r="V40" s="1"/>
      <c r="W40" s="1"/>
      <c r="X40" s="1"/>
      <c r="Y40" s="1"/>
      <c r="Z40" s="1"/>
    </row>
    <row r="41" customFormat="false" ht="30.75" hidden="false" customHeight="true" outlineLevel="0" collapsed="false">
      <c r="A41" s="41" t="s">
        <v>317</v>
      </c>
      <c r="B41" s="41" t="s">
        <v>92</v>
      </c>
      <c r="C41" s="10" t="s">
        <v>318</v>
      </c>
      <c r="D41" s="10" t="s">
        <v>319</v>
      </c>
      <c r="E41" s="41" t="s">
        <v>166</v>
      </c>
      <c r="F41" s="10" t="s">
        <v>320</v>
      </c>
      <c r="G41" s="41" t="s">
        <v>168</v>
      </c>
      <c r="H41" s="41" t="n">
        <v>2</v>
      </c>
      <c r="I41" s="16"/>
      <c r="J41" s="15"/>
      <c r="K41" s="15"/>
      <c r="L41" s="15"/>
      <c r="M41" s="42" t="str">
        <f aca="false">IF(ISNUMBER(I41),(4-I41)*H41*IF(E41="M",1.5,1),"")</f>
        <v/>
      </c>
      <c r="N41" s="43" t="str">
        <f aca="false">IF(M41="","",IF(M41&gt;=9,"High",IF(M41&gt;=4,"Medium","Low")))</f>
        <v/>
      </c>
      <c r="O41" s="43" t="str">
        <f aca="false">IF(NOT(ISNUMBER(I41)),IF(I41="NA","N/A","Not scored"),IF(E41="M",IF(I41&gt;=3,"Compliant","Non-compliant"),IF(I41&gt;=3,"Meets GP","Below GP")))</f>
        <v>Not scored</v>
      </c>
      <c r="P41" s="10" t="s">
        <v>295</v>
      </c>
      <c r="Q41" s="44" t="n">
        <f aca="false">IF(ISNUMBER(I41),I41*H41,0)</f>
        <v>0</v>
      </c>
      <c r="R41" s="44" t="n">
        <f aca="false">IF(ISNUMBER(I41),4*H41,0)</f>
        <v>0</v>
      </c>
      <c r="S41" s="44" t="n">
        <f aca="false">IF(ISNUMBER(I41),1,0)</f>
        <v>0</v>
      </c>
      <c r="T41" s="44" t="n">
        <f aca="false">IF(AND(E41="M",ISNUMBER(I41)),1,0)</f>
        <v>0</v>
      </c>
      <c r="U41" s="44" t="n">
        <f aca="false">IF(AND(E41="M",ISNUMBER(I41)),IF(I41&gt;=3,1,0),0)</f>
        <v>0</v>
      </c>
      <c r="V41" s="1"/>
      <c r="W41" s="1"/>
      <c r="X41" s="1"/>
      <c r="Y41" s="1"/>
      <c r="Z41" s="1"/>
    </row>
    <row r="42" customFormat="false" ht="55.5" hidden="false" customHeight="true" outlineLevel="0" collapsed="false">
      <c r="A42" s="41" t="s">
        <v>321</v>
      </c>
      <c r="B42" s="41" t="s">
        <v>92</v>
      </c>
      <c r="C42" s="10" t="s">
        <v>322</v>
      </c>
      <c r="D42" s="10" t="s">
        <v>323</v>
      </c>
      <c r="E42" s="41" t="s">
        <v>188</v>
      </c>
      <c r="F42" s="10" t="s">
        <v>324</v>
      </c>
      <c r="G42" s="41" t="s">
        <v>179</v>
      </c>
      <c r="H42" s="41" t="n">
        <v>2</v>
      </c>
      <c r="I42" s="16"/>
      <c r="J42" s="15"/>
      <c r="K42" s="15"/>
      <c r="L42" s="15"/>
      <c r="M42" s="42" t="str">
        <f aca="false">IF(ISNUMBER(I42),(4-I42)*H42*IF(E42="M",1.5,1),"")</f>
        <v/>
      </c>
      <c r="N42" s="43" t="str">
        <f aca="false">IF(M42="","",IF(M42&gt;=9,"High",IF(M42&gt;=4,"Medium","Low")))</f>
        <v/>
      </c>
      <c r="O42" s="43" t="str">
        <f aca="false">IF(NOT(ISNUMBER(I42)),IF(I42="NA","N/A","Not scored"),IF(E42="M",IF(I42&gt;=3,"Compliant","Non-compliant"),IF(I42&gt;=3,"Meets GP","Below GP")))</f>
        <v>Not scored</v>
      </c>
      <c r="P42" s="10" t="s">
        <v>295</v>
      </c>
      <c r="Q42" s="44" t="n">
        <f aca="false">IF(ISNUMBER(I42),I42*H42,0)</f>
        <v>0</v>
      </c>
      <c r="R42" s="44" t="n">
        <f aca="false">IF(ISNUMBER(I42),4*H42,0)</f>
        <v>0</v>
      </c>
      <c r="S42" s="44" t="n">
        <f aca="false">IF(ISNUMBER(I42),1,0)</f>
        <v>0</v>
      </c>
      <c r="T42" s="44" t="n">
        <f aca="false">IF(AND(E42="M",ISNUMBER(I42)),1,0)</f>
        <v>0</v>
      </c>
      <c r="U42" s="44" t="n">
        <f aca="false">IF(AND(E42="M",ISNUMBER(I42)),IF(I42&gt;=3,1,0),0)</f>
        <v>0</v>
      </c>
      <c r="V42" s="1"/>
      <c r="W42" s="1"/>
      <c r="X42" s="1"/>
      <c r="Y42" s="1"/>
      <c r="Z42" s="1"/>
    </row>
    <row r="43" customFormat="false" ht="15" hidden="false" customHeight="false" outlineLevel="0" collapsed="false">
      <c r="A43" s="40" t="s">
        <v>325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43.5" hidden="false" customHeight="true" outlineLevel="0" collapsed="false">
      <c r="A44" s="41" t="s">
        <v>326</v>
      </c>
      <c r="B44" s="41" t="s">
        <v>94</v>
      </c>
      <c r="C44" s="10" t="s">
        <v>327</v>
      </c>
      <c r="D44" s="10" t="s">
        <v>328</v>
      </c>
      <c r="E44" s="41" t="s">
        <v>166</v>
      </c>
      <c r="F44" s="10" t="s">
        <v>329</v>
      </c>
      <c r="G44" s="41" t="s">
        <v>226</v>
      </c>
      <c r="H44" s="41" t="n">
        <v>3</v>
      </c>
      <c r="I44" s="16"/>
      <c r="J44" s="15"/>
      <c r="K44" s="15"/>
      <c r="L44" s="15"/>
      <c r="M44" s="42" t="str">
        <f aca="false">IF(ISNUMBER(I44),(4-I44)*H44*IF(E44="M",1.5,1),"")</f>
        <v/>
      </c>
      <c r="N44" s="43" t="str">
        <f aca="false">IF(M44="","",IF(M44&gt;=9,"High",IF(M44&gt;=4,"Medium","Low")))</f>
        <v/>
      </c>
      <c r="O44" s="43" t="str">
        <f aca="false">IF(NOT(ISNUMBER(I44)),IF(I44="NA","N/A","Not scored"),IF(E44="M",IF(I44&gt;=3,"Compliant","Non-compliant"),IF(I44&gt;=3,"Meets GP","Below GP")))</f>
        <v>Not scored</v>
      </c>
      <c r="P44" s="10" t="s">
        <v>330</v>
      </c>
      <c r="Q44" s="44" t="n">
        <f aca="false">IF(ISNUMBER(I44),I44*H44,0)</f>
        <v>0</v>
      </c>
      <c r="R44" s="44" t="n">
        <f aca="false">IF(ISNUMBER(I44),4*H44,0)</f>
        <v>0</v>
      </c>
      <c r="S44" s="44" t="n">
        <f aca="false">IF(ISNUMBER(I44),1,0)</f>
        <v>0</v>
      </c>
      <c r="T44" s="44" t="n">
        <f aca="false">IF(AND(E44="M",ISNUMBER(I44)),1,0)</f>
        <v>0</v>
      </c>
      <c r="U44" s="44" t="n">
        <f aca="false">IF(AND(E44="M",ISNUMBER(I44)),IF(I44&gt;=3,1,0),0)</f>
        <v>0</v>
      </c>
      <c r="V44" s="1"/>
      <c r="W44" s="1"/>
      <c r="X44" s="1"/>
      <c r="Y44" s="1"/>
      <c r="Z44" s="1"/>
    </row>
    <row r="45" customFormat="false" ht="43.5" hidden="false" customHeight="true" outlineLevel="0" collapsed="false">
      <c r="A45" s="41" t="s">
        <v>331</v>
      </c>
      <c r="B45" s="41" t="s">
        <v>94</v>
      </c>
      <c r="C45" s="10" t="s">
        <v>332</v>
      </c>
      <c r="D45" s="10" t="s">
        <v>333</v>
      </c>
      <c r="E45" s="41" t="s">
        <v>166</v>
      </c>
      <c r="F45" s="10" t="s">
        <v>334</v>
      </c>
      <c r="G45" s="41" t="s">
        <v>168</v>
      </c>
      <c r="H45" s="41" t="n">
        <v>3</v>
      </c>
      <c r="I45" s="16"/>
      <c r="J45" s="15"/>
      <c r="K45" s="15"/>
      <c r="L45" s="15"/>
      <c r="M45" s="42" t="str">
        <f aca="false">IF(ISNUMBER(I45),(4-I45)*H45*IF(E45="M",1.5,1),"")</f>
        <v/>
      </c>
      <c r="N45" s="43" t="str">
        <f aca="false">IF(M45="","",IF(M45&gt;=9,"High",IF(M45&gt;=4,"Medium","Low")))</f>
        <v/>
      </c>
      <c r="O45" s="43" t="str">
        <f aca="false">IF(NOT(ISNUMBER(I45)),IF(I45="NA","N/A","Not scored"),IF(E45="M",IF(I45&gt;=3,"Compliant","Non-compliant"),IF(I45&gt;=3,"Meets GP","Below GP")))</f>
        <v>Not scored</v>
      </c>
      <c r="P45" s="10" t="s">
        <v>262</v>
      </c>
      <c r="Q45" s="44" t="n">
        <f aca="false">IF(ISNUMBER(I45),I45*H45,0)</f>
        <v>0</v>
      </c>
      <c r="R45" s="44" t="n">
        <f aca="false">IF(ISNUMBER(I45),4*H45,0)</f>
        <v>0</v>
      </c>
      <c r="S45" s="44" t="n">
        <f aca="false">IF(ISNUMBER(I45),1,0)</f>
        <v>0</v>
      </c>
      <c r="T45" s="44" t="n">
        <f aca="false">IF(AND(E45="M",ISNUMBER(I45)),1,0)</f>
        <v>0</v>
      </c>
      <c r="U45" s="44" t="n">
        <f aca="false">IF(AND(E45="M",ISNUMBER(I45)),IF(I45&gt;=3,1,0),0)</f>
        <v>0</v>
      </c>
      <c r="V45" s="1"/>
      <c r="W45" s="1"/>
      <c r="X45" s="1"/>
      <c r="Y45" s="1"/>
      <c r="Z45" s="1"/>
    </row>
    <row r="46" customFormat="false" ht="43.5" hidden="false" customHeight="true" outlineLevel="0" collapsed="false">
      <c r="A46" s="41" t="s">
        <v>335</v>
      </c>
      <c r="B46" s="41" t="s">
        <v>94</v>
      </c>
      <c r="C46" s="10" t="s">
        <v>336</v>
      </c>
      <c r="D46" s="10" t="s">
        <v>337</v>
      </c>
      <c r="E46" s="41" t="s">
        <v>166</v>
      </c>
      <c r="F46" s="10" t="s">
        <v>338</v>
      </c>
      <c r="G46" s="41" t="s">
        <v>226</v>
      </c>
      <c r="H46" s="41" t="n">
        <v>2</v>
      </c>
      <c r="I46" s="16"/>
      <c r="J46" s="15"/>
      <c r="K46" s="15"/>
      <c r="L46" s="15"/>
      <c r="M46" s="42" t="str">
        <f aca="false">IF(ISNUMBER(I46),(4-I46)*H46*IF(E46="M",1.5,1),"")</f>
        <v/>
      </c>
      <c r="N46" s="43" t="str">
        <f aca="false">IF(M46="","",IF(M46&gt;=9,"High",IF(M46&gt;=4,"Medium","Low")))</f>
        <v/>
      </c>
      <c r="O46" s="43" t="str">
        <f aca="false">IF(NOT(ISNUMBER(I46)),IF(I46="NA","N/A","Not scored"),IF(E46="M",IF(I46&gt;=3,"Compliant","Non-compliant"),IF(I46&gt;=3,"Meets GP","Below GP")))</f>
        <v>Not scored</v>
      </c>
      <c r="P46" s="10" t="s">
        <v>330</v>
      </c>
      <c r="Q46" s="44" t="n">
        <f aca="false">IF(ISNUMBER(I46),I46*H46,0)</f>
        <v>0</v>
      </c>
      <c r="R46" s="44" t="n">
        <f aca="false">IF(ISNUMBER(I46),4*H46,0)</f>
        <v>0</v>
      </c>
      <c r="S46" s="44" t="n">
        <f aca="false">IF(ISNUMBER(I46),1,0)</f>
        <v>0</v>
      </c>
      <c r="T46" s="44" t="n">
        <f aca="false">IF(AND(E46="M",ISNUMBER(I46)),1,0)</f>
        <v>0</v>
      </c>
      <c r="U46" s="44" t="n">
        <f aca="false">IF(AND(E46="M",ISNUMBER(I46)),IF(I46&gt;=3,1,0),0)</f>
        <v>0</v>
      </c>
      <c r="V46" s="1"/>
      <c r="W46" s="1"/>
      <c r="X46" s="1"/>
      <c r="Y46" s="1"/>
      <c r="Z46" s="1"/>
    </row>
    <row r="47" customFormat="false" ht="43.5" hidden="false" customHeight="true" outlineLevel="0" collapsed="false">
      <c r="A47" s="41" t="s">
        <v>339</v>
      </c>
      <c r="B47" s="41" t="s">
        <v>94</v>
      </c>
      <c r="C47" s="10" t="s">
        <v>340</v>
      </c>
      <c r="D47" s="10" t="s">
        <v>341</v>
      </c>
      <c r="E47" s="41" t="s">
        <v>188</v>
      </c>
      <c r="F47" s="10" t="s">
        <v>342</v>
      </c>
      <c r="G47" s="41" t="s">
        <v>226</v>
      </c>
      <c r="H47" s="41" t="n">
        <v>2</v>
      </c>
      <c r="I47" s="16"/>
      <c r="J47" s="15"/>
      <c r="K47" s="15"/>
      <c r="L47" s="15"/>
      <c r="M47" s="42" t="str">
        <f aca="false">IF(ISNUMBER(I47),(4-I47)*H47*IF(E47="M",1.5,1),"")</f>
        <v/>
      </c>
      <c r="N47" s="43" t="str">
        <f aca="false">IF(M47="","",IF(M47&gt;=9,"High",IF(M47&gt;=4,"Medium","Low")))</f>
        <v/>
      </c>
      <c r="O47" s="43" t="str">
        <f aca="false">IF(NOT(ISNUMBER(I47)),IF(I47="NA","N/A","Not scored"),IF(E47="M",IF(I47&gt;=3,"Compliant","Non-compliant"),IF(I47&gt;=3,"Meets GP","Below GP")))</f>
        <v>Not scored</v>
      </c>
      <c r="P47" s="10" t="s">
        <v>343</v>
      </c>
      <c r="Q47" s="44" t="n">
        <f aca="false">IF(ISNUMBER(I47),I47*H47,0)</f>
        <v>0</v>
      </c>
      <c r="R47" s="44" t="n">
        <f aca="false">IF(ISNUMBER(I47),4*H47,0)</f>
        <v>0</v>
      </c>
      <c r="S47" s="44" t="n">
        <f aca="false">IF(ISNUMBER(I47),1,0)</f>
        <v>0</v>
      </c>
      <c r="T47" s="44" t="n">
        <f aca="false">IF(AND(E47="M",ISNUMBER(I47)),1,0)</f>
        <v>0</v>
      </c>
      <c r="U47" s="44" t="n">
        <f aca="false">IF(AND(E47="M",ISNUMBER(I47)),IF(I47&gt;=3,1,0),0)</f>
        <v>0</v>
      </c>
      <c r="V47" s="1"/>
      <c r="W47" s="1"/>
      <c r="X47" s="1"/>
      <c r="Y47" s="1"/>
      <c r="Z47" s="1"/>
    </row>
    <row r="48" customFormat="false" ht="43.5" hidden="false" customHeight="true" outlineLevel="0" collapsed="false">
      <c r="A48" s="41" t="s">
        <v>344</v>
      </c>
      <c r="B48" s="41" t="s">
        <v>94</v>
      </c>
      <c r="C48" s="10" t="s">
        <v>345</v>
      </c>
      <c r="D48" s="10" t="s">
        <v>346</v>
      </c>
      <c r="E48" s="41" t="s">
        <v>166</v>
      </c>
      <c r="F48" s="10" t="s">
        <v>347</v>
      </c>
      <c r="G48" s="41" t="s">
        <v>179</v>
      </c>
      <c r="H48" s="41" t="n">
        <v>2</v>
      </c>
      <c r="I48" s="16"/>
      <c r="J48" s="15"/>
      <c r="K48" s="15"/>
      <c r="L48" s="15"/>
      <c r="M48" s="42" t="str">
        <f aca="false">IF(ISNUMBER(I48),(4-I48)*H48*IF(E48="M",1.5,1),"")</f>
        <v/>
      </c>
      <c r="N48" s="43" t="str">
        <f aca="false">IF(M48="","",IF(M48&gt;=9,"High",IF(M48&gt;=4,"Medium","Low")))</f>
        <v/>
      </c>
      <c r="O48" s="43" t="str">
        <f aca="false">IF(NOT(ISNUMBER(I48)),IF(I48="NA","N/A","Not scored"),IF(E48="M",IF(I48&gt;=3,"Compliant","Non-compliant"),IF(I48&gt;=3,"Meets GP","Below GP")))</f>
        <v>Not scored</v>
      </c>
      <c r="P48" s="10" t="s">
        <v>348</v>
      </c>
      <c r="Q48" s="44" t="n">
        <f aca="false">IF(ISNUMBER(I48),I48*H48,0)</f>
        <v>0</v>
      </c>
      <c r="R48" s="44" t="n">
        <f aca="false">IF(ISNUMBER(I48),4*H48,0)</f>
        <v>0</v>
      </c>
      <c r="S48" s="44" t="n">
        <f aca="false">IF(ISNUMBER(I48),1,0)</f>
        <v>0</v>
      </c>
      <c r="T48" s="44" t="n">
        <f aca="false">IF(AND(E48="M",ISNUMBER(I48)),1,0)</f>
        <v>0</v>
      </c>
      <c r="U48" s="44" t="n">
        <f aca="false">IF(AND(E48="M",ISNUMBER(I48)),IF(I48&gt;=3,1,0),0)</f>
        <v>0</v>
      </c>
      <c r="V48" s="1"/>
      <c r="W48" s="1"/>
      <c r="X48" s="1"/>
      <c r="Y48" s="1"/>
      <c r="Z48" s="1"/>
    </row>
    <row r="49" customFormat="false" ht="30.75" hidden="false" customHeight="true" outlineLevel="0" collapsed="false">
      <c r="A49" s="41" t="s">
        <v>349</v>
      </c>
      <c r="B49" s="41" t="s">
        <v>94</v>
      </c>
      <c r="C49" s="10" t="s">
        <v>350</v>
      </c>
      <c r="D49" s="10" t="s">
        <v>351</v>
      </c>
      <c r="E49" s="41" t="s">
        <v>188</v>
      </c>
      <c r="F49" s="10" t="s">
        <v>352</v>
      </c>
      <c r="G49" s="41" t="s">
        <v>353</v>
      </c>
      <c r="H49" s="41" t="n">
        <v>1</v>
      </c>
      <c r="I49" s="16"/>
      <c r="J49" s="15"/>
      <c r="K49" s="15"/>
      <c r="L49" s="15"/>
      <c r="M49" s="42" t="str">
        <f aca="false">IF(ISNUMBER(I49),(4-I49)*H49*IF(E49="M",1.5,1),"")</f>
        <v/>
      </c>
      <c r="N49" s="43" t="str">
        <f aca="false">IF(M49="","",IF(M49&gt;=9,"High",IF(M49&gt;=4,"Medium","Low")))</f>
        <v/>
      </c>
      <c r="O49" s="43" t="str">
        <f aca="false">IF(NOT(ISNUMBER(I49)),IF(I49="NA","N/A","Not scored"),IF(E49="M",IF(I49&gt;=3,"Compliant","Non-compliant"),IF(I49&gt;=3,"Meets GP","Below GP")))</f>
        <v>Not scored</v>
      </c>
      <c r="P49" s="10" t="s">
        <v>348</v>
      </c>
      <c r="Q49" s="44" t="n">
        <f aca="false">IF(ISNUMBER(I49),I49*H49,0)</f>
        <v>0</v>
      </c>
      <c r="R49" s="44" t="n">
        <f aca="false">IF(ISNUMBER(I49),4*H49,0)</f>
        <v>0</v>
      </c>
      <c r="S49" s="44" t="n">
        <f aca="false">IF(ISNUMBER(I49),1,0)</f>
        <v>0</v>
      </c>
      <c r="T49" s="44" t="n">
        <f aca="false">IF(AND(E49="M",ISNUMBER(I49)),1,0)</f>
        <v>0</v>
      </c>
      <c r="U49" s="44" t="n">
        <f aca="false">IF(AND(E49="M",ISNUMBER(I49)),IF(I49&gt;=3,1,0),0)</f>
        <v>0</v>
      </c>
      <c r="V49" s="1"/>
      <c r="W49" s="1"/>
      <c r="X49" s="1"/>
      <c r="Y49" s="1"/>
      <c r="Z49" s="1"/>
    </row>
    <row r="50" customFormat="false" ht="55.5" hidden="false" customHeight="true" outlineLevel="0" collapsed="false">
      <c r="A50" s="41" t="s">
        <v>354</v>
      </c>
      <c r="B50" s="41" t="s">
        <v>94</v>
      </c>
      <c r="C50" s="10" t="s">
        <v>355</v>
      </c>
      <c r="D50" s="10" t="s">
        <v>356</v>
      </c>
      <c r="E50" s="41" t="s">
        <v>188</v>
      </c>
      <c r="F50" s="10" t="s">
        <v>357</v>
      </c>
      <c r="G50" s="41" t="s">
        <v>226</v>
      </c>
      <c r="H50" s="41" t="n">
        <v>2</v>
      </c>
      <c r="I50" s="16"/>
      <c r="J50" s="15"/>
      <c r="K50" s="15"/>
      <c r="L50" s="15"/>
      <c r="M50" s="42" t="str">
        <f aca="false">IF(ISNUMBER(I50),(4-I50)*H50*IF(E50="M",1.5,1),"")</f>
        <v/>
      </c>
      <c r="N50" s="43" t="str">
        <f aca="false">IF(M50="","",IF(M50&gt;=9,"High",IF(M50&gt;=4,"Medium","Low")))</f>
        <v/>
      </c>
      <c r="O50" s="43" t="str">
        <f aca="false">IF(NOT(ISNUMBER(I50)),IF(I50="NA","N/A","Not scored"),IF(E50="M",IF(I50&gt;=3,"Compliant","Non-compliant"),IF(I50&gt;=3,"Meets GP","Below GP")))</f>
        <v>Not scored</v>
      </c>
      <c r="P50" s="10" t="s">
        <v>348</v>
      </c>
      <c r="Q50" s="44" t="n">
        <f aca="false">IF(ISNUMBER(I50),I50*H50,0)</f>
        <v>0</v>
      </c>
      <c r="R50" s="44" t="n">
        <f aca="false">IF(ISNUMBER(I50),4*H50,0)</f>
        <v>0</v>
      </c>
      <c r="S50" s="44" t="n">
        <f aca="false">IF(ISNUMBER(I50),1,0)</f>
        <v>0</v>
      </c>
      <c r="T50" s="44" t="n">
        <f aca="false">IF(AND(E50="M",ISNUMBER(I50)),1,0)</f>
        <v>0</v>
      </c>
      <c r="U50" s="44" t="n">
        <f aca="false">IF(AND(E50="M",ISNUMBER(I50)),IF(I50&gt;=3,1,0),0)</f>
        <v>0</v>
      </c>
      <c r="V50" s="1"/>
      <c r="W50" s="1"/>
      <c r="X50" s="1"/>
      <c r="Y50" s="1"/>
      <c r="Z50" s="1"/>
    </row>
    <row r="51" customFormat="false" ht="68.25" hidden="false" customHeight="true" outlineLevel="0" collapsed="false">
      <c r="A51" s="41" t="s">
        <v>358</v>
      </c>
      <c r="B51" s="41" t="s">
        <v>94</v>
      </c>
      <c r="C51" s="10" t="s">
        <v>359</v>
      </c>
      <c r="D51" s="10" t="s">
        <v>360</v>
      </c>
      <c r="E51" s="41" t="s">
        <v>188</v>
      </c>
      <c r="F51" s="10" t="s">
        <v>361</v>
      </c>
      <c r="G51" s="41" t="s">
        <v>168</v>
      </c>
      <c r="H51" s="41" t="n">
        <v>2</v>
      </c>
      <c r="I51" s="16"/>
      <c r="J51" s="15"/>
      <c r="K51" s="15"/>
      <c r="L51" s="15"/>
      <c r="M51" s="42" t="str">
        <f aca="false">IF(ISNUMBER(I51),(4-I51)*H51*IF(E51="M",1.5,1),"")</f>
        <v/>
      </c>
      <c r="N51" s="43" t="str">
        <f aca="false">IF(M51="","",IF(M51&gt;=9,"High",IF(M51&gt;=4,"Medium","Low")))</f>
        <v/>
      </c>
      <c r="O51" s="43" t="str">
        <f aca="false">IF(NOT(ISNUMBER(I51)),IF(I51="NA","N/A","Not scored"),IF(E51="M",IF(I51&gt;=3,"Compliant","Non-compliant"),IF(I51&gt;=3,"Meets GP","Below GP")))</f>
        <v>Not scored</v>
      </c>
      <c r="P51" s="10" t="s">
        <v>267</v>
      </c>
      <c r="Q51" s="44" t="n">
        <f aca="false">IF(ISNUMBER(I51),I51*H51,0)</f>
        <v>0</v>
      </c>
      <c r="R51" s="44" t="n">
        <f aca="false">IF(ISNUMBER(I51),4*H51,0)</f>
        <v>0</v>
      </c>
      <c r="S51" s="44" t="n">
        <f aca="false">IF(ISNUMBER(I51),1,0)</f>
        <v>0</v>
      </c>
      <c r="T51" s="44" t="n">
        <f aca="false">IF(AND(E51="M",ISNUMBER(I51)),1,0)</f>
        <v>0</v>
      </c>
      <c r="U51" s="44" t="n">
        <f aca="false">IF(AND(E51="M",ISNUMBER(I51)),IF(I51&gt;=3,1,0),0)</f>
        <v>0</v>
      </c>
      <c r="V51" s="1"/>
      <c r="W51" s="1"/>
      <c r="X51" s="1"/>
      <c r="Y51" s="1"/>
      <c r="Z51" s="1"/>
    </row>
    <row r="52" customFormat="false" ht="43.5" hidden="false" customHeight="true" outlineLevel="0" collapsed="false">
      <c r="A52" s="41" t="s">
        <v>362</v>
      </c>
      <c r="B52" s="41" t="s">
        <v>94</v>
      </c>
      <c r="C52" s="10" t="s">
        <v>363</v>
      </c>
      <c r="D52" s="10" t="s">
        <v>364</v>
      </c>
      <c r="E52" s="41" t="s">
        <v>188</v>
      </c>
      <c r="F52" s="10" t="s">
        <v>365</v>
      </c>
      <c r="G52" s="41" t="s">
        <v>168</v>
      </c>
      <c r="H52" s="41" t="n">
        <v>1</v>
      </c>
      <c r="I52" s="16"/>
      <c r="J52" s="15"/>
      <c r="K52" s="15"/>
      <c r="L52" s="15"/>
      <c r="M52" s="42" t="str">
        <f aca="false">IF(ISNUMBER(I52),(4-I52)*H52*IF(E52="M",1.5,1),"")</f>
        <v/>
      </c>
      <c r="N52" s="43" t="str">
        <f aca="false">IF(M52="","",IF(M52&gt;=9,"High",IF(M52&gt;=4,"Medium","Low")))</f>
        <v/>
      </c>
      <c r="O52" s="43" t="str">
        <f aca="false">IF(NOT(ISNUMBER(I52)),IF(I52="NA","N/A","Not scored"),IF(E52="M",IF(I52&gt;=3,"Compliant","Non-compliant"),IF(I52&gt;=3,"Meets GP","Below GP")))</f>
        <v>Not scored</v>
      </c>
      <c r="P52" s="10" t="s">
        <v>348</v>
      </c>
      <c r="Q52" s="44" t="n">
        <f aca="false">IF(ISNUMBER(I52),I52*H52,0)</f>
        <v>0</v>
      </c>
      <c r="R52" s="44" t="n">
        <f aca="false">IF(ISNUMBER(I52),4*H52,0)</f>
        <v>0</v>
      </c>
      <c r="S52" s="44" t="n">
        <f aca="false">IF(ISNUMBER(I52),1,0)</f>
        <v>0</v>
      </c>
      <c r="T52" s="44" t="n">
        <f aca="false">IF(AND(E52="M",ISNUMBER(I52)),1,0)</f>
        <v>0</v>
      </c>
      <c r="U52" s="44" t="n">
        <f aca="false">IF(AND(E52="M",ISNUMBER(I52)),IF(I52&gt;=3,1,0),0)</f>
        <v>0</v>
      </c>
      <c r="V52" s="1"/>
      <c r="W52" s="1"/>
      <c r="X52" s="1"/>
      <c r="Y52" s="1"/>
      <c r="Z52" s="1"/>
    </row>
    <row r="53" customFormat="false" ht="15" hidden="false" customHeight="false" outlineLevel="0" collapsed="false">
      <c r="A53" s="40" t="s">
        <v>366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43.5" hidden="false" customHeight="true" outlineLevel="0" collapsed="false">
      <c r="A54" s="41" t="s">
        <v>367</v>
      </c>
      <c r="B54" s="41" t="s">
        <v>96</v>
      </c>
      <c r="C54" s="10" t="s">
        <v>368</v>
      </c>
      <c r="D54" s="10" t="s">
        <v>369</v>
      </c>
      <c r="E54" s="41" t="s">
        <v>166</v>
      </c>
      <c r="F54" s="10" t="s">
        <v>370</v>
      </c>
      <c r="G54" s="41" t="s">
        <v>371</v>
      </c>
      <c r="H54" s="41" t="n">
        <v>3</v>
      </c>
      <c r="I54" s="16"/>
      <c r="J54" s="15"/>
      <c r="K54" s="15"/>
      <c r="L54" s="15"/>
      <c r="M54" s="42" t="str">
        <f aca="false">IF(ISNUMBER(I54),(4-I54)*H54*IF(E54="M",1.5,1),"")</f>
        <v/>
      </c>
      <c r="N54" s="43" t="str">
        <f aca="false">IF(M54="","",IF(M54&gt;=9,"High",IF(M54&gt;=4,"Medium","Low")))</f>
        <v/>
      </c>
      <c r="O54" s="43" t="str">
        <f aca="false">IF(NOT(ISNUMBER(I54)),IF(I54="NA","N/A","Not scored"),IF(E54="M",IF(I54&gt;=3,"Compliant","Non-compliant"),IF(I54&gt;=3,"Meets GP","Below GP")))</f>
        <v>Not scored</v>
      </c>
      <c r="P54" s="10" t="s">
        <v>282</v>
      </c>
      <c r="Q54" s="44" t="n">
        <f aca="false">IF(ISNUMBER(I54),I54*H54,0)</f>
        <v>0</v>
      </c>
      <c r="R54" s="44" t="n">
        <f aca="false">IF(ISNUMBER(I54),4*H54,0)</f>
        <v>0</v>
      </c>
      <c r="S54" s="44" t="n">
        <f aca="false">IF(ISNUMBER(I54),1,0)</f>
        <v>0</v>
      </c>
      <c r="T54" s="44" t="n">
        <f aca="false">IF(AND(E54="M",ISNUMBER(I54)),1,0)</f>
        <v>0</v>
      </c>
      <c r="U54" s="44" t="n">
        <f aca="false">IF(AND(E54="M",ISNUMBER(I54)),IF(I54&gt;=3,1,0),0)</f>
        <v>0</v>
      </c>
      <c r="V54" s="1"/>
      <c r="W54" s="1"/>
      <c r="X54" s="1"/>
      <c r="Y54" s="1"/>
      <c r="Z54" s="1"/>
    </row>
    <row r="55" customFormat="false" ht="68.25" hidden="false" customHeight="true" outlineLevel="0" collapsed="false">
      <c r="A55" s="41" t="s">
        <v>372</v>
      </c>
      <c r="B55" s="41" t="s">
        <v>96</v>
      </c>
      <c r="C55" s="10" t="s">
        <v>373</v>
      </c>
      <c r="D55" s="10" t="s">
        <v>374</v>
      </c>
      <c r="E55" s="41" t="s">
        <v>166</v>
      </c>
      <c r="F55" s="10" t="s">
        <v>375</v>
      </c>
      <c r="G55" s="41" t="s">
        <v>168</v>
      </c>
      <c r="H55" s="41" t="n">
        <v>3</v>
      </c>
      <c r="I55" s="16"/>
      <c r="J55" s="15"/>
      <c r="K55" s="15"/>
      <c r="L55" s="15"/>
      <c r="M55" s="42" t="str">
        <f aca="false">IF(ISNUMBER(I55),(4-I55)*H55*IF(E55="M",1.5,1),"")</f>
        <v/>
      </c>
      <c r="N55" s="43" t="str">
        <f aca="false">IF(M55="","",IF(M55&gt;=9,"High",IF(M55&gt;=4,"Medium","Low")))</f>
        <v/>
      </c>
      <c r="O55" s="43" t="str">
        <f aca="false">IF(NOT(ISNUMBER(I55)),IF(I55="NA","N/A","Not scored"),IF(E55="M",IF(I55&gt;=3,"Compliant","Non-compliant"),IF(I55&gt;=3,"Meets GP","Below GP")))</f>
        <v>Not scored</v>
      </c>
      <c r="P55" s="10" t="s">
        <v>376</v>
      </c>
      <c r="Q55" s="44" t="n">
        <f aca="false">IF(ISNUMBER(I55),I55*H55,0)</f>
        <v>0</v>
      </c>
      <c r="R55" s="44" t="n">
        <f aca="false">IF(ISNUMBER(I55),4*H55,0)</f>
        <v>0</v>
      </c>
      <c r="S55" s="44" t="n">
        <f aca="false">IF(ISNUMBER(I55),1,0)</f>
        <v>0</v>
      </c>
      <c r="T55" s="44" t="n">
        <f aca="false">IF(AND(E55="M",ISNUMBER(I55)),1,0)</f>
        <v>0</v>
      </c>
      <c r="U55" s="44" t="n">
        <f aca="false">IF(AND(E55="M",ISNUMBER(I55)),IF(I55&gt;=3,1,0),0)</f>
        <v>0</v>
      </c>
      <c r="V55" s="1"/>
      <c r="W55" s="1"/>
      <c r="X55" s="1"/>
      <c r="Y55" s="1"/>
      <c r="Z55" s="1"/>
    </row>
    <row r="56" customFormat="false" ht="43.5" hidden="false" customHeight="true" outlineLevel="0" collapsed="false">
      <c r="A56" s="41" t="s">
        <v>377</v>
      </c>
      <c r="B56" s="41" t="s">
        <v>96</v>
      </c>
      <c r="C56" s="10" t="s">
        <v>378</v>
      </c>
      <c r="D56" s="10" t="s">
        <v>379</v>
      </c>
      <c r="E56" s="41" t="s">
        <v>166</v>
      </c>
      <c r="F56" s="10" t="s">
        <v>380</v>
      </c>
      <c r="G56" s="41" t="s">
        <v>381</v>
      </c>
      <c r="H56" s="41" t="n">
        <v>3</v>
      </c>
      <c r="I56" s="16"/>
      <c r="J56" s="15"/>
      <c r="K56" s="15"/>
      <c r="L56" s="15"/>
      <c r="M56" s="42" t="str">
        <f aca="false">IF(ISNUMBER(I56),(4-I56)*H56*IF(E56="M",1.5,1),"")</f>
        <v/>
      </c>
      <c r="N56" s="43" t="str">
        <f aca="false">IF(M56="","",IF(M56&gt;=9,"High",IF(M56&gt;=4,"Medium","Low")))</f>
        <v/>
      </c>
      <c r="O56" s="43" t="str">
        <f aca="false">IF(NOT(ISNUMBER(I56)),IF(I56="NA","N/A","Not scored"),IF(E56="M",IF(I56&gt;=3,"Compliant","Non-compliant"),IF(I56&gt;=3,"Meets GP","Below GP")))</f>
        <v>Not scored</v>
      </c>
      <c r="P56" s="10" t="s">
        <v>382</v>
      </c>
      <c r="Q56" s="44" t="n">
        <f aca="false">IF(ISNUMBER(I56),I56*H56,0)</f>
        <v>0</v>
      </c>
      <c r="R56" s="44" t="n">
        <f aca="false">IF(ISNUMBER(I56),4*H56,0)</f>
        <v>0</v>
      </c>
      <c r="S56" s="44" t="n">
        <f aca="false">IF(ISNUMBER(I56),1,0)</f>
        <v>0</v>
      </c>
      <c r="T56" s="44" t="n">
        <f aca="false">IF(AND(E56="M",ISNUMBER(I56)),1,0)</f>
        <v>0</v>
      </c>
      <c r="U56" s="44" t="n">
        <f aca="false">IF(AND(E56="M",ISNUMBER(I56)),IF(I56&gt;=3,1,0),0)</f>
        <v>0</v>
      </c>
      <c r="V56" s="1"/>
      <c r="W56" s="1"/>
      <c r="X56" s="1"/>
      <c r="Y56" s="1"/>
      <c r="Z56" s="1"/>
    </row>
    <row r="57" customFormat="false" ht="43.5" hidden="false" customHeight="true" outlineLevel="0" collapsed="false">
      <c r="A57" s="41" t="s">
        <v>383</v>
      </c>
      <c r="B57" s="41" t="s">
        <v>96</v>
      </c>
      <c r="C57" s="10" t="s">
        <v>384</v>
      </c>
      <c r="D57" s="10" t="s">
        <v>385</v>
      </c>
      <c r="E57" s="41" t="s">
        <v>188</v>
      </c>
      <c r="F57" s="10" t="s">
        <v>386</v>
      </c>
      <c r="G57" s="41" t="s">
        <v>168</v>
      </c>
      <c r="H57" s="41" t="n">
        <v>2</v>
      </c>
      <c r="I57" s="16"/>
      <c r="J57" s="15"/>
      <c r="K57" s="15"/>
      <c r="L57" s="15"/>
      <c r="M57" s="42" t="str">
        <f aca="false">IF(ISNUMBER(I57),(4-I57)*H57*IF(E57="M",1.5,1),"")</f>
        <v/>
      </c>
      <c r="N57" s="43" t="str">
        <f aca="false">IF(M57="","",IF(M57&gt;=9,"High",IF(M57&gt;=4,"Medium","Low")))</f>
        <v/>
      </c>
      <c r="O57" s="43" t="str">
        <f aca="false">IF(NOT(ISNUMBER(I57)),IF(I57="NA","N/A","Not scored"),IF(E57="M",IF(I57&gt;=3,"Compliant","Non-compliant"),IF(I57&gt;=3,"Meets GP","Below GP")))</f>
        <v>Not scored</v>
      </c>
      <c r="P57" s="10" t="s">
        <v>382</v>
      </c>
      <c r="Q57" s="44" t="n">
        <f aca="false">IF(ISNUMBER(I57),I57*H57,0)</f>
        <v>0</v>
      </c>
      <c r="R57" s="44" t="n">
        <f aca="false">IF(ISNUMBER(I57),4*H57,0)</f>
        <v>0</v>
      </c>
      <c r="S57" s="44" t="n">
        <f aca="false">IF(ISNUMBER(I57),1,0)</f>
        <v>0</v>
      </c>
      <c r="T57" s="44" t="n">
        <f aca="false">IF(AND(E57="M",ISNUMBER(I57)),1,0)</f>
        <v>0</v>
      </c>
      <c r="U57" s="44" t="n">
        <f aca="false">IF(AND(E57="M",ISNUMBER(I57)),IF(I57&gt;=3,1,0),0)</f>
        <v>0</v>
      </c>
      <c r="V57" s="1"/>
      <c r="W57" s="1"/>
      <c r="X57" s="1"/>
      <c r="Y57" s="1"/>
      <c r="Z57" s="1"/>
    </row>
    <row r="58" customFormat="false" ht="43.5" hidden="false" customHeight="true" outlineLevel="0" collapsed="false">
      <c r="A58" s="41" t="s">
        <v>387</v>
      </c>
      <c r="B58" s="41" t="s">
        <v>96</v>
      </c>
      <c r="C58" s="10" t="s">
        <v>388</v>
      </c>
      <c r="D58" s="10" t="s">
        <v>389</v>
      </c>
      <c r="E58" s="41" t="s">
        <v>188</v>
      </c>
      <c r="F58" s="10" t="s">
        <v>390</v>
      </c>
      <c r="G58" s="41" t="s">
        <v>179</v>
      </c>
      <c r="H58" s="41" t="n">
        <v>1</v>
      </c>
      <c r="I58" s="16"/>
      <c r="J58" s="15"/>
      <c r="K58" s="15"/>
      <c r="L58" s="15"/>
      <c r="M58" s="42" t="str">
        <f aca="false">IF(ISNUMBER(I58),(4-I58)*H58*IF(E58="M",1.5,1),"")</f>
        <v/>
      </c>
      <c r="N58" s="43" t="str">
        <f aca="false">IF(M58="","",IF(M58&gt;=9,"High",IF(M58&gt;=4,"Medium","Low")))</f>
        <v/>
      </c>
      <c r="O58" s="43" t="str">
        <f aca="false">IF(NOT(ISNUMBER(I58)),IF(I58="NA","N/A","Not scored"),IF(E58="M",IF(I58&gt;=3,"Compliant","Non-compliant"),IF(I58&gt;=3,"Meets GP","Below GP")))</f>
        <v>Not scored</v>
      </c>
      <c r="P58" s="10" t="s">
        <v>391</v>
      </c>
      <c r="Q58" s="44" t="n">
        <f aca="false">IF(ISNUMBER(I58),I58*H58,0)</f>
        <v>0</v>
      </c>
      <c r="R58" s="44" t="n">
        <f aca="false">IF(ISNUMBER(I58),4*H58,0)</f>
        <v>0</v>
      </c>
      <c r="S58" s="44" t="n">
        <f aca="false">IF(ISNUMBER(I58),1,0)</f>
        <v>0</v>
      </c>
      <c r="T58" s="44" t="n">
        <f aca="false">IF(AND(E58="M",ISNUMBER(I58)),1,0)</f>
        <v>0</v>
      </c>
      <c r="U58" s="44" t="n">
        <f aca="false">IF(AND(E58="M",ISNUMBER(I58)),IF(I58&gt;=3,1,0),0)</f>
        <v>0</v>
      </c>
      <c r="V58" s="1"/>
      <c r="W58" s="1"/>
      <c r="X58" s="1"/>
      <c r="Y58" s="1"/>
      <c r="Z58" s="1"/>
    </row>
    <row r="59" customFormat="false" ht="30.75" hidden="false" customHeight="true" outlineLevel="0" collapsed="false">
      <c r="A59" s="41" t="s">
        <v>392</v>
      </c>
      <c r="B59" s="41" t="s">
        <v>96</v>
      </c>
      <c r="C59" s="10" t="s">
        <v>393</v>
      </c>
      <c r="D59" s="10" t="s">
        <v>394</v>
      </c>
      <c r="E59" s="41" t="s">
        <v>188</v>
      </c>
      <c r="F59" s="10" t="s">
        <v>395</v>
      </c>
      <c r="G59" s="41" t="s">
        <v>168</v>
      </c>
      <c r="H59" s="41" t="n">
        <v>1</v>
      </c>
      <c r="I59" s="16"/>
      <c r="J59" s="15"/>
      <c r="K59" s="15"/>
      <c r="L59" s="15"/>
      <c r="M59" s="42" t="str">
        <f aca="false">IF(ISNUMBER(I59),(4-I59)*H59*IF(E59="M",1.5,1),"")</f>
        <v/>
      </c>
      <c r="N59" s="43" t="str">
        <f aca="false">IF(M59="","",IF(M59&gt;=9,"High",IF(M59&gt;=4,"Medium","Low")))</f>
        <v/>
      </c>
      <c r="O59" s="43" t="str">
        <f aca="false">IF(NOT(ISNUMBER(I59)),IF(I59="NA","N/A","Not scored"),IF(E59="M",IF(I59&gt;=3,"Compliant","Non-compliant"),IF(I59&gt;=3,"Meets GP","Below GP")))</f>
        <v>Not scored</v>
      </c>
      <c r="P59" s="10" t="s">
        <v>242</v>
      </c>
      <c r="Q59" s="44" t="n">
        <f aca="false">IF(ISNUMBER(I59),I59*H59,0)</f>
        <v>0</v>
      </c>
      <c r="R59" s="44" t="n">
        <f aca="false">IF(ISNUMBER(I59),4*H59,0)</f>
        <v>0</v>
      </c>
      <c r="S59" s="44" t="n">
        <f aca="false">IF(ISNUMBER(I59),1,0)</f>
        <v>0</v>
      </c>
      <c r="T59" s="44" t="n">
        <f aca="false">IF(AND(E59="M",ISNUMBER(I59)),1,0)</f>
        <v>0</v>
      </c>
      <c r="U59" s="44" t="n">
        <f aca="false">IF(AND(E59="M",ISNUMBER(I59)),IF(I59&gt;=3,1,0),0)</f>
        <v>0</v>
      </c>
      <c r="V59" s="1"/>
      <c r="W59" s="1"/>
      <c r="X59" s="1"/>
      <c r="Y59" s="1"/>
      <c r="Z59" s="1"/>
    </row>
    <row r="60" customFormat="false" ht="68.25" hidden="false" customHeight="true" outlineLevel="0" collapsed="false">
      <c r="A60" s="41" t="s">
        <v>396</v>
      </c>
      <c r="B60" s="41" t="s">
        <v>96</v>
      </c>
      <c r="C60" s="10" t="s">
        <v>397</v>
      </c>
      <c r="D60" s="10" t="s">
        <v>398</v>
      </c>
      <c r="E60" s="41" t="s">
        <v>166</v>
      </c>
      <c r="F60" s="10" t="s">
        <v>399</v>
      </c>
      <c r="G60" s="41" t="s">
        <v>168</v>
      </c>
      <c r="H60" s="41" t="n">
        <v>2</v>
      </c>
      <c r="I60" s="16"/>
      <c r="J60" s="15"/>
      <c r="K60" s="15"/>
      <c r="L60" s="15"/>
      <c r="M60" s="42" t="str">
        <f aca="false">IF(ISNUMBER(I60),(4-I60)*H60*IF(E60="M",1.5,1),"")</f>
        <v/>
      </c>
      <c r="N60" s="43" t="str">
        <f aca="false">IF(M60="","",IF(M60&gt;=9,"High",IF(M60&gt;=4,"Medium","Low")))</f>
        <v/>
      </c>
      <c r="O60" s="43" t="str">
        <f aca="false">IF(NOT(ISNUMBER(I60)),IF(I60="NA","N/A","Not scored"),IF(E60="M",IF(I60&gt;=3,"Compliant","Non-compliant"),IF(I60&gt;=3,"Meets GP","Below GP")))</f>
        <v>Not scored</v>
      </c>
      <c r="P60" s="10" t="s">
        <v>400</v>
      </c>
      <c r="Q60" s="44" t="n">
        <f aca="false">IF(ISNUMBER(I60),I60*H60,0)</f>
        <v>0</v>
      </c>
      <c r="R60" s="44" t="n">
        <f aca="false">IF(ISNUMBER(I60),4*H60,0)</f>
        <v>0</v>
      </c>
      <c r="S60" s="44" t="n">
        <f aca="false">IF(ISNUMBER(I60),1,0)</f>
        <v>0</v>
      </c>
      <c r="T60" s="44" t="n">
        <f aca="false">IF(AND(E60="M",ISNUMBER(I60)),1,0)</f>
        <v>0</v>
      </c>
      <c r="U60" s="44" t="n">
        <f aca="false">IF(AND(E60="M",ISNUMBER(I60)),IF(I60&gt;=3,1,0),0)</f>
        <v>0</v>
      </c>
      <c r="V60" s="1"/>
      <c r="W60" s="1"/>
      <c r="X60" s="1"/>
      <c r="Y60" s="1"/>
      <c r="Z60" s="1"/>
    </row>
    <row r="61" customFormat="false" ht="15" hidden="false" customHeight="false" outlineLevel="0" collapsed="false">
      <c r="A61" s="40" t="s">
        <v>401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30.75" hidden="false" customHeight="true" outlineLevel="0" collapsed="false">
      <c r="A62" s="41" t="s">
        <v>402</v>
      </c>
      <c r="B62" s="41" t="s">
        <v>98</v>
      </c>
      <c r="C62" s="10" t="s">
        <v>403</v>
      </c>
      <c r="D62" s="10" t="s">
        <v>404</v>
      </c>
      <c r="E62" s="41" t="s">
        <v>166</v>
      </c>
      <c r="F62" s="10" t="s">
        <v>405</v>
      </c>
      <c r="G62" s="41" t="s">
        <v>168</v>
      </c>
      <c r="H62" s="41" t="n">
        <v>2</v>
      </c>
      <c r="I62" s="16"/>
      <c r="J62" s="15"/>
      <c r="K62" s="15"/>
      <c r="L62" s="15"/>
      <c r="M62" s="42" t="str">
        <f aca="false">IF(ISNUMBER(I62),(4-I62)*H62*IF(E62="M",1.5,1),"")</f>
        <v/>
      </c>
      <c r="N62" s="43" t="str">
        <f aca="false">IF(M62="","",IF(M62&gt;=9,"High",IF(M62&gt;=4,"Medium","Low")))</f>
        <v/>
      </c>
      <c r="O62" s="43" t="str">
        <f aca="false">IF(NOT(ISNUMBER(I62)),IF(I62="NA","N/A","Not scored"),IF(E62="M",IF(I62&gt;=3,"Compliant","Non-compliant"),IF(I62&gt;=3,"Meets GP","Below GP")))</f>
        <v>Not scored</v>
      </c>
      <c r="P62" s="10" t="s">
        <v>232</v>
      </c>
      <c r="Q62" s="44" t="n">
        <f aca="false">IF(ISNUMBER(I62),I62*H62,0)</f>
        <v>0</v>
      </c>
      <c r="R62" s="44" t="n">
        <f aca="false">IF(ISNUMBER(I62),4*H62,0)</f>
        <v>0</v>
      </c>
      <c r="S62" s="44" t="n">
        <f aca="false">IF(ISNUMBER(I62),1,0)</f>
        <v>0</v>
      </c>
      <c r="T62" s="44" t="n">
        <f aca="false">IF(AND(E62="M",ISNUMBER(I62)),1,0)</f>
        <v>0</v>
      </c>
      <c r="U62" s="44" t="n">
        <f aca="false">IF(AND(E62="M",ISNUMBER(I62)),IF(I62&gt;=3,1,0),0)</f>
        <v>0</v>
      </c>
      <c r="V62" s="1"/>
      <c r="W62" s="1"/>
      <c r="X62" s="1"/>
      <c r="Y62" s="1"/>
      <c r="Z62" s="1"/>
    </row>
    <row r="63" customFormat="false" ht="43.5" hidden="false" customHeight="true" outlineLevel="0" collapsed="false">
      <c r="A63" s="41" t="s">
        <v>406</v>
      </c>
      <c r="B63" s="41" t="s">
        <v>98</v>
      </c>
      <c r="C63" s="10" t="s">
        <v>407</v>
      </c>
      <c r="D63" s="10" t="s">
        <v>408</v>
      </c>
      <c r="E63" s="41" t="s">
        <v>166</v>
      </c>
      <c r="F63" s="10" t="s">
        <v>409</v>
      </c>
      <c r="G63" s="41" t="s">
        <v>168</v>
      </c>
      <c r="H63" s="41" t="n">
        <v>2</v>
      </c>
      <c r="I63" s="16"/>
      <c r="J63" s="15"/>
      <c r="K63" s="15"/>
      <c r="L63" s="15"/>
      <c r="M63" s="42" t="str">
        <f aca="false">IF(ISNUMBER(I63),(4-I63)*H63*IF(E63="M",1.5,1),"")</f>
        <v/>
      </c>
      <c r="N63" s="43" t="str">
        <f aca="false">IF(M63="","",IF(M63&gt;=9,"High",IF(M63&gt;=4,"Medium","Low")))</f>
        <v/>
      </c>
      <c r="O63" s="43" t="str">
        <f aca="false">IF(NOT(ISNUMBER(I63)),IF(I63="NA","N/A","Not scored"),IF(E63="M",IF(I63&gt;=3,"Compliant","Non-compliant"),IF(I63&gt;=3,"Meets GP","Below GP")))</f>
        <v>Not scored</v>
      </c>
      <c r="P63" s="10" t="s">
        <v>242</v>
      </c>
      <c r="Q63" s="44" t="n">
        <f aca="false">IF(ISNUMBER(I63),I63*H63,0)</f>
        <v>0</v>
      </c>
      <c r="R63" s="44" t="n">
        <f aca="false">IF(ISNUMBER(I63),4*H63,0)</f>
        <v>0</v>
      </c>
      <c r="S63" s="44" t="n">
        <f aca="false">IF(ISNUMBER(I63),1,0)</f>
        <v>0</v>
      </c>
      <c r="T63" s="44" t="n">
        <f aca="false">IF(AND(E63="M",ISNUMBER(I63)),1,0)</f>
        <v>0</v>
      </c>
      <c r="U63" s="44" t="n">
        <f aca="false">IF(AND(E63="M",ISNUMBER(I63)),IF(I63&gt;=3,1,0),0)</f>
        <v>0</v>
      </c>
      <c r="V63" s="1"/>
      <c r="W63" s="1"/>
      <c r="X63" s="1"/>
      <c r="Y63" s="1"/>
      <c r="Z63" s="1"/>
    </row>
    <row r="64" customFormat="false" ht="43.5" hidden="false" customHeight="true" outlineLevel="0" collapsed="false">
      <c r="A64" s="41" t="s">
        <v>410</v>
      </c>
      <c r="B64" s="41" t="s">
        <v>98</v>
      </c>
      <c r="C64" s="10" t="s">
        <v>411</v>
      </c>
      <c r="D64" s="10" t="s">
        <v>412</v>
      </c>
      <c r="E64" s="41" t="s">
        <v>188</v>
      </c>
      <c r="F64" s="10" t="s">
        <v>413</v>
      </c>
      <c r="G64" s="41" t="s">
        <v>414</v>
      </c>
      <c r="H64" s="41" t="n">
        <v>2</v>
      </c>
      <c r="I64" s="16"/>
      <c r="J64" s="15"/>
      <c r="K64" s="15"/>
      <c r="L64" s="15"/>
      <c r="M64" s="42" t="str">
        <f aca="false">IF(ISNUMBER(I64),(4-I64)*H64*IF(E64="M",1.5,1),"")</f>
        <v/>
      </c>
      <c r="N64" s="43" t="str">
        <f aca="false">IF(M64="","",IF(M64&gt;=9,"High",IF(M64&gt;=4,"Medium","Low")))</f>
        <v/>
      </c>
      <c r="O64" s="43" t="str">
        <f aca="false">IF(NOT(ISNUMBER(I64)),IF(I64="NA","N/A","Not scored"),IF(E64="M",IF(I64&gt;=3,"Compliant","Non-compliant"),IF(I64&gt;=3,"Meets GP","Below GP")))</f>
        <v>Not scored</v>
      </c>
      <c r="P64" s="10" t="s">
        <v>242</v>
      </c>
      <c r="Q64" s="44" t="n">
        <f aca="false">IF(ISNUMBER(I64),I64*H64,0)</f>
        <v>0</v>
      </c>
      <c r="R64" s="44" t="n">
        <f aca="false">IF(ISNUMBER(I64),4*H64,0)</f>
        <v>0</v>
      </c>
      <c r="S64" s="44" t="n">
        <f aca="false">IF(ISNUMBER(I64),1,0)</f>
        <v>0</v>
      </c>
      <c r="T64" s="44" t="n">
        <f aca="false">IF(AND(E64="M",ISNUMBER(I64)),1,0)</f>
        <v>0</v>
      </c>
      <c r="U64" s="44" t="n">
        <f aca="false">IF(AND(E64="M",ISNUMBER(I64)),IF(I64&gt;=3,1,0),0)</f>
        <v>0</v>
      </c>
      <c r="V64" s="1"/>
      <c r="W64" s="1"/>
      <c r="X64" s="1"/>
      <c r="Y64" s="1"/>
      <c r="Z64" s="1"/>
    </row>
    <row r="65" customFormat="false" ht="43.5" hidden="false" customHeight="true" outlineLevel="0" collapsed="false">
      <c r="A65" s="41" t="s">
        <v>415</v>
      </c>
      <c r="B65" s="41" t="s">
        <v>98</v>
      </c>
      <c r="C65" s="10" t="s">
        <v>416</v>
      </c>
      <c r="D65" s="10" t="s">
        <v>417</v>
      </c>
      <c r="E65" s="41" t="s">
        <v>166</v>
      </c>
      <c r="F65" s="10" t="s">
        <v>418</v>
      </c>
      <c r="G65" s="41" t="s">
        <v>226</v>
      </c>
      <c r="H65" s="41" t="n">
        <v>3</v>
      </c>
      <c r="I65" s="16"/>
      <c r="J65" s="15"/>
      <c r="K65" s="15"/>
      <c r="L65" s="15"/>
      <c r="M65" s="42" t="str">
        <f aca="false">IF(ISNUMBER(I65),(4-I65)*H65*IF(E65="M",1.5,1),"")</f>
        <v/>
      </c>
      <c r="N65" s="43" t="str">
        <f aca="false">IF(M65="","",IF(M65&gt;=9,"High",IF(M65&gt;=4,"Medium","Low")))</f>
        <v/>
      </c>
      <c r="O65" s="43" t="str">
        <f aca="false">IF(NOT(ISNUMBER(I65)),IF(I65="NA","N/A","Not scored"),IF(E65="M",IF(I65&gt;=3,"Compliant","Non-compliant"),IF(I65&gt;=3,"Meets GP","Below GP")))</f>
        <v>Not scored</v>
      </c>
      <c r="P65" s="10" t="s">
        <v>419</v>
      </c>
      <c r="Q65" s="44" t="n">
        <f aca="false">IF(ISNUMBER(I65),I65*H65,0)</f>
        <v>0</v>
      </c>
      <c r="R65" s="44" t="n">
        <f aca="false">IF(ISNUMBER(I65),4*H65,0)</f>
        <v>0</v>
      </c>
      <c r="S65" s="44" t="n">
        <f aca="false">IF(ISNUMBER(I65),1,0)</f>
        <v>0</v>
      </c>
      <c r="T65" s="44" t="n">
        <f aca="false">IF(AND(E65="M",ISNUMBER(I65)),1,0)</f>
        <v>0</v>
      </c>
      <c r="U65" s="44" t="n">
        <f aca="false">IF(AND(E65="M",ISNUMBER(I65)),IF(I65&gt;=3,1,0),0)</f>
        <v>0</v>
      </c>
      <c r="V65" s="1"/>
      <c r="W65" s="1"/>
      <c r="X65" s="1"/>
      <c r="Y65" s="1"/>
      <c r="Z65" s="1"/>
    </row>
    <row r="66" customFormat="false" ht="43.5" hidden="false" customHeight="true" outlineLevel="0" collapsed="false">
      <c r="A66" s="41" t="s">
        <v>420</v>
      </c>
      <c r="B66" s="41" t="s">
        <v>98</v>
      </c>
      <c r="C66" s="10" t="s">
        <v>421</v>
      </c>
      <c r="D66" s="10" t="s">
        <v>422</v>
      </c>
      <c r="E66" s="41" t="s">
        <v>166</v>
      </c>
      <c r="F66" s="10" t="s">
        <v>423</v>
      </c>
      <c r="G66" s="41" t="s">
        <v>424</v>
      </c>
      <c r="H66" s="41" t="n">
        <v>2</v>
      </c>
      <c r="I66" s="16"/>
      <c r="J66" s="15"/>
      <c r="K66" s="15"/>
      <c r="L66" s="15"/>
      <c r="M66" s="42" t="str">
        <f aca="false">IF(ISNUMBER(I66),(4-I66)*H66*IF(E66="M",1.5,1),"")</f>
        <v/>
      </c>
      <c r="N66" s="43" t="str">
        <f aca="false">IF(M66="","",IF(M66&gt;=9,"High",IF(M66&gt;=4,"Medium","Low")))</f>
        <v/>
      </c>
      <c r="O66" s="43" t="str">
        <f aca="false">IF(NOT(ISNUMBER(I66)),IF(I66="NA","N/A","Not scored"),IF(E66="M",IF(I66&gt;=3,"Compliant","Non-compliant"),IF(I66&gt;=3,"Meets GP","Below GP")))</f>
        <v>Not scored</v>
      </c>
      <c r="P66" s="10" t="s">
        <v>425</v>
      </c>
      <c r="Q66" s="44" t="n">
        <f aca="false">IF(ISNUMBER(I66),I66*H66,0)</f>
        <v>0</v>
      </c>
      <c r="R66" s="44" t="n">
        <f aca="false">IF(ISNUMBER(I66),4*H66,0)</f>
        <v>0</v>
      </c>
      <c r="S66" s="44" t="n">
        <f aca="false">IF(ISNUMBER(I66),1,0)</f>
        <v>0</v>
      </c>
      <c r="T66" s="44" t="n">
        <f aca="false">IF(AND(E66="M",ISNUMBER(I66)),1,0)</f>
        <v>0</v>
      </c>
      <c r="U66" s="44" t="n">
        <f aca="false">IF(AND(E66="M",ISNUMBER(I66)),IF(I66&gt;=3,1,0),0)</f>
        <v>0</v>
      </c>
      <c r="V66" s="1"/>
      <c r="W66" s="1"/>
      <c r="X66" s="1"/>
      <c r="Y66" s="1"/>
      <c r="Z66" s="1"/>
    </row>
    <row r="67" customFormat="false" ht="55.5" hidden="false" customHeight="true" outlineLevel="0" collapsed="false">
      <c r="A67" s="41" t="s">
        <v>426</v>
      </c>
      <c r="B67" s="41" t="s">
        <v>98</v>
      </c>
      <c r="C67" s="10" t="s">
        <v>427</v>
      </c>
      <c r="D67" s="10" t="s">
        <v>428</v>
      </c>
      <c r="E67" s="41" t="s">
        <v>166</v>
      </c>
      <c r="F67" s="10" t="s">
        <v>429</v>
      </c>
      <c r="G67" s="41" t="s">
        <v>414</v>
      </c>
      <c r="H67" s="41" t="n">
        <v>2</v>
      </c>
      <c r="I67" s="16"/>
      <c r="J67" s="15"/>
      <c r="K67" s="15"/>
      <c r="L67" s="15"/>
      <c r="M67" s="42" t="str">
        <f aca="false">IF(ISNUMBER(I67),(4-I67)*H67*IF(E67="M",1.5,1),"")</f>
        <v/>
      </c>
      <c r="N67" s="43" t="str">
        <f aca="false">IF(M67="","",IF(M67&gt;=9,"High",IF(M67&gt;=4,"Medium","Low")))</f>
        <v/>
      </c>
      <c r="O67" s="43" t="str">
        <f aca="false">IF(NOT(ISNUMBER(I67)),IF(I67="NA","N/A","Not scored"),IF(E67="M",IF(I67&gt;=3,"Compliant","Non-compliant"),IF(I67&gt;=3,"Meets GP","Below GP")))</f>
        <v>Not scored</v>
      </c>
      <c r="P67" s="10" t="s">
        <v>430</v>
      </c>
      <c r="Q67" s="44" t="n">
        <f aca="false">IF(ISNUMBER(I67),I67*H67,0)</f>
        <v>0</v>
      </c>
      <c r="R67" s="44" t="n">
        <f aca="false">IF(ISNUMBER(I67),4*H67,0)</f>
        <v>0</v>
      </c>
      <c r="S67" s="44" t="n">
        <f aca="false">IF(ISNUMBER(I67),1,0)</f>
        <v>0</v>
      </c>
      <c r="T67" s="44" t="n">
        <f aca="false">IF(AND(E67="M",ISNUMBER(I67)),1,0)</f>
        <v>0</v>
      </c>
      <c r="U67" s="44" t="n">
        <f aca="false">IF(AND(E67="M",ISNUMBER(I67)),IF(I67&gt;=3,1,0),0)</f>
        <v>0</v>
      </c>
      <c r="V67" s="1"/>
      <c r="W67" s="1"/>
      <c r="X67" s="1"/>
      <c r="Y67" s="1"/>
      <c r="Z67" s="1"/>
    </row>
    <row r="68" customFormat="false" ht="30.75" hidden="false" customHeight="true" outlineLevel="0" collapsed="false">
      <c r="A68" s="41" t="s">
        <v>431</v>
      </c>
      <c r="B68" s="41" t="s">
        <v>98</v>
      </c>
      <c r="C68" s="10" t="s">
        <v>432</v>
      </c>
      <c r="D68" s="10" t="s">
        <v>433</v>
      </c>
      <c r="E68" s="41" t="s">
        <v>188</v>
      </c>
      <c r="F68" s="10" t="s">
        <v>434</v>
      </c>
      <c r="G68" s="41" t="s">
        <v>179</v>
      </c>
      <c r="H68" s="41" t="n">
        <v>1</v>
      </c>
      <c r="I68" s="16"/>
      <c r="J68" s="15"/>
      <c r="K68" s="15"/>
      <c r="L68" s="15"/>
      <c r="M68" s="42" t="str">
        <f aca="false">IF(ISNUMBER(I68),(4-I68)*H68*IF(E68="M",1.5,1),"")</f>
        <v/>
      </c>
      <c r="N68" s="43" t="str">
        <f aca="false">IF(M68="","",IF(M68&gt;=9,"High",IF(M68&gt;=4,"Medium","Low")))</f>
        <v/>
      </c>
      <c r="O68" s="43" t="str">
        <f aca="false">IF(NOT(ISNUMBER(I68)),IF(I68="NA","N/A","Not scored"),IF(E68="M",IF(I68&gt;=3,"Compliant","Non-compliant"),IF(I68&gt;=3,"Meets GP","Below GP")))</f>
        <v>Not scored</v>
      </c>
      <c r="P68" s="10" t="s">
        <v>242</v>
      </c>
      <c r="Q68" s="44" t="n">
        <f aca="false">IF(ISNUMBER(I68),I68*H68,0)</f>
        <v>0</v>
      </c>
      <c r="R68" s="44" t="n">
        <f aca="false">IF(ISNUMBER(I68),4*H68,0)</f>
        <v>0</v>
      </c>
      <c r="S68" s="44" t="n">
        <f aca="false">IF(ISNUMBER(I68),1,0)</f>
        <v>0</v>
      </c>
      <c r="T68" s="44" t="n">
        <f aca="false">IF(AND(E68="M",ISNUMBER(I68)),1,0)</f>
        <v>0</v>
      </c>
      <c r="U68" s="44" t="n">
        <f aca="false">IF(AND(E68="M",ISNUMBER(I68)),IF(I68&gt;=3,1,0),0)</f>
        <v>0</v>
      </c>
      <c r="V68" s="1"/>
      <c r="W68" s="1"/>
      <c r="X68" s="1"/>
      <c r="Y68" s="1"/>
      <c r="Z68" s="1"/>
    </row>
    <row r="69" customFormat="false" ht="43.5" hidden="false" customHeight="true" outlineLevel="0" collapsed="false">
      <c r="A69" s="41" t="s">
        <v>435</v>
      </c>
      <c r="B69" s="41" t="s">
        <v>98</v>
      </c>
      <c r="C69" s="10" t="s">
        <v>436</v>
      </c>
      <c r="D69" s="10" t="s">
        <v>437</v>
      </c>
      <c r="E69" s="41" t="s">
        <v>188</v>
      </c>
      <c r="F69" s="10" t="s">
        <v>438</v>
      </c>
      <c r="G69" s="41" t="s">
        <v>168</v>
      </c>
      <c r="H69" s="41" t="n">
        <v>1</v>
      </c>
      <c r="I69" s="16"/>
      <c r="J69" s="15"/>
      <c r="K69" s="15"/>
      <c r="L69" s="15"/>
      <c r="M69" s="42" t="str">
        <f aca="false">IF(ISNUMBER(I69),(4-I69)*H69*IF(E69="M",1.5,1),"")</f>
        <v/>
      </c>
      <c r="N69" s="43" t="str">
        <f aca="false">IF(M69="","",IF(M69&gt;=9,"High",IF(M69&gt;=4,"Medium","Low")))</f>
        <v/>
      </c>
      <c r="O69" s="43" t="str">
        <f aca="false">IF(NOT(ISNUMBER(I69)),IF(I69="NA","N/A","Not scored"),IF(E69="M",IF(I69&gt;=3,"Compliant","Non-compliant"),IF(I69&gt;=3,"Meets GP","Below GP")))</f>
        <v>Not scored</v>
      </c>
      <c r="P69" s="10" t="s">
        <v>242</v>
      </c>
      <c r="Q69" s="44" t="n">
        <f aca="false">IF(ISNUMBER(I69),I69*H69,0)</f>
        <v>0</v>
      </c>
      <c r="R69" s="44" t="n">
        <f aca="false">IF(ISNUMBER(I69),4*H69,0)</f>
        <v>0</v>
      </c>
      <c r="S69" s="44" t="n">
        <f aca="false">IF(ISNUMBER(I69),1,0)</f>
        <v>0</v>
      </c>
      <c r="T69" s="44" t="n">
        <f aca="false">IF(AND(E69="M",ISNUMBER(I69)),1,0)</f>
        <v>0</v>
      </c>
      <c r="U69" s="44" t="n">
        <f aca="false">IF(AND(E69="M",ISNUMBER(I69)),IF(I69&gt;=3,1,0),0)</f>
        <v>0</v>
      </c>
      <c r="V69" s="1"/>
      <c r="W69" s="1"/>
      <c r="X69" s="1"/>
      <c r="Y69" s="1"/>
      <c r="Z69" s="1"/>
    </row>
    <row r="70" customFormat="false" ht="43.5" hidden="false" customHeight="true" outlineLevel="0" collapsed="false">
      <c r="A70" s="41" t="s">
        <v>439</v>
      </c>
      <c r="B70" s="41" t="s">
        <v>98</v>
      </c>
      <c r="C70" s="10" t="s">
        <v>440</v>
      </c>
      <c r="D70" s="10" t="s">
        <v>441</v>
      </c>
      <c r="E70" s="41" t="s">
        <v>188</v>
      </c>
      <c r="F70" s="10" t="s">
        <v>442</v>
      </c>
      <c r="G70" s="41" t="s">
        <v>414</v>
      </c>
      <c r="H70" s="41" t="n">
        <v>2</v>
      </c>
      <c r="I70" s="16"/>
      <c r="J70" s="15"/>
      <c r="K70" s="15"/>
      <c r="L70" s="15"/>
      <c r="M70" s="42" t="str">
        <f aca="false">IF(ISNUMBER(I70),(4-I70)*H70*IF(E70="M",1.5,1),"")</f>
        <v/>
      </c>
      <c r="N70" s="43" t="str">
        <f aca="false">IF(M70="","",IF(M70&gt;=9,"High",IF(M70&gt;=4,"Medium","Low")))</f>
        <v/>
      </c>
      <c r="O70" s="43" t="str">
        <f aca="false">IF(NOT(ISNUMBER(I70)),IF(I70="NA","N/A","Not scored"),IF(E70="M",IF(I70&gt;=3,"Compliant","Non-compliant"),IF(I70&gt;=3,"Meets GP","Below GP")))</f>
        <v>Not scored</v>
      </c>
      <c r="P70" s="10" t="s">
        <v>419</v>
      </c>
      <c r="Q70" s="44" t="n">
        <f aca="false">IF(ISNUMBER(I70),I70*H70,0)</f>
        <v>0</v>
      </c>
      <c r="R70" s="44" t="n">
        <f aca="false">IF(ISNUMBER(I70),4*H70,0)</f>
        <v>0</v>
      </c>
      <c r="S70" s="44" t="n">
        <f aca="false">IF(ISNUMBER(I70),1,0)</f>
        <v>0</v>
      </c>
      <c r="T70" s="44" t="n">
        <f aca="false">IF(AND(E70="M",ISNUMBER(I70)),1,0)</f>
        <v>0</v>
      </c>
      <c r="U70" s="44" t="n">
        <f aca="false">IF(AND(E70="M",ISNUMBER(I70)),IF(I70&gt;=3,1,0),0)</f>
        <v>0</v>
      </c>
      <c r="V70" s="1"/>
      <c r="W70" s="1"/>
      <c r="X70" s="1"/>
      <c r="Y70" s="1"/>
      <c r="Z70" s="1"/>
    </row>
    <row r="71" customFormat="false" ht="15" hidden="false" customHeight="false" outlineLevel="0" collapsed="false">
      <c r="A71" s="40" t="s">
        <v>443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43.5" hidden="false" customHeight="true" outlineLevel="0" collapsed="false">
      <c r="A72" s="41" t="s">
        <v>444</v>
      </c>
      <c r="B72" s="41" t="s">
        <v>100</v>
      </c>
      <c r="C72" s="10" t="s">
        <v>445</v>
      </c>
      <c r="D72" s="10" t="s">
        <v>446</v>
      </c>
      <c r="E72" s="41" t="s">
        <v>166</v>
      </c>
      <c r="F72" s="10" t="s">
        <v>447</v>
      </c>
      <c r="G72" s="41" t="s">
        <v>168</v>
      </c>
      <c r="H72" s="41" t="n">
        <v>3</v>
      </c>
      <c r="I72" s="16"/>
      <c r="J72" s="15"/>
      <c r="K72" s="15"/>
      <c r="L72" s="15"/>
      <c r="M72" s="42" t="str">
        <f aca="false">IF(ISNUMBER(I72),(4-I72)*H72*IF(E72="M",1.5,1),"")</f>
        <v/>
      </c>
      <c r="N72" s="43" t="str">
        <f aca="false">IF(M72="","",IF(M72&gt;=9,"High",IF(M72&gt;=4,"Medium","Low")))</f>
        <v/>
      </c>
      <c r="O72" s="43" t="str">
        <f aca="false">IF(NOT(ISNUMBER(I72)),IF(I72="NA","N/A","Not scored"),IF(E72="M",IF(I72&gt;=3,"Compliant","Non-compliant"),IF(I72&gt;=3,"Meets GP","Below GP")))</f>
        <v>Not scored</v>
      </c>
      <c r="P72" s="10" t="s">
        <v>448</v>
      </c>
      <c r="Q72" s="44" t="n">
        <f aca="false">IF(ISNUMBER(I72),I72*H72,0)</f>
        <v>0</v>
      </c>
      <c r="R72" s="44" t="n">
        <f aca="false">IF(ISNUMBER(I72),4*H72,0)</f>
        <v>0</v>
      </c>
      <c r="S72" s="44" t="n">
        <f aca="false">IF(ISNUMBER(I72),1,0)</f>
        <v>0</v>
      </c>
      <c r="T72" s="44" t="n">
        <f aca="false">IF(AND(E72="M",ISNUMBER(I72)),1,0)</f>
        <v>0</v>
      </c>
      <c r="U72" s="44" t="n">
        <f aca="false">IF(AND(E72="M",ISNUMBER(I72)),IF(I72&gt;=3,1,0),0)</f>
        <v>0</v>
      </c>
      <c r="V72" s="1"/>
      <c r="W72" s="1"/>
      <c r="X72" s="1"/>
      <c r="Y72" s="1"/>
      <c r="Z72" s="1"/>
    </row>
    <row r="73" customFormat="false" ht="43.5" hidden="false" customHeight="true" outlineLevel="0" collapsed="false">
      <c r="A73" s="41" t="s">
        <v>449</v>
      </c>
      <c r="B73" s="41" t="s">
        <v>100</v>
      </c>
      <c r="C73" s="10" t="s">
        <v>450</v>
      </c>
      <c r="D73" s="10" t="s">
        <v>451</v>
      </c>
      <c r="E73" s="41" t="s">
        <v>166</v>
      </c>
      <c r="F73" s="10" t="s">
        <v>452</v>
      </c>
      <c r="G73" s="41" t="s">
        <v>226</v>
      </c>
      <c r="H73" s="41" t="n">
        <v>3</v>
      </c>
      <c r="I73" s="16"/>
      <c r="J73" s="15"/>
      <c r="K73" s="15"/>
      <c r="L73" s="15"/>
      <c r="M73" s="42" t="str">
        <f aca="false">IF(ISNUMBER(I73),(4-I73)*H73*IF(E73="M",1.5,1),"")</f>
        <v/>
      </c>
      <c r="N73" s="43" t="str">
        <f aca="false">IF(M73="","",IF(M73&gt;=9,"High",IF(M73&gt;=4,"Medium","Low")))</f>
        <v/>
      </c>
      <c r="O73" s="43" t="str">
        <f aca="false">IF(NOT(ISNUMBER(I73)),IF(I73="NA","N/A","Not scored"),IF(E73="M",IF(I73&gt;=3,"Compliant","Non-compliant"),IF(I73&gt;=3,"Meets GP","Below GP")))</f>
        <v>Not scored</v>
      </c>
      <c r="P73" s="10" t="s">
        <v>382</v>
      </c>
      <c r="Q73" s="44" t="n">
        <f aca="false">IF(ISNUMBER(I73),I73*H73,0)</f>
        <v>0</v>
      </c>
      <c r="R73" s="44" t="n">
        <f aca="false">IF(ISNUMBER(I73),4*H73,0)</f>
        <v>0</v>
      </c>
      <c r="S73" s="44" t="n">
        <f aca="false">IF(ISNUMBER(I73),1,0)</f>
        <v>0</v>
      </c>
      <c r="T73" s="44" t="n">
        <f aca="false">IF(AND(E73="M",ISNUMBER(I73)),1,0)</f>
        <v>0</v>
      </c>
      <c r="U73" s="44" t="n">
        <f aca="false">IF(AND(E73="M",ISNUMBER(I73)),IF(I73&gt;=3,1,0),0)</f>
        <v>0</v>
      </c>
      <c r="V73" s="1"/>
      <c r="W73" s="1"/>
      <c r="X73" s="1"/>
      <c r="Y73" s="1"/>
      <c r="Z73" s="1"/>
    </row>
    <row r="74" customFormat="false" ht="43.5" hidden="false" customHeight="true" outlineLevel="0" collapsed="false">
      <c r="A74" s="41" t="s">
        <v>453</v>
      </c>
      <c r="B74" s="41" t="s">
        <v>100</v>
      </c>
      <c r="C74" s="10" t="s">
        <v>454</v>
      </c>
      <c r="D74" s="10" t="s">
        <v>455</v>
      </c>
      <c r="E74" s="41" t="s">
        <v>166</v>
      </c>
      <c r="F74" s="10" t="s">
        <v>456</v>
      </c>
      <c r="G74" s="41" t="s">
        <v>424</v>
      </c>
      <c r="H74" s="41" t="n">
        <v>2</v>
      </c>
      <c r="I74" s="16"/>
      <c r="J74" s="15"/>
      <c r="K74" s="15"/>
      <c r="L74" s="15"/>
      <c r="M74" s="42" t="str">
        <f aca="false">IF(ISNUMBER(I74),(4-I74)*H74*IF(E74="M",1.5,1),"")</f>
        <v/>
      </c>
      <c r="N74" s="43" t="str">
        <f aca="false">IF(M74="","",IF(M74&gt;=9,"High",IF(M74&gt;=4,"Medium","Low")))</f>
        <v/>
      </c>
      <c r="O74" s="43" t="str">
        <f aca="false">IF(NOT(ISNUMBER(I74)),IF(I74="NA","N/A","Not scored"),IF(E74="M",IF(I74&gt;=3,"Compliant","Non-compliant"),IF(I74&gt;=3,"Meets GP","Below GP")))</f>
        <v>Not scored</v>
      </c>
      <c r="P74" s="10" t="s">
        <v>419</v>
      </c>
      <c r="Q74" s="44" t="n">
        <f aca="false">IF(ISNUMBER(I74),I74*H74,0)</f>
        <v>0</v>
      </c>
      <c r="R74" s="44" t="n">
        <f aca="false">IF(ISNUMBER(I74),4*H74,0)</f>
        <v>0</v>
      </c>
      <c r="S74" s="44" t="n">
        <f aca="false">IF(ISNUMBER(I74),1,0)</f>
        <v>0</v>
      </c>
      <c r="T74" s="44" t="n">
        <f aca="false">IF(AND(E74="M",ISNUMBER(I74)),1,0)</f>
        <v>0</v>
      </c>
      <c r="U74" s="44" t="n">
        <f aca="false">IF(AND(E74="M",ISNUMBER(I74)),IF(I74&gt;=3,1,0),0)</f>
        <v>0</v>
      </c>
      <c r="V74" s="1"/>
      <c r="W74" s="1"/>
      <c r="X74" s="1"/>
      <c r="Y74" s="1"/>
      <c r="Z74" s="1"/>
    </row>
    <row r="75" customFormat="false" ht="43.5" hidden="false" customHeight="true" outlineLevel="0" collapsed="false">
      <c r="A75" s="41" t="s">
        <v>457</v>
      </c>
      <c r="B75" s="41" t="s">
        <v>100</v>
      </c>
      <c r="C75" s="10" t="s">
        <v>458</v>
      </c>
      <c r="D75" s="10" t="s">
        <v>459</v>
      </c>
      <c r="E75" s="41" t="s">
        <v>188</v>
      </c>
      <c r="F75" s="10" t="s">
        <v>460</v>
      </c>
      <c r="G75" s="41" t="s">
        <v>424</v>
      </c>
      <c r="H75" s="41" t="n">
        <v>2</v>
      </c>
      <c r="I75" s="16"/>
      <c r="J75" s="15"/>
      <c r="K75" s="15"/>
      <c r="L75" s="15"/>
      <c r="M75" s="42" t="str">
        <f aca="false">IF(ISNUMBER(I75),(4-I75)*H75*IF(E75="M",1.5,1),"")</f>
        <v/>
      </c>
      <c r="N75" s="43" t="str">
        <f aca="false">IF(M75="","",IF(M75&gt;=9,"High",IF(M75&gt;=4,"Medium","Low")))</f>
        <v/>
      </c>
      <c r="O75" s="43" t="str">
        <f aca="false">IF(NOT(ISNUMBER(I75)),IF(I75="NA","N/A","Not scored"),IF(E75="M",IF(I75&gt;=3,"Compliant","Non-compliant"),IF(I75&gt;=3,"Meets GP","Below GP")))</f>
        <v>Not scored</v>
      </c>
      <c r="P75" s="10" t="s">
        <v>461</v>
      </c>
      <c r="Q75" s="44" t="n">
        <f aca="false">IF(ISNUMBER(I75),I75*H75,0)</f>
        <v>0</v>
      </c>
      <c r="R75" s="44" t="n">
        <f aca="false">IF(ISNUMBER(I75),4*H75,0)</f>
        <v>0</v>
      </c>
      <c r="S75" s="44" t="n">
        <f aca="false">IF(ISNUMBER(I75),1,0)</f>
        <v>0</v>
      </c>
      <c r="T75" s="44" t="n">
        <f aca="false">IF(AND(E75="M",ISNUMBER(I75)),1,0)</f>
        <v>0</v>
      </c>
      <c r="U75" s="44" t="n">
        <f aca="false">IF(AND(E75="M",ISNUMBER(I75)),IF(I75&gt;=3,1,0),0)</f>
        <v>0</v>
      </c>
      <c r="V75" s="1"/>
      <c r="W75" s="1"/>
      <c r="X75" s="1"/>
      <c r="Y75" s="1"/>
      <c r="Z75" s="1"/>
    </row>
    <row r="76" customFormat="false" ht="55.5" hidden="false" customHeight="true" outlineLevel="0" collapsed="false">
      <c r="A76" s="41" t="s">
        <v>462</v>
      </c>
      <c r="B76" s="41" t="s">
        <v>100</v>
      </c>
      <c r="C76" s="10" t="s">
        <v>463</v>
      </c>
      <c r="D76" s="10" t="s">
        <v>464</v>
      </c>
      <c r="E76" s="41" t="s">
        <v>166</v>
      </c>
      <c r="F76" s="10" t="s">
        <v>465</v>
      </c>
      <c r="G76" s="41" t="s">
        <v>168</v>
      </c>
      <c r="H76" s="41" t="n">
        <v>2</v>
      </c>
      <c r="I76" s="16"/>
      <c r="J76" s="15"/>
      <c r="K76" s="15"/>
      <c r="L76" s="15"/>
      <c r="M76" s="42" t="str">
        <f aca="false">IF(ISNUMBER(I76),(4-I76)*H76*IF(E76="M",1.5,1),"")</f>
        <v/>
      </c>
      <c r="N76" s="43" t="str">
        <f aca="false">IF(M76="","",IF(M76&gt;=9,"High",IF(M76&gt;=4,"Medium","Low")))</f>
        <v/>
      </c>
      <c r="O76" s="43" t="str">
        <f aca="false">IF(NOT(ISNUMBER(I76)),IF(I76="NA","N/A","Not scored"),IF(E76="M",IF(I76&gt;=3,"Compliant","Non-compliant"),IF(I76&gt;=3,"Meets GP","Below GP")))</f>
        <v>Not scored</v>
      </c>
      <c r="P76" s="10" t="s">
        <v>461</v>
      </c>
      <c r="Q76" s="44" t="n">
        <f aca="false">IF(ISNUMBER(I76),I76*H76,0)</f>
        <v>0</v>
      </c>
      <c r="R76" s="44" t="n">
        <f aca="false">IF(ISNUMBER(I76),4*H76,0)</f>
        <v>0</v>
      </c>
      <c r="S76" s="44" t="n">
        <f aca="false">IF(ISNUMBER(I76),1,0)</f>
        <v>0</v>
      </c>
      <c r="T76" s="44" t="n">
        <f aca="false">IF(AND(E76="M",ISNUMBER(I76)),1,0)</f>
        <v>0</v>
      </c>
      <c r="U76" s="44" t="n">
        <f aca="false">IF(AND(E76="M",ISNUMBER(I76)),IF(I76&gt;=3,1,0),0)</f>
        <v>0</v>
      </c>
      <c r="V76" s="1"/>
      <c r="W76" s="1"/>
      <c r="X76" s="1"/>
      <c r="Y76" s="1"/>
      <c r="Z76" s="1"/>
    </row>
    <row r="77" customFormat="false" ht="43.5" hidden="false" customHeight="true" outlineLevel="0" collapsed="false">
      <c r="A77" s="41" t="s">
        <v>466</v>
      </c>
      <c r="B77" s="41" t="s">
        <v>100</v>
      </c>
      <c r="C77" s="10" t="s">
        <v>467</v>
      </c>
      <c r="D77" s="10" t="s">
        <v>468</v>
      </c>
      <c r="E77" s="41" t="s">
        <v>166</v>
      </c>
      <c r="F77" s="10" t="s">
        <v>469</v>
      </c>
      <c r="G77" s="41" t="s">
        <v>179</v>
      </c>
      <c r="H77" s="41" t="n">
        <v>3</v>
      </c>
      <c r="I77" s="16"/>
      <c r="J77" s="15"/>
      <c r="K77" s="15"/>
      <c r="L77" s="15"/>
      <c r="M77" s="42" t="str">
        <f aca="false">IF(ISNUMBER(I77),(4-I77)*H77*IF(E77="M",1.5,1),"")</f>
        <v/>
      </c>
      <c r="N77" s="43" t="str">
        <f aca="false">IF(M77="","",IF(M77&gt;=9,"High",IF(M77&gt;=4,"Medium","Low")))</f>
        <v/>
      </c>
      <c r="O77" s="43" t="str">
        <f aca="false">IF(NOT(ISNUMBER(I77)),IF(I77="NA","N/A","Not scored"),IF(E77="M",IF(I77&gt;=3,"Compliant","Non-compliant"),IF(I77&gt;=3,"Meets GP","Below GP")))</f>
        <v>Not scored</v>
      </c>
      <c r="P77" s="10" t="s">
        <v>470</v>
      </c>
      <c r="Q77" s="44" t="n">
        <f aca="false">IF(ISNUMBER(I77),I77*H77,0)</f>
        <v>0</v>
      </c>
      <c r="R77" s="44" t="n">
        <f aca="false">IF(ISNUMBER(I77),4*H77,0)</f>
        <v>0</v>
      </c>
      <c r="S77" s="44" t="n">
        <f aca="false">IF(ISNUMBER(I77),1,0)</f>
        <v>0</v>
      </c>
      <c r="T77" s="44" t="n">
        <f aca="false">IF(AND(E77="M",ISNUMBER(I77)),1,0)</f>
        <v>0</v>
      </c>
      <c r="U77" s="44" t="n">
        <f aca="false">IF(AND(E77="M",ISNUMBER(I77)),IF(I77&gt;=3,1,0),0)</f>
        <v>0</v>
      </c>
      <c r="V77" s="1"/>
      <c r="W77" s="1"/>
      <c r="X77" s="1"/>
      <c r="Y77" s="1"/>
      <c r="Z77" s="1"/>
    </row>
    <row r="78" customFormat="false" ht="43.5" hidden="false" customHeight="true" outlineLevel="0" collapsed="false">
      <c r="A78" s="41" t="s">
        <v>471</v>
      </c>
      <c r="B78" s="41" t="s">
        <v>100</v>
      </c>
      <c r="C78" s="10" t="s">
        <v>472</v>
      </c>
      <c r="D78" s="10" t="s">
        <v>473</v>
      </c>
      <c r="E78" s="41" t="s">
        <v>166</v>
      </c>
      <c r="F78" s="10" t="s">
        <v>474</v>
      </c>
      <c r="G78" s="41" t="s">
        <v>168</v>
      </c>
      <c r="H78" s="41" t="n">
        <v>2</v>
      </c>
      <c r="I78" s="16"/>
      <c r="J78" s="15"/>
      <c r="K78" s="15"/>
      <c r="L78" s="15"/>
      <c r="M78" s="42" t="str">
        <f aca="false">IF(ISNUMBER(I78),(4-I78)*H78*IF(E78="M",1.5,1),"")</f>
        <v/>
      </c>
      <c r="N78" s="43" t="str">
        <f aca="false">IF(M78="","",IF(M78&gt;=9,"High",IF(M78&gt;=4,"Medium","Low")))</f>
        <v/>
      </c>
      <c r="O78" s="43" t="str">
        <f aca="false">IF(NOT(ISNUMBER(I78)),IF(I78="NA","N/A","Not scored"),IF(E78="M",IF(I78&gt;=3,"Compliant","Non-compliant"),IF(I78&gt;=3,"Meets GP","Below GP")))</f>
        <v>Not scored</v>
      </c>
      <c r="P78" s="10" t="s">
        <v>382</v>
      </c>
      <c r="Q78" s="44" t="n">
        <f aca="false">IF(ISNUMBER(I78),I78*H78,0)</f>
        <v>0</v>
      </c>
      <c r="R78" s="44" t="n">
        <f aca="false">IF(ISNUMBER(I78),4*H78,0)</f>
        <v>0</v>
      </c>
      <c r="S78" s="44" t="n">
        <f aca="false">IF(ISNUMBER(I78),1,0)</f>
        <v>0</v>
      </c>
      <c r="T78" s="44" t="n">
        <f aca="false">IF(AND(E78="M",ISNUMBER(I78)),1,0)</f>
        <v>0</v>
      </c>
      <c r="U78" s="44" t="n">
        <f aca="false">IF(AND(E78="M",ISNUMBER(I78)),IF(I78&gt;=3,1,0),0)</f>
        <v>0</v>
      </c>
      <c r="V78" s="1"/>
      <c r="W78" s="1"/>
      <c r="X78" s="1"/>
      <c r="Y78" s="1"/>
      <c r="Z78" s="1"/>
    </row>
    <row r="79" customFormat="false" ht="105.75" hidden="false" customHeight="true" outlineLevel="0" collapsed="false">
      <c r="A79" s="41" t="s">
        <v>475</v>
      </c>
      <c r="B79" s="41" t="s">
        <v>100</v>
      </c>
      <c r="C79" s="10" t="s">
        <v>476</v>
      </c>
      <c r="D79" s="10" t="s">
        <v>477</v>
      </c>
      <c r="E79" s="41" t="s">
        <v>166</v>
      </c>
      <c r="F79" s="10" t="s">
        <v>478</v>
      </c>
      <c r="G79" s="41" t="s">
        <v>179</v>
      </c>
      <c r="H79" s="41" t="n">
        <v>3</v>
      </c>
      <c r="I79" s="16"/>
      <c r="J79" s="15"/>
      <c r="K79" s="15"/>
      <c r="L79" s="15"/>
      <c r="M79" s="42" t="str">
        <f aca="false">IF(ISNUMBER(I79),(4-I79)*H79*IF(E79="M",1.5,1),"")</f>
        <v/>
      </c>
      <c r="N79" s="43" t="str">
        <f aca="false">IF(M79="","",IF(M79&gt;=9,"High",IF(M79&gt;=4,"Medium","Low")))</f>
        <v/>
      </c>
      <c r="O79" s="43" t="str">
        <f aca="false">IF(NOT(ISNUMBER(I79)),IF(I79="NA","N/A","Not scored"),IF(E79="M",IF(I79&gt;=3,"Compliant","Non-compliant"),IF(I79&gt;=3,"Meets GP","Below GP")))</f>
        <v>Not scored</v>
      </c>
      <c r="P79" s="10" t="s">
        <v>479</v>
      </c>
      <c r="Q79" s="44" t="n">
        <f aca="false">IF(ISNUMBER(I79),I79*H79,0)</f>
        <v>0</v>
      </c>
      <c r="R79" s="44" t="n">
        <f aca="false">IF(ISNUMBER(I79),4*H79,0)</f>
        <v>0</v>
      </c>
      <c r="S79" s="44" t="n">
        <f aca="false">IF(ISNUMBER(I79),1,0)</f>
        <v>0</v>
      </c>
      <c r="T79" s="44" t="n">
        <f aca="false">IF(AND(E79="M",ISNUMBER(I79)),1,0)</f>
        <v>0</v>
      </c>
      <c r="U79" s="44" t="n">
        <f aca="false">IF(AND(E79="M",ISNUMBER(I79)),IF(I79&gt;=3,1,0),0)</f>
        <v>0</v>
      </c>
      <c r="V79" s="1"/>
      <c r="W79" s="1"/>
      <c r="X79" s="1"/>
      <c r="Y79" s="1"/>
      <c r="Z79" s="1"/>
    </row>
    <row r="80" customFormat="false" ht="68.25" hidden="false" customHeight="true" outlineLevel="0" collapsed="false">
      <c r="A80" s="41" t="s">
        <v>480</v>
      </c>
      <c r="B80" s="41" t="s">
        <v>100</v>
      </c>
      <c r="C80" s="10" t="s">
        <v>481</v>
      </c>
      <c r="D80" s="10" t="s">
        <v>482</v>
      </c>
      <c r="E80" s="41" t="s">
        <v>166</v>
      </c>
      <c r="F80" s="10" t="s">
        <v>483</v>
      </c>
      <c r="G80" s="41" t="s">
        <v>179</v>
      </c>
      <c r="H80" s="41" t="n">
        <v>2</v>
      </c>
      <c r="I80" s="16"/>
      <c r="J80" s="15"/>
      <c r="K80" s="15"/>
      <c r="L80" s="15"/>
      <c r="M80" s="42" t="str">
        <f aca="false">IF(ISNUMBER(I80),(4-I80)*H80*IF(E80="M",1.5,1),"")</f>
        <v/>
      </c>
      <c r="N80" s="43" t="str">
        <f aca="false">IF(M80="","",IF(M80&gt;=9,"High",IF(M80&gt;=4,"Medium","Low")))</f>
        <v/>
      </c>
      <c r="O80" s="43" t="str">
        <f aca="false">IF(NOT(ISNUMBER(I80)),IF(I80="NA","N/A","Not scored"),IF(E80="M",IF(I80&gt;=3,"Compliant","Non-compliant"),IF(I80&gt;=3,"Meets GP","Below GP")))</f>
        <v>Not scored</v>
      </c>
      <c r="P80" s="10" t="s">
        <v>382</v>
      </c>
      <c r="Q80" s="44" t="n">
        <f aca="false">IF(ISNUMBER(I80),I80*H80,0)</f>
        <v>0</v>
      </c>
      <c r="R80" s="44" t="n">
        <f aca="false">IF(ISNUMBER(I80),4*H80,0)</f>
        <v>0</v>
      </c>
      <c r="S80" s="44" t="n">
        <f aca="false">IF(ISNUMBER(I80),1,0)</f>
        <v>0</v>
      </c>
      <c r="T80" s="44" t="n">
        <f aca="false">IF(AND(E80="M",ISNUMBER(I80)),1,0)</f>
        <v>0</v>
      </c>
      <c r="U80" s="44" t="n">
        <f aca="false">IF(AND(E80="M",ISNUMBER(I80)),IF(I80&gt;=3,1,0),0)</f>
        <v>0</v>
      </c>
      <c r="V80" s="1"/>
      <c r="W80" s="1"/>
      <c r="X80" s="1"/>
      <c r="Y80" s="1"/>
      <c r="Z80" s="1"/>
    </row>
    <row r="81" customFormat="false" ht="15" hidden="false" customHeight="false" outlineLevel="0" collapsed="false">
      <c r="A81" s="40" t="s">
        <v>484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30.75" hidden="false" customHeight="true" outlineLevel="0" collapsed="false">
      <c r="A82" s="41" t="s">
        <v>485</v>
      </c>
      <c r="B82" s="41" t="s">
        <v>102</v>
      </c>
      <c r="C82" s="10" t="s">
        <v>486</v>
      </c>
      <c r="D82" s="10" t="s">
        <v>487</v>
      </c>
      <c r="E82" s="41" t="s">
        <v>188</v>
      </c>
      <c r="F82" s="10" t="s">
        <v>488</v>
      </c>
      <c r="G82" s="41" t="s">
        <v>168</v>
      </c>
      <c r="H82" s="41" t="n">
        <v>2</v>
      </c>
      <c r="I82" s="16"/>
      <c r="J82" s="15"/>
      <c r="K82" s="15"/>
      <c r="L82" s="15"/>
      <c r="M82" s="42" t="str">
        <f aca="false">IF(ISNUMBER(I82),(4-I82)*H82*IF(E82="M",1.5,1),"")</f>
        <v/>
      </c>
      <c r="N82" s="43" t="str">
        <f aca="false">IF(M82="","",IF(M82&gt;=9,"High",IF(M82&gt;=4,"Medium","Low")))</f>
        <v/>
      </c>
      <c r="O82" s="43" t="str">
        <f aca="false">IF(NOT(ISNUMBER(I82)),IF(I82="NA","N/A","Not scored"),IF(E82="M",IF(I82&gt;=3,"Compliant","Non-compliant"),IF(I82&gt;=3,"Meets GP","Below GP")))</f>
        <v>Not scored</v>
      </c>
      <c r="P82" s="10" t="s">
        <v>489</v>
      </c>
      <c r="Q82" s="44" t="n">
        <f aca="false">IF(ISNUMBER(I82),I82*H82,0)</f>
        <v>0</v>
      </c>
      <c r="R82" s="44" t="n">
        <f aca="false">IF(ISNUMBER(I82),4*H82,0)</f>
        <v>0</v>
      </c>
      <c r="S82" s="44" t="n">
        <f aca="false">IF(ISNUMBER(I82),1,0)</f>
        <v>0</v>
      </c>
      <c r="T82" s="44" t="n">
        <f aca="false">IF(AND(E82="M",ISNUMBER(I82)),1,0)</f>
        <v>0</v>
      </c>
      <c r="U82" s="44" t="n">
        <f aca="false">IF(AND(E82="M",ISNUMBER(I82)),IF(I82&gt;=3,1,0),0)</f>
        <v>0</v>
      </c>
      <c r="V82" s="1"/>
      <c r="W82" s="1"/>
      <c r="X82" s="1"/>
      <c r="Y82" s="1"/>
      <c r="Z82" s="1"/>
    </row>
    <row r="83" customFormat="false" ht="43.5" hidden="false" customHeight="true" outlineLevel="0" collapsed="false">
      <c r="A83" s="41" t="s">
        <v>490</v>
      </c>
      <c r="B83" s="41" t="s">
        <v>102</v>
      </c>
      <c r="C83" s="10" t="s">
        <v>491</v>
      </c>
      <c r="D83" s="10" t="s">
        <v>492</v>
      </c>
      <c r="E83" s="41" t="s">
        <v>166</v>
      </c>
      <c r="F83" s="10" t="s">
        <v>493</v>
      </c>
      <c r="G83" s="41" t="s">
        <v>168</v>
      </c>
      <c r="H83" s="41" t="n">
        <v>2</v>
      </c>
      <c r="I83" s="16"/>
      <c r="J83" s="15"/>
      <c r="K83" s="15"/>
      <c r="L83" s="15"/>
      <c r="M83" s="42" t="str">
        <f aca="false">IF(ISNUMBER(I83),(4-I83)*H83*IF(E83="M",1.5,1),"")</f>
        <v/>
      </c>
      <c r="N83" s="43" t="str">
        <f aca="false">IF(M83="","",IF(M83&gt;=9,"High",IF(M83&gt;=4,"Medium","Low")))</f>
        <v/>
      </c>
      <c r="O83" s="43" t="str">
        <f aca="false">IF(NOT(ISNUMBER(I83)),IF(I83="NA","N/A","Not scored"),IF(E83="M",IF(I83&gt;=3,"Compliant","Non-compliant"),IF(I83&gt;=3,"Meets GP","Below GP")))</f>
        <v>Not scored</v>
      </c>
      <c r="P83" s="10" t="s">
        <v>494</v>
      </c>
      <c r="Q83" s="44" t="n">
        <f aca="false">IF(ISNUMBER(I83),I83*H83,0)</f>
        <v>0</v>
      </c>
      <c r="R83" s="44" t="n">
        <f aca="false">IF(ISNUMBER(I83),4*H83,0)</f>
        <v>0</v>
      </c>
      <c r="S83" s="44" t="n">
        <f aca="false">IF(ISNUMBER(I83),1,0)</f>
        <v>0</v>
      </c>
      <c r="T83" s="44" t="n">
        <f aca="false">IF(AND(E83="M",ISNUMBER(I83)),1,0)</f>
        <v>0</v>
      </c>
      <c r="U83" s="44" t="n">
        <f aca="false">IF(AND(E83="M",ISNUMBER(I83)),IF(I83&gt;=3,1,0),0)</f>
        <v>0</v>
      </c>
      <c r="V83" s="1"/>
      <c r="W83" s="1"/>
      <c r="X83" s="1"/>
      <c r="Y83" s="1"/>
      <c r="Z83" s="1"/>
    </row>
    <row r="84" customFormat="false" ht="30.75" hidden="false" customHeight="true" outlineLevel="0" collapsed="false">
      <c r="A84" s="41" t="s">
        <v>495</v>
      </c>
      <c r="B84" s="41" t="s">
        <v>102</v>
      </c>
      <c r="C84" s="10" t="s">
        <v>496</v>
      </c>
      <c r="D84" s="10" t="s">
        <v>497</v>
      </c>
      <c r="E84" s="41" t="s">
        <v>188</v>
      </c>
      <c r="F84" s="10" t="s">
        <v>498</v>
      </c>
      <c r="G84" s="41" t="s">
        <v>168</v>
      </c>
      <c r="H84" s="41" t="n">
        <v>1</v>
      </c>
      <c r="I84" s="16"/>
      <c r="J84" s="15"/>
      <c r="K84" s="15"/>
      <c r="L84" s="15"/>
      <c r="M84" s="42" t="str">
        <f aca="false">IF(ISNUMBER(I84),(4-I84)*H84*IF(E84="M",1.5,1),"")</f>
        <v/>
      </c>
      <c r="N84" s="43" t="str">
        <f aca="false">IF(M84="","",IF(M84&gt;=9,"High",IF(M84&gt;=4,"Medium","Low")))</f>
        <v/>
      </c>
      <c r="O84" s="43" t="str">
        <f aca="false">IF(NOT(ISNUMBER(I84)),IF(I84="NA","N/A","Not scored"),IF(E84="M",IF(I84&gt;=3,"Compliant","Non-compliant"),IF(I84&gt;=3,"Meets GP","Below GP")))</f>
        <v>Not scored</v>
      </c>
      <c r="P84" s="10" t="s">
        <v>494</v>
      </c>
      <c r="Q84" s="44" t="n">
        <f aca="false">IF(ISNUMBER(I84),I84*H84,0)</f>
        <v>0</v>
      </c>
      <c r="R84" s="44" t="n">
        <f aca="false">IF(ISNUMBER(I84),4*H84,0)</f>
        <v>0</v>
      </c>
      <c r="S84" s="44" t="n">
        <f aca="false">IF(ISNUMBER(I84),1,0)</f>
        <v>0</v>
      </c>
      <c r="T84" s="44" t="n">
        <f aca="false">IF(AND(E84="M",ISNUMBER(I84)),1,0)</f>
        <v>0</v>
      </c>
      <c r="U84" s="44" t="n">
        <f aca="false">IF(AND(E84="M",ISNUMBER(I84)),IF(I84&gt;=3,1,0),0)</f>
        <v>0</v>
      </c>
      <c r="V84" s="1"/>
      <c r="W84" s="1"/>
      <c r="X84" s="1"/>
      <c r="Y84" s="1"/>
      <c r="Z84" s="1"/>
    </row>
    <row r="85" customFormat="false" ht="30.75" hidden="false" customHeight="true" outlineLevel="0" collapsed="false">
      <c r="A85" s="41" t="s">
        <v>499</v>
      </c>
      <c r="B85" s="41" t="s">
        <v>102</v>
      </c>
      <c r="C85" s="10" t="s">
        <v>500</v>
      </c>
      <c r="D85" s="10" t="s">
        <v>501</v>
      </c>
      <c r="E85" s="41" t="s">
        <v>188</v>
      </c>
      <c r="F85" s="10" t="s">
        <v>502</v>
      </c>
      <c r="G85" s="41" t="s">
        <v>503</v>
      </c>
      <c r="H85" s="41" t="n">
        <v>1</v>
      </c>
      <c r="I85" s="16"/>
      <c r="J85" s="15"/>
      <c r="K85" s="15"/>
      <c r="L85" s="15"/>
      <c r="M85" s="42" t="str">
        <f aca="false">IF(ISNUMBER(I85),(4-I85)*H85*IF(E85="M",1.5,1),"")</f>
        <v/>
      </c>
      <c r="N85" s="43" t="str">
        <f aca="false">IF(M85="","",IF(M85&gt;=9,"High",IF(M85&gt;=4,"Medium","Low")))</f>
        <v/>
      </c>
      <c r="O85" s="43" t="str">
        <f aca="false">IF(NOT(ISNUMBER(I85)),IF(I85="NA","N/A","Not scored"),IF(E85="M",IF(I85&gt;=3,"Compliant","Non-compliant"),IF(I85&gt;=3,"Meets GP","Below GP")))</f>
        <v>Not scored</v>
      </c>
      <c r="P85" s="10" t="s">
        <v>494</v>
      </c>
      <c r="Q85" s="44" t="n">
        <f aca="false">IF(ISNUMBER(I85),I85*H85,0)</f>
        <v>0</v>
      </c>
      <c r="R85" s="44" t="n">
        <f aca="false">IF(ISNUMBER(I85),4*H85,0)</f>
        <v>0</v>
      </c>
      <c r="S85" s="44" t="n">
        <f aca="false">IF(ISNUMBER(I85),1,0)</f>
        <v>0</v>
      </c>
      <c r="T85" s="44" t="n">
        <f aca="false">IF(AND(E85="M",ISNUMBER(I85)),1,0)</f>
        <v>0</v>
      </c>
      <c r="U85" s="44" t="n">
        <f aca="false">IF(AND(E85="M",ISNUMBER(I85)),IF(I85&gt;=3,1,0),0)</f>
        <v>0</v>
      </c>
      <c r="V85" s="1"/>
      <c r="W85" s="1"/>
      <c r="X85" s="1"/>
      <c r="Y85" s="1"/>
      <c r="Z85" s="1"/>
    </row>
    <row r="86" customFormat="false" ht="43.5" hidden="false" customHeight="true" outlineLevel="0" collapsed="false">
      <c r="A86" s="41" t="s">
        <v>504</v>
      </c>
      <c r="B86" s="41" t="s">
        <v>102</v>
      </c>
      <c r="C86" s="10" t="s">
        <v>505</v>
      </c>
      <c r="D86" s="10" t="s">
        <v>506</v>
      </c>
      <c r="E86" s="41" t="s">
        <v>188</v>
      </c>
      <c r="F86" s="10" t="s">
        <v>507</v>
      </c>
      <c r="G86" s="41" t="s">
        <v>168</v>
      </c>
      <c r="H86" s="41" t="n">
        <v>2</v>
      </c>
      <c r="I86" s="16"/>
      <c r="J86" s="15"/>
      <c r="K86" s="15"/>
      <c r="L86" s="15"/>
      <c r="M86" s="42" t="str">
        <f aca="false">IF(ISNUMBER(I86),(4-I86)*H86*IF(E86="M",1.5,1),"")</f>
        <v/>
      </c>
      <c r="N86" s="43" t="str">
        <f aca="false">IF(M86="","",IF(M86&gt;=9,"High",IF(M86&gt;=4,"Medium","Low")))</f>
        <v/>
      </c>
      <c r="O86" s="43" t="str">
        <f aca="false">IF(NOT(ISNUMBER(I86)),IF(I86="NA","N/A","Not scored"),IF(E86="M",IF(I86&gt;=3,"Compliant","Non-compliant"),IF(I86&gt;=3,"Meets GP","Below GP")))</f>
        <v>Not scored</v>
      </c>
      <c r="P86" s="10" t="s">
        <v>494</v>
      </c>
      <c r="Q86" s="44" t="n">
        <f aca="false">IF(ISNUMBER(I86),I86*H86,0)</f>
        <v>0</v>
      </c>
      <c r="R86" s="44" t="n">
        <f aca="false">IF(ISNUMBER(I86),4*H86,0)</f>
        <v>0</v>
      </c>
      <c r="S86" s="44" t="n">
        <f aca="false">IF(ISNUMBER(I86),1,0)</f>
        <v>0</v>
      </c>
      <c r="T86" s="44" t="n">
        <f aca="false">IF(AND(E86="M",ISNUMBER(I86)),1,0)</f>
        <v>0</v>
      </c>
      <c r="U86" s="44" t="n">
        <f aca="false">IF(AND(E86="M",ISNUMBER(I86)),IF(I86&gt;=3,1,0),0)</f>
        <v>0</v>
      </c>
      <c r="V86" s="1"/>
      <c r="W86" s="1"/>
      <c r="X86" s="1"/>
      <c r="Y86" s="1"/>
      <c r="Z86" s="1"/>
    </row>
    <row r="87" customFormat="false" ht="15" hidden="false" customHeight="false" outlineLevel="0" collapsed="false">
      <c r="A87" s="40" t="s">
        <v>508</v>
      </c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43.5" hidden="false" customHeight="true" outlineLevel="0" collapsed="false">
      <c r="A88" s="41" t="s">
        <v>509</v>
      </c>
      <c r="B88" s="41" t="s">
        <v>104</v>
      </c>
      <c r="C88" s="10" t="s">
        <v>510</v>
      </c>
      <c r="D88" s="10" t="s">
        <v>511</v>
      </c>
      <c r="E88" s="41" t="s">
        <v>188</v>
      </c>
      <c r="F88" s="10" t="s">
        <v>512</v>
      </c>
      <c r="G88" s="41" t="s">
        <v>168</v>
      </c>
      <c r="H88" s="41" t="n">
        <v>2</v>
      </c>
      <c r="I88" s="16"/>
      <c r="J88" s="15"/>
      <c r="K88" s="15"/>
      <c r="L88" s="15"/>
      <c r="M88" s="42" t="str">
        <f aca="false">IF(ISNUMBER(I88),(4-I88)*H88*IF(E88="M",1.5,1),"")</f>
        <v/>
      </c>
      <c r="N88" s="43" t="str">
        <f aca="false">IF(M88="","",IF(M88&gt;=9,"High",IF(M88&gt;=4,"Medium","Low")))</f>
        <v/>
      </c>
      <c r="O88" s="43" t="str">
        <f aca="false">IF(NOT(ISNUMBER(I88)),IF(I88="NA","N/A","Not scored"),IF(E88="M",IF(I88&gt;=3,"Compliant","Non-compliant"),IF(I88&gt;=3,"Meets GP","Below GP")))</f>
        <v>Not scored</v>
      </c>
      <c r="P88" s="10" t="s">
        <v>513</v>
      </c>
      <c r="Q88" s="44" t="n">
        <f aca="false">IF(ISNUMBER(I88),I88*H88,0)</f>
        <v>0</v>
      </c>
      <c r="R88" s="44" t="n">
        <f aca="false">IF(ISNUMBER(I88),4*H88,0)</f>
        <v>0</v>
      </c>
      <c r="S88" s="44" t="n">
        <f aca="false">IF(ISNUMBER(I88),1,0)</f>
        <v>0</v>
      </c>
      <c r="T88" s="44" t="n">
        <f aca="false">IF(AND(E88="M",ISNUMBER(I88)),1,0)</f>
        <v>0</v>
      </c>
      <c r="U88" s="44" t="n">
        <f aca="false">IF(AND(E88="M",ISNUMBER(I88)),IF(I88&gt;=3,1,0),0)</f>
        <v>0</v>
      </c>
      <c r="V88" s="1"/>
      <c r="W88" s="1"/>
      <c r="X88" s="1"/>
      <c r="Y88" s="1"/>
      <c r="Z88" s="1"/>
    </row>
    <row r="89" customFormat="false" ht="68.25" hidden="false" customHeight="true" outlineLevel="0" collapsed="false">
      <c r="A89" s="41" t="s">
        <v>514</v>
      </c>
      <c r="B89" s="41" t="s">
        <v>104</v>
      </c>
      <c r="C89" s="10" t="s">
        <v>515</v>
      </c>
      <c r="D89" s="10" t="s">
        <v>516</v>
      </c>
      <c r="E89" s="41" t="s">
        <v>188</v>
      </c>
      <c r="F89" s="10" t="s">
        <v>517</v>
      </c>
      <c r="G89" s="41" t="s">
        <v>179</v>
      </c>
      <c r="H89" s="41" t="n">
        <v>1</v>
      </c>
      <c r="I89" s="16"/>
      <c r="J89" s="15"/>
      <c r="K89" s="15"/>
      <c r="L89" s="15"/>
      <c r="M89" s="42" t="str">
        <f aca="false">IF(ISNUMBER(I89),(4-I89)*H89*IF(E89="M",1.5,1),"")</f>
        <v/>
      </c>
      <c r="N89" s="43" t="str">
        <f aca="false">IF(M89="","",IF(M89&gt;=9,"High",IF(M89&gt;=4,"Medium","Low")))</f>
        <v/>
      </c>
      <c r="O89" s="43" t="str">
        <f aca="false">IF(NOT(ISNUMBER(I89)),IF(I89="NA","N/A","Not scored"),IF(E89="M",IF(I89&gt;=3,"Compliant","Non-compliant"),IF(I89&gt;=3,"Meets GP","Below GP")))</f>
        <v>Not scored</v>
      </c>
      <c r="P89" s="10" t="s">
        <v>518</v>
      </c>
      <c r="Q89" s="44" t="n">
        <f aca="false">IF(ISNUMBER(I89),I89*H89,0)</f>
        <v>0</v>
      </c>
      <c r="R89" s="44" t="n">
        <f aca="false">IF(ISNUMBER(I89),4*H89,0)</f>
        <v>0</v>
      </c>
      <c r="S89" s="44" t="n">
        <f aca="false">IF(ISNUMBER(I89),1,0)</f>
        <v>0</v>
      </c>
      <c r="T89" s="44" t="n">
        <f aca="false">IF(AND(E89="M",ISNUMBER(I89)),1,0)</f>
        <v>0</v>
      </c>
      <c r="U89" s="44" t="n">
        <f aca="false">IF(AND(E89="M",ISNUMBER(I89)),IF(I89&gt;=3,1,0),0)</f>
        <v>0</v>
      </c>
      <c r="V89" s="1"/>
      <c r="W89" s="1"/>
      <c r="X89" s="1"/>
      <c r="Y89" s="1"/>
      <c r="Z89" s="1"/>
    </row>
    <row r="90" customFormat="false" ht="30.75" hidden="false" customHeight="true" outlineLevel="0" collapsed="false">
      <c r="A90" s="41" t="s">
        <v>519</v>
      </c>
      <c r="B90" s="41" t="s">
        <v>104</v>
      </c>
      <c r="C90" s="10" t="s">
        <v>520</v>
      </c>
      <c r="D90" s="10" t="s">
        <v>521</v>
      </c>
      <c r="E90" s="41" t="s">
        <v>166</v>
      </c>
      <c r="F90" s="10" t="s">
        <v>522</v>
      </c>
      <c r="G90" s="41" t="s">
        <v>168</v>
      </c>
      <c r="H90" s="41" t="n">
        <v>2</v>
      </c>
      <c r="I90" s="16"/>
      <c r="J90" s="15"/>
      <c r="K90" s="15"/>
      <c r="L90" s="15"/>
      <c r="M90" s="42" t="str">
        <f aca="false">IF(ISNUMBER(I90),(4-I90)*H90*IF(E90="M",1.5,1),"")</f>
        <v/>
      </c>
      <c r="N90" s="43" t="str">
        <f aca="false">IF(M90="","",IF(M90&gt;=9,"High",IF(M90&gt;=4,"Medium","Low")))</f>
        <v/>
      </c>
      <c r="O90" s="43" t="str">
        <f aca="false">IF(NOT(ISNUMBER(I90)),IF(I90="NA","N/A","Not scored"),IF(E90="M",IF(I90&gt;=3,"Compliant","Non-compliant"),IF(I90&gt;=3,"Meets GP","Below GP")))</f>
        <v>Not scored</v>
      </c>
      <c r="P90" s="10" t="s">
        <v>523</v>
      </c>
      <c r="Q90" s="44" t="n">
        <f aca="false">IF(ISNUMBER(I90),I90*H90,0)</f>
        <v>0</v>
      </c>
      <c r="R90" s="44" t="n">
        <f aca="false">IF(ISNUMBER(I90),4*H90,0)</f>
        <v>0</v>
      </c>
      <c r="S90" s="44" t="n">
        <f aca="false">IF(ISNUMBER(I90),1,0)</f>
        <v>0</v>
      </c>
      <c r="T90" s="44" t="n">
        <f aca="false">IF(AND(E90="M",ISNUMBER(I90)),1,0)</f>
        <v>0</v>
      </c>
      <c r="U90" s="44" t="n">
        <f aca="false">IF(AND(E90="M",ISNUMBER(I90)),IF(I90&gt;=3,1,0),0)</f>
        <v>0</v>
      </c>
      <c r="V90" s="1"/>
      <c r="W90" s="1"/>
      <c r="X90" s="1"/>
      <c r="Y90" s="1"/>
      <c r="Z90" s="1"/>
    </row>
    <row r="91" customFormat="false" ht="30.75" hidden="false" customHeight="true" outlineLevel="0" collapsed="false">
      <c r="A91" s="41" t="s">
        <v>524</v>
      </c>
      <c r="B91" s="41" t="s">
        <v>104</v>
      </c>
      <c r="C91" s="10" t="s">
        <v>525</v>
      </c>
      <c r="D91" s="10" t="s">
        <v>526</v>
      </c>
      <c r="E91" s="41" t="s">
        <v>166</v>
      </c>
      <c r="F91" s="10" t="s">
        <v>527</v>
      </c>
      <c r="G91" s="41" t="s">
        <v>168</v>
      </c>
      <c r="H91" s="41" t="n">
        <v>2</v>
      </c>
      <c r="I91" s="16"/>
      <c r="J91" s="15"/>
      <c r="K91" s="15"/>
      <c r="L91" s="15"/>
      <c r="M91" s="42" t="str">
        <f aca="false">IF(ISNUMBER(I91),(4-I91)*H91*IF(E91="M",1.5,1),"")</f>
        <v/>
      </c>
      <c r="N91" s="43" t="str">
        <f aca="false">IF(M91="","",IF(M91&gt;=9,"High",IF(M91&gt;=4,"Medium","Low")))</f>
        <v/>
      </c>
      <c r="O91" s="43" t="str">
        <f aca="false">IF(NOT(ISNUMBER(I91)),IF(I91="NA","N/A","Not scored"),IF(E91="M",IF(I91&gt;=3,"Compliant","Non-compliant"),IF(I91&gt;=3,"Meets GP","Below GP")))</f>
        <v>Not scored</v>
      </c>
      <c r="P91" s="10" t="s">
        <v>348</v>
      </c>
      <c r="Q91" s="44" t="n">
        <f aca="false">IF(ISNUMBER(I91),I91*H91,0)</f>
        <v>0</v>
      </c>
      <c r="R91" s="44" t="n">
        <f aca="false">IF(ISNUMBER(I91),4*H91,0)</f>
        <v>0</v>
      </c>
      <c r="S91" s="44" t="n">
        <f aca="false">IF(ISNUMBER(I91),1,0)</f>
        <v>0</v>
      </c>
      <c r="T91" s="44" t="n">
        <f aca="false">IF(AND(E91="M",ISNUMBER(I91)),1,0)</f>
        <v>0</v>
      </c>
      <c r="U91" s="44" t="n">
        <f aca="false">IF(AND(E91="M",ISNUMBER(I91)),IF(I91&gt;=3,1,0),0)</f>
        <v>0</v>
      </c>
      <c r="V91" s="1"/>
      <c r="W91" s="1"/>
      <c r="X91" s="1"/>
      <c r="Y91" s="1"/>
      <c r="Z91" s="1"/>
    </row>
    <row r="92" customFormat="false" ht="30.75" hidden="false" customHeight="true" outlineLevel="0" collapsed="false">
      <c r="A92" s="41" t="s">
        <v>528</v>
      </c>
      <c r="B92" s="41" t="s">
        <v>104</v>
      </c>
      <c r="C92" s="10" t="s">
        <v>529</v>
      </c>
      <c r="D92" s="10" t="s">
        <v>530</v>
      </c>
      <c r="E92" s="41" t="s">
        <v>166</v>
      </c>
      <c r="F92" s="10" t="s">
        <v>531</v>
      </c>
      <c r="G92" s="41" t="s">
        <v>226</v>
      </c>
      <c r="H92" s="41" t="n">
        <v>1</v>
      </c>
      <c r="I92" s="16"/>
      <c r="J92" s="15"/>
      <c r="K92" s="15"/>
      <c r="L92" s="15"/>
      <c r="M92" s="42" t="str">
        <f aca="false">IF(ISNUMBER(I92),(4-I92)*H92*IF(E92="M",1.5,1),"")</f>
        <v/>
      </c>
      <c r="N92" s="43" t="str">
        <f aca="false">IF(M92="","",IF(M92&gt;=9,"High",IF(M92&gt;=4,"Medium","Low")))</f>
        <v/>
      </c>
      <c r="O92" s="43" t="str">
        <f aca="false">IF(NOT(ISNUMBER(I92)),IF(I92="NA","N/A","Not scored"),IF(E92="M",IF(I92&gt;=3,"Compliant","Non-compliant"),IF(I92&gt;=3,"Meets GP","Below GP")))</f>
        <v>Not scored</v>
      </c>
      <c r="P92" s="10" t="s">
        <v>295</v>
      </c>
      <c r="Q92" s="44" t="n">
        <f aca="false">IF(ISNUMBER(I92),I92*H92,0)</f>
        <v>0</v>
      </c>
      <c r="R92" s="44" t="n">
        <f aca="false">IF(ISNUMBER(I92),4*H92,0)</f>
        <v>0</v>
      </c>
      <c r="S92" s="44" t="n">
        <f aca="false">IF(ISNUMBER(I92),1,0)</f>
        <v>0</v>
      </c>
      <c r="T92" s="44" t="n">
        <f aca="false">IF(AND(E92="M",ISNUMBER(I92)),1,0)</f>
        <v>0</v>
      </c>
      <c r="U92" s="44" t="n">
        <f aca="false">IF(AND(E92="M",ISNUMBER(I92)),IF(I92&gt;=3,1,0),0)</f>
        <v>0</v>
      </c>
      <c r="V92" s="1"/>
      <c r="W92" s="1"/>
      <c r="X92" s="1"/>
      <c r="Y92" s="1"/>
      <c r="Z92" s="1"/>
    </row>
    <row r="93" customFormat="false" ht="30.75" hidden="false" customHeight="true" outlineLevel="0" collapsed="false">
      <c r="A93" s="41" t="s">
        <v>532</v>
      </c>
      <c r="B93" s="41" t="s">
        <v>104</v>
      </c>
      <c r="C93" s="10" t="s">
        <v>533</v>
      </c>
      <c r="D93" s="10" t="s">
        <v>534</v>
      </c>
      <c r="E93" s="41" t="s">
        <v>188</v>
      </c>
      <c r="F93" s="10" t="s">
        <v>535</v>
      </c>
      <c r="G93" s="41" t="s">
        <v>179</v>
      </c>
      <c r="H93" s="41" t="n">
        <v>2</v>
      </c>
      <c r="I93" s="16"/>
      <c r="J93" s="15"/>
      <c r="K93" s="15"/>
      <c r="L93" s="15"/>
      <c r="M93" s="42" t="str">
        <f aca="false">IF(ISNUMBER(I93),(4-I93)*H93*IF(E93="M",1.5,1),"")</f>
        <v/>
      </c>
      <c r="N93" s="43" t="str">
        <f aca="false">IF(M93="","",IF(M93&gt;=9,"High",IF(M93&gt;=4,"Medium","Low")))</f>
        <v/>
      </c>
      <c r="O93" s="43" t="str">
        <f aca="false">IF(NOT(ISNUMBER(I93)),IF(I93="NA","N/A","Not scored"),IF(E93="M",IF(I93&gt;=3,"Compliant","Non-compliant"),IF(I93&gt;=3,"Meets GP","Below GP")))</f>
        <v>Not scored</v>
      </c>
      <c r="P93" s="10" t="s">
        <v>348</v>
      </c>
      <c r="Q93" s="44" t="n">
        <f aca="false">IF(ISNUMBER(I93),I93*H93,0)</f>
        <v>0</v>
      </c>
      <c r="R93" s="44" t="n">
        <f aca="false">IF(ISNUMBER(I93),4*H93,0)</f>
        <v>0</v>
      </c>
      <c r="S93" s="44" t="n">
        <f aca="false">IF(ISNUMBER(I93),1,0)</f>
        <v>0</v>
      </c>
      <c r="T93" s="44" t="n">
        <f aca="false">IF(AND(E93="M",ISNUMBER(I93)),1,0)</f>
        <v>0</v>
      </c>
      <c r="U93" s="44" t="n">
        <f aca="false">IF(AND(E93="M",ISNUMBER(I93)),IF(I93&gt;=3,1,0),0)</f>
        <v>0</v>
      </c>
      <c r="V93" s="1"/>
      <c r="W93" s="1"/>
      <c r="X93" s="1"/>
      <c r="Y93" s="1"/>
      <c r="Z93" s="1"/>
    </row>
    <row r="94" customFormat="false" ht="43.5" hidden="false" customHeight="true" outlineLevel="0" collapsed="false">
      <c r="A94" s="41" t="s">
        <v>536</v>
      </c>
      <c r="B94" s="41" t="s">
        <v>104</v>
      </c>
      <c r="C94" s="10" t="s">
        <v>537</v>
      </c>
      <c r="D94" s="10" t="s">
        <v>538</v>
      </c>
      <c r="E94" s="41" t="s">
        <v>188</v>
      </c>
      <c r="F94" s="10" t="s">
        <v>539</v>
      </c>
      <c r="G94" s="41" t="s">
        <v>168</v>
      </c>
      <c r="H94" s="41" t="n">
        <v>1</v>
      </c>
      <c r="I94" s="16"/>
      <c r="J94" s="15"/>
      <c r="K94" s="15"/>
      <c r="L94" s="15"/>
      <c r="M94" s="42" t="str">
        <f aca="false">IF(ISNUMBER(I94),(4-I94)*H94*IF(E94="M",1.5,1),"")</f>
        <v/>
      </c>
      <c r="N94" s="43" t="str">
        <f aca="false">IF(M94="","",IF(M94&gt;=9,"High",IF(M94&gt;=4,"Medium","Low")))</f>
        <v/>
      </c>
      <c r="O94" s="43" t="str">
        <f aca="false">IF(NOT(ISNUMBER(I94)),IF(I94="NA","N/A","Not scored"),IF(E94="M",IF(I94&gt;=3,"Compliant","Non-compliant"),IF(I94&gt;=3,"Meets GP","Below GP")))</f>
        <v>Not scored</v>
      </c>
      <c r="P94" s="10" t="s">
        <v>348</v>
      </c>
      <c r="Q94" s="44" t="n">
        <f aca="false">IF(ISNUMBER(I94),I94*H94,0)</f>
        <v>0</v>
      </c>
      <c r="R94" s="44" t="n">
        <f aca="false">IF(ISNUMBER(I94),4*H94,0)</f>
        <v>0</v>
      </c>
      <c r="S94" s="44" t="n">
        <f aca="false">IF(ISNUMBER(I94),1,0)</f>
        <v>0</v>
      </c>
      <c r="T94" s="44" t="n">
        <f aca="false">IF(AND(E94="M",ISNUMBER(I94)),1,0)</f>
        <v>0</v>
      </c>
      <c r="U94" s="44" t="n">
        <f aca="false">IF(AND(E94="M",ISNUMBER(I94)),IF(I94&gt;=3,1,0),0)</f>
        <v>0</v>
      </c>
      <c r="V94" s="1"/>
      <c r="W94" s="1"/>
      <c r="X94" s="1"/>
      <c r="Y94" s="1"/>
      <c r="Z94" s="1"/>
    </row>
    <row r="95" customFormat="false" ht="68.25" hidden="false" customHeight="true" outlineLevel="0" collapsed="false">
      <c r="A95" s="41" t="s">
        <v>540</v>
      </c>
      <c r="B95" s="41" t="s">
        <v>104</v>
      </c>
      <c r="C95" s="10" t="s">
        <v>541</v>
      </c>
      <c r="D95" s="10" t="s">
        <v>542</v>
      </c>
      <c r="E95" s="41" t="s">
        <v>166</v>
      </c>
      <c r="F95" s="10" t="s">
        <v>543</v>
      </c>
      <c r="G95" s="41" t="s">
        <v>168</v>
      </c>
      <c r="H95" s="41" t="n">
        <v>2</v>
      </c>
      <c r="I95" s="16"/>
      <c r="J95" s="15"/>
      <c r="K95" s="15"/>
      <c r="L95" s="15"/>
      <c r="M95" s="42" t="str">
        <f aca="false">IF(ISNUMBER(I95),(4-I95)*H95*IF(E95="M",1.5,1),"")</f>
        <v/>
      </c>
      <c r="N95" s="43" t="str">
        <f aca="false">IF(M95="","",IF(M95&gt;=9,"High",IF(M95&gt;=4,"Medium","Low")))</f>
        <v/>
      </c>
      <c r="O95" s="43" t="str">
        <f aca="false">IF(NOT(ISNUMBER(I95)),IF(I95="NA","N/A","Not scored"),IF(E95="M",IF(I95&gt;=3,"Compliant","Non-compliant"),IF(I95&gt;=3,"Meets GP","Below GP")))</f>
        <v>Not scored</v>
      </c>
      <c r="P95" s="10" t="s">
        <v>523</v>
      </c>
      <c r="Q95" s="44" t="n">
        <f aca="false">IF(ISNUMBER(I95),I95*H95,0)</f>
        <v>0</v>
      </c>
      <c r="R95" s="44" t="n">
        <f aca="false">IF(ISNUMBER(I95),4*H95,0)</f>
        <v>0</v>
      </c>
      <c r="S95" s="44" t="n">
        <f aca="false">IF(ISNUMBER(I95),1,0)</f>
        <v>0</v>
      </c>
      <c r="T95" s="44" t="n">
        <f aca="false">IF(AND(E95="M",ISNUMBER(I95)),1,0)</f>
        <v>0</v>
      </c>
      <c r="U95" s="44" t="n">
        <f aca="false">IF(AND(E95="M",ISNUMBER(I95)),IF(I95&gt;=3,1,0),0)</f>
        <v>0</v>
      </c>
      <c r="V95" s="1"/>
      <c r="W95" s="1"/>
      <c r="X95" s="1"/>
      <c r="Y95" s="1"/>
      <c r="Z95" s="1"/>
    </row>
    <row r="96" customFormat="false" ht="43.5" hidden="false" customHeight="true" outlineLevel="0" collapsed="false">
      <c r="A96" s="41" t="s">
        <v>544</v>
      </c>
      <c r="B96" s="41" t="s">
        <v>104</v>
      </c>
      <c r="C96" s="10" t="s">
        <v>545</v>
      </c>
      <c r="D96" s="10" t="s">
        <v>546</v>
      </c>
      <c r="E96" s="41" t="s">
        <v>188</v>
      </c>
      <c r="F96" s="10" t="s">
        <v>547</v>
      </c>
      <c r="G96" s="41" t="s">
        <v>179</v>
      </c>
      <c r="H96" s="41" t="n">
        <v>1</v>
      </c>
      <c r="I96" s="16"/>
      <c r="J96" s="15"/>
      <c r="K96" s="15"/>
      <c r="L96" s="15"/>
      <c r="M96" s="42" t="str">
        <f aca="false">IF(ISNUMBER(I96),(4-I96)*H96*IF(E96="M",1.5,1),"")</f>
        <v/>
      </c>
      <c r="N96" s="43" t="str">
        <f aca="false">IF(M96="","",IF(M96&gt;=9,"High",IF(M96&gt;=4,"Medium","Low")))</f>
        <v/>
      </c>
      <c r="O96" s="43" t="str">
        <f aca="false">IF(NOT(ISNUMBER(I96)),IF(I96="NA","N/A","Not scored"),IF(E96="M",IF(I96&gt;=3,"Compliant","Non-compliant"),IF(I96&gt;=3,"Meets GP","Below GP")))</f>
        <v>Not scored</v>
      </c>
      <c r="P96" s="10" t="s">
        <v>348</v>
      </c>
      <c r="Q96" s="44" t="n">
        <f aca="false">IF(ISNUMBER(I96),I96*H96,0)</f>
        <v>0</v>
      </c>
      <c r="R96" s="44" t="n">
        <f aca="false">IF(ISNUMBER(I96),4*H96,0)</f>
        <v>0</v>
      </c>
      <c r="S96" s="44" t="n">
        <f aca="false">IF(ISNUMBER(I96),1,0)</f>
        <v>0</v>
      </c>
      <c r="T96" s="44" t="n">
        <f aca="false">IF(AND(E96="M",ISNUMBER(I96)),1,0)</f>
        <v>0</v>
      </c>
      <c r="U96" s="44" t="n">
        <f aca="false">IF(AND(E96="M",ISNUMBER(I96)),IF(I96&gt;=3,1,0),0)</f>
        <v>0</v>
      </c>
      <c r="V96" s="1"/>
      <c r="W96" s="1"/>
      <c r="X96" s="1"/>
      <c r="Y96" s="1"/>
      <c r="Z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3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3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3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3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3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3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3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3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3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3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3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3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3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3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3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3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3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3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3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3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3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3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3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3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3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3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3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3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3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3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3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3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3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3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3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3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3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3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3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3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3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3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3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3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3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3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3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3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3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3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3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3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3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3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3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3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3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3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3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3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3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3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3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3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3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3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3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3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3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3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3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3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3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3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3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3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3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3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3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3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3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3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3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3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3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3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3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3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3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3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3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3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3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3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3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3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3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3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3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3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3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3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3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3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3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3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3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3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3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3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3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3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3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3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3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3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3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3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3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3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3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3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3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3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3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3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3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3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3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3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3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3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3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3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3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3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3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3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3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3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3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3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3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3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3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3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3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3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3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3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3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3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3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3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3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3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3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3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3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3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3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3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3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3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3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3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3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3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3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3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3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3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3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3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3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3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3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3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3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3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3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3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3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3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3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3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3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3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3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3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3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3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3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3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3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3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3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3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3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3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3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3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3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3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3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3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3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3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3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3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3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3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3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3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3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3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3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3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3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3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3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3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3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3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3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3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3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3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3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3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3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3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3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3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3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3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3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3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3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3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3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3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3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3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3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3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3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3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3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3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3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3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3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3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3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3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3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3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3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3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3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3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3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3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3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3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3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3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3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3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3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3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3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3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3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3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3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3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3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3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3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3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3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3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3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3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3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3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3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3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3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3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3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3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3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3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3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3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3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3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3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3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3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3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3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3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3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3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3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3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3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3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3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3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3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3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3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3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3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3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3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3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3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3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3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3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3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3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3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3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3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3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3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3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3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3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3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3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3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3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3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3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3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3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3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3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3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3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3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3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3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3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3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3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3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3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3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3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3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3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3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3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3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3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3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3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3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3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3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3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3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3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3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3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3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3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3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3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3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3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3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3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3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3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3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3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3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3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3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3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3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3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3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3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3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3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3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3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3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3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3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3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3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3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3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3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3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3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3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3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3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3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3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3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3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3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3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3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3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3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3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3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3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3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3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3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3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3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3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3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3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3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3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3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3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3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3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3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3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3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3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3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3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3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3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3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3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3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3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3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3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3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3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3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3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3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3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3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3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3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3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3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3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3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3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3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3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3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3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3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3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3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3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3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3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3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3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3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3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3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3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3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3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3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3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3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3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3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3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3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3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3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3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3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3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3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3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3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3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3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3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3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3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3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3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3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3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3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3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3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3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3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3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3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3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3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3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3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3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3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3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3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3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3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3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3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3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3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3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3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3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3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3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3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3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3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3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3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3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3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3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3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3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3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3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3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3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3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3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3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3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3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3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3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3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3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3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3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3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3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3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3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3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3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3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3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3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3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3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3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3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3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3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3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3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3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3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3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3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3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3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3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3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3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3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3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3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3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3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3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3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3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3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3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3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3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3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3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3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3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3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3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3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3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3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3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3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3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3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3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3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3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3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3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3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3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3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3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3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3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3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3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3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3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3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3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3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3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3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3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3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3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3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3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3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3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3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3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3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3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3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3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3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3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3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3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3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3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3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3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3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3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3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3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3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3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3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3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3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3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3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3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3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3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3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3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3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3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3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3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3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3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3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3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3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3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3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3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3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3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3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3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3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3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3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3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3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3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3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3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3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3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3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3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3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3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3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3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3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3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3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3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3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3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3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3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3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3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3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3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3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3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3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3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3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3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3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3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3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3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3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3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3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3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3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3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3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3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3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3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3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3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3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3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3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3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3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3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3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3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3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3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3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3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3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3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3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3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3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3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3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3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3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3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3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3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3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3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3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3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3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3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3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3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3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3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3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3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3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3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3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3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3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3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3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3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3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3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3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3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3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3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3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3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3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3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3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3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3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3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3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3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3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3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3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3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3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3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3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3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3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3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3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3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3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3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3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3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3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3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3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3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3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3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3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3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3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3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3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3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3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3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3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3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3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3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3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3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3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3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3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3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3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3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3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3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3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3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3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3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3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3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3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3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3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3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3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3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3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3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3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3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3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3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3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3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3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3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3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3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3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3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3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3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3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3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3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3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3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3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3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3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3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3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3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3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3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3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3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3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3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3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3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3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3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3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3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3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3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3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3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3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3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3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3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3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3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3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3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3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37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37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37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37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4:P81"/>
  <mergeCells count="10">
    <mergeCell ref="A5:P5"/>
    <mergeCell ref="A14:P14"/>
    <mergeCell ref="A25:P25"/>
    <mergeCell ref="A33:P33"/>
    <mergeCell ref="A43:P43"/>
    <mergeCell ref="A53:P53"/>
    <mergeCell ref="A61:P61"/>
    <mergeCell ref="A71:P71"/>
    <mergeCell ref="A81:P81"/>
    <mergeCell ref="A87:P87"/>
  </mergeCells>
  <conditionalFormatting sqref="N5:N96">
    <cfRule type="cellIs" priority="2" operator="equal" aboveAverage="0" equalAverage="0" bottom="0" percent="0" rank="0" text="" dxfId="12">
      <formula>"High"</formula>
    </cfRule>
    <cfRule type="cellIs" priority="3" operator="equal" aboveAverage="0" equalAverage="0" bottom="0" percent="0" rank="0" text="" dxfId="2">
      <formula>"Medium"</formula>
    </cfRule>
    <cfRule type="cellIs" priority="4" operator="equal" aboveAverage="0" equalAverage="0" bottom="0" percent="0" rank="0" text="" dxfId="3">
      <formula>"Low"</formula>
    </cfRule>
  </conditionalFormatting>
  <conditionalFormatting sqref="O5:O96">
    <cfRule type="cellIs" priority="5" operator="equal" aboveAverage="0" equalAverage="0" bottom="0" percent="0" rank="0" text="" dxfId="13">
      <formula>"Non-compliant"</formula>
    </cfRule>
    <cfRule type="cellIs" priority="6" operator="equal" aboveAverage="0" equalAverage="0" bottom="0" percent="0" rank="0" text="" dxfId="14">
      <formula>"Compliant"</formula>
    </cfRule>
  </conditionalFormatting>
  <dataValidations count="1">
    <dataValidation allowBlank="true" errorStyle="stop" operator="between" showDropDown="false" showErrorMessage="false" showInputMessage="false" sqref="I6:I13 I15:I24 I26:I32 I34:I42 I44:I52 I54:I60 I62:I70 I72:I80 I82:I86 I88:I96" type="list">
      <formula1>"0,1,2,3,4,NA"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D5" activeCellId="0" sqref="D5"/>
    </sheetView>
  </sheetViews>
  <sheetFormatPr defaultColWidth="14.43359375" defaultRowHeight="15" zeroHeight="false" outlineLevelRow="0" outlineLevelCol="1"/>
  <cols>
    <col collapsed="false" customWidth="true" hidden="false" outlineLevel="0" max="1" min="1" style="0" width="7"/>
    <col collapsed="false" customWidth="true" hidden="false" outlineLevel="0" max="2" min="2" style="0" width="11.43"/>
    <col collapsed="false" customWidth="true" hidden="false" outlineLevel="0" max="3" min="3" style="0" width="46"/>
    <col collapsed="false" customWidth="true" hidden="false" outlineLevel="0" max="4" min="4" style="0" width="28.29"/>
    <col collapsed="false" customWidth="true" hidden="false" outlineLevel="0" max="5" min="5" style="0" width="13.71"/>
    <col collapsed="false" customWidth="true" hidden="false" outlineLevel="0" max="6" min="6" style="0" width="26"/>
    <col collapsed="false" customWidth="true" hidden="false" outlineLevel="0" max="7" min="7" style="0" width="13.43"/>
    <col collapsed="false" customWidth="true" hidden="false" outlineLevel="0" max="8" min="8" style="0" width="12.57"/>
    <col collapsed="false" customWidth="true" hidden="false" outlineLevel="0" max="9" min="9" style="0" width="16"/>
    <col collapsed="false" customWidth="true" hidden="false" outlineLevel="0" max="10" min="10" style="0" width="30"/>
    <col collapsed="false" customWidth="true" hidden="false" outlineLevel="0" max="11" min="11" style="0" width="28"/>
    <col collapsed="false" customWidth="true" hidden="false" outlineLevel="0" max="12" min="12" style="0" width="30"/>
    <col collapsed="false" customWidth="true" hidden="false" outlineLevel="0" max="14" min="13" style="0" width="15.57"/>
    <col collapsed="false" customWidth="true" hidden="false" outlineLevel="0" max="15" min="15" style="0" width="16"/>
    <col collapsed="false" customWidth="true" hidden="false" outlineLevel="0" max="16" min="16" style="0" width="24.57"/>
    <col collapsed="false" customWidth="true" hidden="true" outlineLevel="1" max="21" min="17" style="0" width="7"/>
    <col collapsed="false" customWidth="true" hidden="false" outlineLevel="0" max="26" min="22" style="0" width="8.71"/>
  </cols>
  <sheetData>
    <row r="1" customFormat="false" ht="16.15" hidden="false" customHeight="false" outlineLevel="0" collapsed="false">
      <c r="A1" s="36" t="s">
        <v>548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false" outlineLevel="0" collapsed="false">
      <c r="A2" s="38" t="s">
        <v>148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31.5" hidden="false" customHeight="true" outlineLevel="0" collapsed="false">
      <c r="A4" s="7" t="s">
        <v>149</v>
      </c>
      <c r="B4" s="7" t="s">
        <v>78</v>
      </c>
      <c r="C4" s="7" t="s">
        <v>56</v>
      </c>
      <c r="D4" s="7" t="s">
        <v>150</v>
      </c>
      <c r="E4" s="7" t="s">
        <v>151</v>
      </c>
      <c r="F4" s="7" t="s">
        <v>152</v>
      </c>
      <c r="G4" s="7" t="s">
        <v>153</v>
      </c>
      <c r="H4" s="7" t="s">
        <v>48</v>
      </c>
      <c r="I4" s="7" t="s">
        <v>154</v>
      </c>
      <c r="J4" s="7" t="s">
        <v>57</v>
      </c>
      <c r="K4" s="7" t="s">
        <v>58</v>
      </c>
      <c r="L4" s="7" t="s">
        <v>59</v>
      </c>
      <c r="M4" s="7" t="s">
        <v>46</v>
      </c>
      <c r="N4" s="7" t="s">
        <v>155</v>
      </c>
      <c r="O4" s="7" t="s">
        <v>156</v>
      </c>
      <c r="P4" s="7" t="s">
        <v>157</v>
      </c>
      <c r="Q4" s="39" t="s">
        <v>158</v>
      </c>
      <c r="R4" s="39" t="s">
        <v>159</v>
      </c>
      <c r="S4" s="39" t="s">
        <v>80</v>
      </c>
      <c r="T4" s="39" t="s">
        <v>160</v>
      </c>
      <c r="U4" s="39" t="s">
        <v>161</v>
      </c>
      <c r="V4" s="1"/>
      <c r="W4" s="1"/>
      <c r="X4" s="1"/>
      <c r="Y4" s="1"/>
      <c r="Z4" s="1"/>
    </row>
    <row r="5" customFormat="false" ht="15" hidden="false" customHeight="false" outlineLevel="0" collapsed="false">
      <c r="A5" s="40" t="s">
        <v>549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30.75" hidden="false" customHeight="true" outlineLevel="0" collapsed="false">
      <c r="A6" s="41" t="s">
        <v>550</v>
      </c>
      <c r="B6" s="41" t="s">
        <v>106</v>
      </c>
      <c r="C6" s="10" t="s">
        <v>551</v>
      </c>
      <c r="D6" s="10" t="s">
        <v>552</v>
      </c>
      <c r="E6" s="41" t="s">
        <v>166</v>
      </c>
      <c r="F6" s="10" t="s">
        <v>553</v>
      </c>
      <c r="G6" s="41" t="s">
        <v>168</v>
      </c>
      <c r="H6" s="41" t="n">
        <v>3</v>
      </c>
      <c r="I6" s="16"/>
      <c r="J6" s="15"/>
      <c r="K6" s="15"/>
      <c r="L6" s="15"/>
      <c r="M6" s="42" t="str">
        <f aca="false">IF(ISNUMBER(I6),(4-I6)*H6*IF(E6="M",1.5,1),"")</f>
        <v/>
      </c>
      <c r="N6" s="43" t="str">
        <f aca="false">IF(M6="","",IF(M6&gt;=9,"High",IF(M6&gt;=4,"Medium","Low")))</f>
        <v/>
      </c>
      <c r="O6" s="43" t="str">
        <f aca="false">IF(NOT(ISNUMBER(I6)),IF(I6="NA","N/A","Not scored"),IF(E6="M",IF(I6&gt;=3,"Compliant","Non-compliant"),IF(I6&gt;=3,"Meets GP","Below GP")))</f>
        <v>Not scored</v>
      </c>
      <c r="P6" s="10" t="s">
        <v>554</v>
      </c>
      <c r="Q6" s="44" t="n">
        <f aca="false">IF(ISNUMBER(I6),I6*H6,0)</f>
        <v>0</v>
      </c>
      <c r="R6" s="44" t="n">
        <f aca="false">IF(ISNUMBER(I6),4*H6,0)</f>
        <v>0</v>
      </c>
      <c r="S6" s="44" t="n">
        <f aca="false">IF(ISNUMBER(I6),1,0)</f>
        <v>0</v>
      </c>
      <c r="T6" s="44" t="n">
        <f aca="false">IF(AND(E6="M",ISNUMBER(I6)),1,0)</f>
        <v>0</v>
      </c>
      <c r="U6" s="44" t="n">
        <f aca="false">IF(AND(E6="M",ISNUMBER(I6)),IF(I6&gt;=3,1,0),0)</f>
        <v>0</v>
      </c>
      <c r="V6" s="1"/>
      <c r="W6" s="1"/>
      <c r="X6" s="1"/>
      <c r="Y6" s="1"/>
      <c r="Z6" s="1"/>
    </row>
    <row r="7" customFormat="false" ht="55.5" hidden="false" customHeight="true" outlineLevel="0" collapsed="false">
      <c r="A7" s="41" t="s">
        <v>555</v>
      </c>
      <c r="B7" s="41" t="s">
        <v>106</v>
      </c>
      <c r="C7" s="10" t="s">
        <v>556</v>
      </c>
      <c r="D7" s="10" t="s">
        <v>557</v>
      </c>
      <c r="E7" s="41" t="s">
        <v>166</v>
      </c>
      <c r="F7" s="10" t="s">
        <v>558</v>
      </c>
      <c r="G7" s="41" t="s">
        <v>168</v>
      </c>
      <c r="H7" s="41" t="n">
        <v>3</v>
      </c>
      <c r="I7" s="16"/>
      <c r="J7" s="15"/>
      <c r="K7" s="15"/>
      <c r="L7" s="15"/>
      <c r="M7" s="42" t="str">
        <f aca="false">IF(ISNUMBER(I7),(4-I7)*H7*IF(E7="M",1.5,1),"")</f>
        <v/>
      </c>
      <c r="N7" s="43" t="str">
        <f aca="false">IF(M7="","",IF(M7&gt;=9,"High",IF(M7&gt;=4,"Medium","Low")))</f>
        <v/>
      </c>
      <c r="O7" s="43" t="str">
        <f aca="false">IF(NOT(ISNUMBER(I7)),IF(I7="NA","N/A","Not scored"),IF(E7="M",IF(I7&gt;=3,"Compliant","Non-compliant"),IF(I7&gt;=3,"Meets GP","Below GP")))</f>
        <v>Not scored</v>
      </c>
      <c r="P7" s="10" t="s">
        <v>376</v>
      </c>
      <c r="Q7" s="44" t="n">
        <f aca="false">IF(ISNUMBER(I7),I7*H7,0)</f>
        <v>0</v>
      </c>
      <c r="R7" s="44" t="n">
        <f aca="false">IF(ISNUMBER(I7),4*H7,0)</f>
        <v>0</v>
      </c>
      <c r="S7" s="44" t="n">
        <f aca="false">IF(ISNUMBER(I7),1,0)</f>
        <v>0</v>
      </c>
      <c r="T7" s="44" t="n">
        <f aca="false">IF(AND(E7="M",ISNUMBER(I7)),1,0)</f>
        <v>0</v>
      </c>
      <c r="U7" s="44" t="n">
        <f aca="false">IF(AND(E7="M",ISNUMBER(I7)),IF(I7&gt;=3,1,0),0)</f>
        <v>0</v>
      </c>
      <c r="V7" s="1"/>
      <c r="W7" s="1"/>
      <c r="X7" s="1"/>
      <c r="Y7" s="1"/>
      <c r="Z7" s="1"/>
    </row>
    <row r="8" customFormat="false" ht="30.75" hidden="false" customHeight="true" outlineLevel="0" collapsed="false">
      <c r="A8" s="41" t="s">
        <v>559</v>
      </c>
      <c r="B8" s="41" t="s">
        <v>106</v>
      </c>
      <c r="C8" s="10" t="s">
        <v>560</v>
      </c>
      <c r="D8" s="10" t="s">
        <v>561</v>
      </c>
      <c r="E8" s="41" t="s">
        <v>166</v>
      </c>
      <c r="F8" s="10" t="s">
        <v>562</v>
      </c>
      <c r="G8" s="41" t="s">
        <v>179</v>
      </c>
      <c r="H8" s="41" t="n">
        <v>3</v>
      </c>
      <c r="I8" s="16"/>
      <c r="J8" s="15"/>
      <c r="K8" s="15"/>
      <c r="L8" s="15"/>
      <c r="M8" s="42" t="str">
        <f aca="false">IF(ISNUMBER(I8),(4-I8)*H8*IF(E8="M",1.5,1),"")</f>
        <v/>
      </c>
      <c r="N8" s="43" t="str">
        <f aca="false">IF(M8="","",IF(M8&gt;=9,"High",IF(M8&gt;=4,"Medium","Low")))</f>
        <v/>
      </c>
      <c r="O8" s="43" t="str">
        <f aca="false">IF(NOT(ISNUMBER(I8)),IF(I8="NA","N/A","Not scored"),IF(E8="M",IF(I8&gt;=3,"Compliant","Non-compliant"),IF(I8&gt;=3,"Meets GP","Below GP")))</f>
        <v>Not scored</v>
      </c>
      <c r="P8" s="10" t="s">
        <v>470</v>
      </c>
      <c r="Q8" s="44" t="n">
        <f aca="false">IF(ISNUMBER(I8),I8*H8,0)</f>
        <v>0</v>
      </c>
      <c r="R8" s="44" t="n">
        <f aca="false">IF(ISNUMBER(I8),4*H8,0)</f>
        <v>0</v>
      </c>
      <c r="S8" s="44" t="n">
        <f aca="false">IF(ISNUMBER(I8),1,0)</f>
        <v>0</v>
      </c>
      <c r="T8" s="44" t="n">
        <f aca="false">IF(AND(E8="M",ISNUMBER(I8)),1,0)</f>
        <v>0</v>
      </c>
      <c r="U8" s="44" t="n">
        <f aca="false">IF(AND(E8="M",ISNUMBER(I8)),IF(I8&gt;=3,1,0),0)</f>
        <v>0</v>
      </c>
      <c r="V8" s="1"/>
      <c r="W8" s="1"/>
      <c r="X8" s="1"/>
      <c r="Y8" s="1"/>
      <c r="Z8" s="1"/>
    </row>
    <row r="9" customFormat="false" ht="43.5" hidden="false" customHeight="true" outlineLevel="0" collapsed="false">
      <c r="A9" s="41" t="s">
        <v>563</v>
      </c>
      <c r="B9" s="41" t="s">
        <v>106</v>
      </c>
      <c r="C9" s="10" t="s">
        <v>564</v>
      </c>
      <c r="D9" s="10" t="s">
        <v>561</v>
      </c>
      <c r="E9" s="41" t="s">
        <v>166</v>
      </c>
      <c r="F9" s="10" t="s">
        <v>565</v>
      </c>
      <c r="G9" s="41" t="s">
        <v>168</v>
      </c>
      <c r="H9" s="41" t="n">
        <v>2</v>
      </c>
      <c r="I9" s="16"/>
      <c r="J9" s="15"/>
      <c r="K9" s="15"/>
      <c r="L9" s="15"/>
      <c r="M9" s="42" t="str">
        <f aca="false">IF(ISNUMBER(I9),(4-I9)*H9*IF(E9="M",1.5,1),"")</f>
        <v/>
      </c>
      <c r="N9" s="43" t="str">
        <f aca="false">IF(M9="","",IF(M9&gt;=9,"High",IF(M9&gt;=4,"Medium","Low")))</f>
        <v/>
      </c>
      <c r="O9" s="43" t="str">
        <f aca="false">IF(NOT(ISNUMBER(I9)),IF(I9="NA","N/A","Not scored"),IF(E9="M",IF(I9&gt;=3,"Compliant","Non-compliant"),IF(I9&gt;=3,"Meets GP","Below GP")))</f>
        <v>Not scored</v>
      </c>
      <c r="P9" s="10" t="s">
        <v>470</v>
      </c>
      <c r="Q9" s="44" t="n">
        <f aca="false">IF(ISNUMBER(I9),I9*H9,0)</f>
        <v>0</v>
      </c>
      <c r="R9" s="44" t="n">
        <f aca="false">IF(ISNUMBER(I9),4*H9,0)</f>
        <v>0</v>
      </c>
      <c r="S9" s="44" t="n">
        <f aca="false">IF(ISNUMBER(I9),1,0)</f>
        <v>0</v>
      </c>
      <c r="T9" s="44" t="n">
        <f aca="false">IF(AND(E9="M",ISNUMBER(I9)),1,0)</f>
        <v>0</v>
      </c>
      <c r="U9" s="44" t="n">
        <f aca="false">IF(AND(E9="M",ISNUMBER(I9)),IF(I9&gt;=3,1,0),0)</f>
        <v>0</v>
      </c>
      <c r="V9" s="1"/>
      <c r="W9" s="1"/>
      <c r="X9" s="1"/>
      <c r="Y9" s="1"/>
      <c r="Z9" s="1"/>
    </row>
    <row r="10" customFormat="false" ht="30.75" hidden="false" customHeight="true" outlineLevel="0" collapsed="false">
      <c r="A10" s="41" t="s">
        <v>566</v>
      </c>
      <c r="B10" s="41" t="s">
        <v>106</v>
      </c>
      <c r="C10" s="10" t="s">
        <v>567</v>
      </c>
      <c r="D10" s="10" t="s">
        <v>561</v>
      </c>
      <c r="E10" s="41" t="s">
        <v>166</v>
      </c>
      <c r="F10" s="10" t="s">
        <v>568</v>
      </c>
      <c r="G10" s="41" t="s">
        <v>179</v>
      </c>
      <c r="H10" s="41" t="n">
        <v>2</v>
      </c>
      <c r="I10" s="16"/>
      <c r="J10" s="15"/>
      <c r="K10" s="15"/>
      <c r="L10" s="15"/>
      <c r="M10" s="42" t="str">
        <f aca="false">IF(ISNUMBER(I10),(4-I10)*H10*IF(E10="M",1.5,1),"")</f>
        <v/>
      </c>
      <c r="N10" s="43" t="str">
        <f aca="false">IF(M10="","",IF(M10&gt;=9,"High",IF(M10&gt;=4,"Medium","Low")))</f>
        <v/>
      </c>
      <c r="O10" s="43" t="str">
        <f aca="false">IF(NOT(ISNUMBER(I10)),IF(I10="NA","N/A","Not scored"),IF(E10="M",IF(I10&gt;=3,"Compliant","Non-compliant"),IF(I10&gt;=3,"Meets GP","Below GP")))</f>
        <v>Not scored</v>
      </c>
      <c r="P10" s="10" t="s">
        <v>470</v>
      </c>
      <c r="Q10" s="44" t="n">
        <f aca="false">IF(ISNUMBER(I10),I10*H10,0)</f>
        <v>0</v>
      </c>
      <c r="R10" s="44" t="n">
        <f aca="false">IF(ISNUMBER(I10),4*H10,0)</f>
        <v>0</v>
      </c>
      <c r="S10" s="44" t="n">
        <f aca="false">IF(ISNUMBER(I10),1,0)</f>
        <v>0</v>
      </c>
      <c r="T10" s="44" t="n">
        <f aca="false">IF(AND(E10="M",ISNUMBER(I10)),1,0)</f>
        <v>0</v>
      </c>
      <c r="U10" s="44" t="n">
        <f aca="false">IF(AND(E10="M",ISNUMBER(I10)),IF(I10&gt;=3,1,0),0)</f>
        <v>0</v>
      </c>
      <c r="V10" s="1"/>
      <c r="W10" s="1"/>
      <c r="X10" s="1"/>
      <c r="Y10" s="1"/>
      <c r="Z10" s="1"/>
    </row>
    <row r="11" customFormat="false" ht="15" hidden="false" customHeight="false" outlineLevel="0" collapsed="false">
      <c r="A11" s="40" t="s">
        <v>569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30.75" hidden="false" customHeight="true" outlineLevel="0" collapsed="false">
      <c r="A12" s="41" t="s">
        <v>570</v>
      </c>
      <c r="B12" s="41" t="s">
        <v>108</v>
      </c>
      <c r="C12" s="10" t="s">
        <v>571</v>
      </c>
      <c r="D12" s="10" t="s">
        <v>572</v>
      </c>
      <c r="E12" s="41" t="s">
        <v>166</v>
      </c>
      <c r="F12" s="10" t="s">
        <v>573</v>
      </c>
      <c r="G12" s="41" t="s">
        <v>424</v>
      </c>
      <c r="H12" s="41" t="n">
        <v>3</v>
      </c>
      <c r="I12" s="16"/>
      <c r="J12" s="15"/>
      <c r="K12" s="15"/>
      <c r="L12" s="15"/>
      <c r="M12" s="42" t="str">
        <f aca="false">IF(ISNUMBER(I12),(4-I12)*H12*IF(E12="M",1.5,1),"")</f>
        <v/>
      </c>
      <c r="N12" s="43" t="str">
        <f aca="false">IF(M12="","",IF(M12&gt;=9,"High",IF(M12&gt;=4,"Medium","Low")))</f>
        <v/>
      </c>
      <c r="O12" s="43" t="str">
        <f aca="false">IF(NOT(ISNUMBER(I12)),IF(I12="NA","N/A","Not scored"),IF(E12="M",IF(I12&gt;=3,"Compliant","Non-compliant"),IF(I12&gt;=3,"Meets GP","Below GP")))</f>
        <v>Not scored</v>
      </c>
      <c r="P12" s="10" t="s">
        <v>574</v>
      </c>
      <c r="Q12" s="44" t="n">
        <f aca="false">IF(ISNUMBER(I12),I12*H12,0)</f>
        <v>0</v>
      </c>
      <c r="R12" s="44" t="n">
        <f aca="false">IF(ISNUMBER(I12),4*H12,0)</f>
        <v>0</v>
      </c>
      <c r="S12" s="44" t="n">
        <f aca="false">IF(ISNUMBER(I12),1,0)</f>
        <v>0</v>
      </c>
      <c r="T12" s="44" t="n">
        <f aca="false">IF(AND(E12="M",ISNUMBER(I12)),1,0)</f>
        <v>0</v>
      </c>
      <c r="U12" s="44" t="n">
        <f aca="false">IF(AND(E12="M",ISNUMBER(I12)),IF(I12&gt;=3,1,0),0)</f>
        <v>0</v>
      </c>
      <c r="V12" s="1"/>
      <c r="W12" s="1"/>
      <c r="X12" s="1"/>
      <c r="Y12" s="1"/>
      <c r="Z12" s="1"/>
    </row>
    <row r="13" customFormat="false" ht="30.75" hidden="false" customHeight="true" outlineLevel="0" collapsed="false">
      <c r="A13" s="41" t="s">
        <v>575</v>
      </c>
      <c r="B13" s="41" t="s">
        <v>108</v>
      </c>
      <c r="C13" s="10" t="s">
        <v>576</v>
      </c>
      <c r="D13" s="10" t="s">
        <v>577</v>
      </c>
      <c r="E13" s="41" t="s">
        <v>166</v>
      </c>
      <c r="F13" s="10" t="s">
        <v>578</v>
      </c>
      <c r="G13" s="41" t="s">
        <v>226</v>
      </c>
      <c r="H13" s="41" t="n">
        <v>3</v>
      </c>
      <c r="I13" s="16"/>
      <c r="J13" s="15"/>
      <c r="K13" s="15"/>
      <c r="L13" s="15"/>
      <c r="M13" s="42" t="str">
        <f aca="false">IF(ISNUMBER(I13),(4-I13)*H13*IF(E13="M",1.5,1),"")</f>
        <v/>
      </c>
      <c r="N13" s="43" t="str">
        <f aca="false">IF(M13="","",IF(M13&gt;=9,"High",IF(M13&gt;=4,"Medium","Low")))</f>
        <v/>
      </c>
      <c r="O13" s="43" t="str">
        <f aca="false">IF(NOT(ISNUMBER(I13)),IF(I13="NA","N/A","Not scored"),IF(E13="M",IF(I13&gt;=3,"Compliant","Non-compliant"),IF(I13&gt;=3,"Meets GP","Below GP")))</f>
        <v>Not scored</v>
      </c>
      <c r="P13" s="10" t="s">
        <v>579</v>
      </c>
      <c r="Q13" s="44" t="n">
        <f aca="false">IF(ISNUMBER(I13),I13*H13,0)</f>
        <v>0</v>
      </c>
      <c r="R13" s="44" t="n">
        <f aca="false">IF(ISNUMBER(I13),4*H13,0)</f>
        <v>0</v>
      </c>
      <c r="S13" s="44" t="n">
        <f aca="false">IF(ISNUMBER(I13),1,0)</f>
        <v>0</v>
      </c>
      <c r="T13" s="44" t="n">
        <f aca="false">IF(AND(E13="M",ISNUMBER(I13)),1,0)</f>
        <v>0</v>
      </c>
      <c r="U13" s="44" t="n">
        <f aca="false">IF(AND(E13="M",ISNUMBER(I13)),IF(I13&gt;=3,1,0),0)</f>
        <v>0</v>
      </c>
      <c r="V13" s="1"/>
      <c r="W13" s="1"/>
      <c r="X13" s="1"/>
      <c r="Y13" s="1"/>
      <c r="Z13" s="1"/>
    </row>
    <row r="14" customFormat="false" ht="30.75" hidden="false" customHeight="true" outlineLevel="0" collapsed="false">
      <c r="A14" s="41" t="s">
        <v>580</v>
      </c>
      <c r="B14" s="41" t="s">
        <v>108</v>
      </c>
      <c r="C14" s="10" t="s">
        <v>581</v>
      </c>
      <c r="D14" s="10" t="s">
        <v>582</v>
      </c>
      <c r="E14" s="41" t="s">
        <v>166</v>
      </c>
      <c r="F14" s="10" t="s">
        <v>583</v>
      </c>
      <c r="G14" s="41" t="s">
        <v>584</v>
      </c>
      <c r="H14" s="41" t="n">
        <v>3</v>
      </c>
      <c r="I14" s="16"/>
      <c r="J14" s="15"/>
      <c r="K14" s="15"/>
      <c r="L14" s="15"/>
      <c r="M14" s="42" t="str">
        <f aca="false">IF(ISNUMBER(I14),(4-I14)*H14*IF(E14="M",1.5,1),"")</f>
        <v/>
      </c>
      <c r="N14" s="43" t="str">
        <f aca="false">IF(M14="","",IF(M14&gt;=9,"High",IF(M14&gt;=4,"Medium","Low")))</f>
        <v/>
      </c>
      <c r="O14" s="43" t="str">
        <f aca="false">IF(NOT(ISNUMBER(I14)),IF(I14="NA","N/A","Not scored"),IF(E14="M",IF(I14&gt;=3,"Compliant","Non-compliant"),IF(I14&gt;=3,"Meets GP","Below GP")))</f>
        <v>Not scored</v>
      </c>
      <c r="P14" s="10" t="s">
        <v>579</v>
      </c>
      <c r="Q14" s="44" t="n">
        <f aca="false">IF(ISNUMBER(I14),I14*H14,0)</f>
        <v>0</v>
      </c>
      <c r="R14" s="44" t="n">
        <f aca="false">IF(ISNUMBER(I14),4*H14,0)</f>
        <v>0</v>
      </c>
      <c r="S14" s="44" t="n">
        <f aca="false">IF(ISNUMBER(I14),1,0)</f>
        <v>0</v>
      </c>
      <c r="T14" s="44" t="n">
        <f aca="false">IF(AND(E14="M",ISNUMBER(I14)),1,0)</f>
        <v>0</v>
      </c>
      <c r="U14" s="44" t="n">
        <f aca="false">IF(AND(E14="M",ISNUMBER(I14)),IF(I14&gt;=3,1,0),0)</f>
        <v>0</v>
      </c>
      <c r="V14" s="1"/>
      <c r="W14" s="1"/>
      <c r="X14" s="1"/>
      <c r="Y14" s="1"/>
      <c r="Z14" s="1"/>
    </row>
    <row r="15" customFormat="false" ht="30.75" hidden="false" customHeight="true" outlineLevel="0" collapsed="false">
      <c r="A15" s="41" t="s">
        <v>585</v>
      </c>
      <c r="B15" s="41" t="s">
        <v>108</v>
      </c>
      <c r="C15" s="10" t="s">
        <v>586</v>
      </c>
      <c r="D15" s="10" t="s">
        <v>561</v>
      </c>
      <c r="E15" s="41" t="s">
        <v>188</v>
      </c>
      <c r="F15" s="10" t="s">
        <v>587</v>
      </c>
      <c r="G15" s="41" t="s">
        <v>588</v>
      </c>
      <c r="H15" s="41" t="n">
        <v>2</v>
      </c>
      <c r="I15" s="16"/>
      <c r="J15" s="15"/>
      <c r="K15" s="15"/>
      <c r="L15" s="15"/>
      <c r="M15" s="42" t="str">
        <f aca="false">IF(ISNUMBER(I15),(4-I15)*H15*IF(E15="M",1.5,1),"")</f>
        <v/>
      </c>
      <c r="N15" s="43" t="str">
        <f aca="false">IF(M15="","",IF(M15&gt;=9,"High",IF(M15&gt;=4,"Medium","Low")))</f>
        <v/>
      </c>
      <c r="O15" s="43" t="str">
        <f aca="false">IF(NOT(ISNUMBER(I15)),IF(I15="NA","N/A","Not scored"),IF(E15="M",IF(I15&gt;=3,"Compliant","Non-compliant"),IF(I15&gt;=3,"Meets GP","Below GP")))</f>
        <v>Not scored</v>
      </c>
      <c r="P15" s="10" t="s">
        <v>579</v>
      </c>
      <c r="Q15" s="44" t="n">
        <f aca="false">IF(ISNUMBER(I15),I15*H15,0)</f>
        <v>0</v>
      </c>
      <c r="R15" s="44" t="n">
        <f aca="false">IF(ISNUMBER(I15),4*H15,0)</f>
        <v>0</v>
      </c>
      <c r="S15" s="44" t="n">
        <f aca="false">IF(ISNUMBER(I15),1,0)</f>
        <v>0</v>
      </c>
      <c r="T15" s="44" t="n">
        <f aca="false">IF(AND(E15="M",ISNUMBER(I15)),1,0)</f>
        <v>0</v>
      </c>
      <c r="U15" s="44" t="n">
        <f aca="false">IF(AND(E15="M",ISNUMBER(I15)),IF(I15&gt;=3,1,0),0)</f>
        <v>0</v>
      </c>
      <c r="V15" s="1"/>
      <c r="W15" s="1"/>
      <c r="X15" s="1"/>
      <c r="Y15" s="1"/>
      <c r="Z15" s="1"/>
    </row>
    <row r="16" customFormat="false" ht="30.75" hidden="false" customHeight="true" outlineLevel="0" collapsed="false">
      <c r="A16" s="41" t="s">
        <v>589</v>
      </c>
      <c r="B16" s="41" t="s">
        <v>108</v>
      </c>
      <c r="C16" s="10" t="s">
        <v>590</v>
      </c>
      <c r="D16" s="10" t="s">
        <v>591</v>
      </c>
      <c r="E16" s="41" t="s">
        <v>188</v>
      </c>
      <c r="F16" s="10" t="s">
        <v>592</v>
      </c>
      <c r="G16" s="41" t="s">
        <v>588</v>
      </c>
      <c r="H16" s="41" t="n">
        <v>1</v>
      </c>
      <c r="I16" s="16"/>
      <c r="J16" s="15"/>
      <c r="K16" s="15"/>
      <c r="L16" s="15"/>
      <c r="M16" s="42" t="str">
        <f aca="false">IF(ISNUMBER(I16),(4-I16)*H16*IF(E16="M",1.5,1),"")</f>
        <v/>
      </c>
      <c r="N16" s="43" t="str">
        <f aca="false">IF(M16="","",IF(M16&gt;=9,"High",IF(M16&gt;=4,"Medium","Low")))</f>
        <v/>
      </c>
      <c r="O16" s="43" t="str">
        <f aca="false">IF(NOT(ISNUMBER(I16)),IF(I16="NA","N/A","Not scored"),IF(E16="M",IF(I16&gt;=3,"Compliant","Non-compliant"),IF(I16&gt;=3,"Meets GP","Below GP")))</f>
        <v>Not scored</v>
      </c>
      <c r="P16" s="10" t="s">
        <v>579</v>
      </c>
      <c r="Q16" s="44" t="n">
        <f aca="false">IF(ISNUMBER(I16),I16*H16,0)</f>
        <v>0</v>
      </c>
      <c r="R16" s="44" t="n">
        <f aca="false">IF(ISNUMBER(I16),4*H16,0)</f>
        <v>0</v>
      </c>
      <c r="S16" s="44" t="n">
        <f aca="false">IF(ISNUMBER(I16),1,0)</f>
        <v>0</v>
      </c>
      <c r="T16" s="44" t="n">
        <f aca="false">IF(AND(E16="M",ISNUMBER(I16)),1,0)</f>
        <v>0</v>
      </c>
      <c r="U16" s="44" t="n">
        <f aca="false">IF(AND(E16="M",ISNUMBER(I16)),IF(I16&gt;=3,1,0),0)</f>
        <v>0</v>
      </c>
      <c r="V16" s="1"/>
      <c r="W16" s="1"/>
      <c r="X16" s="1"/>
      <c r="Y16" s="1"/>
      <c r="Z16" s="1"/>
    </row>
    <row r="17" customFormat="false" ht="30.75" hidden="false" customHeight="true" outlineLevel="0" collapsed="false">
      <c r="A17" s="41" t="s">
        <v>593</v>
      </c>
      <c r="B17" s="41" t="s">
        <v>108</v>
      </c>
      <c r="C17" s="10" t="s">
        <v>594</v>
      </c>
      <c r="D17" s="10" t="s">
        <v>595</v>
      </c>
      <c r="E17" s="41" t="s">
        <v>188</v>
      </c>
      <c r="F17" s="10" t="s">
        <v>596</v>
      </c>
      <c r="G17" s="41" t="s">
        <v>588</v>
      </c>
      <c r="H17" s="41" t="n">
        <v>1</v>
      </c>
      <c r="I17" s="16"/>
      <c r="J17" s="15"/>
      <c r="K17" s="15"/>
      <c r="L17" s="15"/>
      <c r="M17" s="42" t="str">
        <f aca="false">IF(ISNUMBER(I17),(4-I17)*H17*IF(E17="M",1.5,1),"")</f>
        <v/>
      </c>
      <c r="N17" s="43" t="str">
        <f aca="false">IF(M17="","",IF(M17&gt;=9,"High",IF(M17&gt;=4,"Medium","Low")))</f>
        <v/>
      </c>
      <c r="O17" s="43" t="str">
        <f aca="false">IF(NOT(ISNUMBER(I17)),IF(I17="NA","N/A","Not scored"),IF(E17="M",IF(I17&gt;=3,"Compliant","Non-compliant"),IF(I17&gt;=3,"Meets GP","Below GP")))</f>
        <v>Not scored</v>
      </c>
      <c r="P17" s="10" t="s">
        <v>579</v>
      </c>
      <c r="Q17" s="44" t="n">
        <f aca="false">IF(ISNUMBER(I17),I17*H17,0)</f>
        <v>0</v>
      </c>
      <c r="R17" s="44" t="n">
        <f aca="false">IF(ISNUMBER(I17),4*H17,0)</f>
        <v>0</v>
      </c>
      <c r="S17" s="44" t="n">
        <f aca="false">IF(ISNUMBER(I17),1,0)</f>
        <v>0</v>
      </c>
      <c r="T17" s="44" t="n">
        <f aca="false">IF(AND(E17="M",ISNUMBER(I17)),1,0)</f>
        <v>0</v>
      </c>
      <c r="U17" s="44" t="n">
        <f aca="false">IF(AND(E17="M",ISNUMBER(I17)),IF(I17&gt;=3,1,0),0)</f>
        <v>0</v>
      </c>
      <c r="V17" s="1"/>
      <c r="W17" s="1"/>
      <c r="X17" s="1"/>
      <c r="Y17" s="1"/>
      <c r="Z17" s="1"/>
    </row>
    <row r="18" customFormat="false" ht="30.75" hidden="false" customHeight="true" outlineLevel="0" collapsed="false">
      <c r="A18" s="41" t="s">
        <v>597</v>
      </c>
      <c r="B18" s="41" t="s">
        <v>108</v>
      </c>
      <c r="C18" s="10" t="s">
        <v>598</v>
      </c>
      <c r="D18" s="10" t="s">
        <v>599</v>
      </c>
      <c r="E18" s="41" t="s">
        <v>166</v>
      </c>
      <c r="F18" s="10" t="s">
        <v>600</v>
      </c>
      <c r="G18" s="41" t="s">
        <v>226</v>
      </c>
      <c r="H18" s="41" t="n">
        <v>2</v>
      </c>
      <c r="I18" s="16"/>
      <c r="J18" s="15"/>
      <c r="K18" s="15"/>
      <c r="L18" s="15"/>
      <c r="M18" s="42" t="str">
        <f aca="false">IF(ISNUMBER(I18),(4-I18)*H18*IF(E18="M",1.5,1),"")</f>
        <v/>
      </c>
      <c r="N18" s="43" t="str">
        <f aca="false">IF(M18="","",IF(M18&gt;=9,"High",IF(M18&gt;=4,"Medium","Low")))</f>
        <v/>
      </c>
      <c r="O18" s="43" t="str">
        <f aca="false">IF(NOT(ISNUMBER(I18)),IF(I18="NA","N/A","Not scored"),IF(E18="M",IF(I18&gt;=3,"Compliant","Non-compliant"),IF(I18&gt;=3,"Meets GP","Below GP")))</f>
        <v>Not scored</v>
      </c>
      <c r="P18" s="10" t="s">
        <v>601</v>
      </c>
      <c r="Q18" s="44" t="n">
        <f aca="false">IF(ISNUMBER(I18),I18*H18,0)</f>
        <v>0</v>
      </c>
      <c r="R18" s="44" t="n">
        <f aca="false">IF(ISNUMBER(I18),4*H18,0)</f>
        <v>0</v>
      </c>
      <c r="S18" s="44" t="n">
        <f aca="false">IF(ISNUMBER(I18),1,0)</f>
        <v>0</v>
      </c>
      <c r="T18" s="44" t="n">
        <f aca="false">IF(AND(E18="M",ISNUMBER(I18)),1,0)</f>
        <v>0</v>
      </c>
      <c r="U18" s="44" t="n">
        <f aca="false">IF(AND(E18="M",ISNUMBER(I18)),IF(I18&gt;=3,1,0),0)</f>
        <v>0</v>
      </c>
      <c r="V18" s="1"/>
      <c r="W18" s="1"/>
      <c r="X18" s="1"/>
      <c r="Y18" s="1"/>
      <c r="Z18" s="1"/>
    </row>
    <row r="19" customFormat="false" ht="15" hidden="false" customHeight="false" outlineLevel="0" collapsed="false">
      <c r="A19" s="40" t="s">
        <v>602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43.5" hidden="false" customHeight="true" outlineLevel="0" collapsed="false">
      <c r="A20" s="41" t="s">
        <v>603</v>
      </c>
      <c r="B20" s="41" t="s">
        <v>110</v>
      </c>
      <c r="C20" s="10" t="s">
        <v>604</v>
      </c>
      <c r="D20" s="10" t="s">
        <v>605</v>
      </c>
      <c r="E20" s="41" t="s">
        <v>166</v>
      </c>
      <c r="F20" s="10" t="s">
        <v>606</v>
      </c>
      <c r="G20" s="41" t="s">
        <v>584</v>
      </c>
      <c r="H20" s="41" t="n">
        <v>3</v>
      </c>
      <c r="I20" s="16"/>
      <c r="J20" s="15"/>
      <c r="K20" s="15"/>
      <c r="L20" s="15"/>
      <c r="M20" s="42" t="str">
        <f aca="false">IF(ISNUMBER(I20),(4-I20)*H20*IF(E20="M",1.5,1),"")</f>
        <v/>
      </c>
      <c r="N20" s="43" t="str">
        <f aca="false">IF(M20="","",IF(M20&gt;=9,"High",IF(M20&gt;=4,"Medium","Low")))</f>
        <v/>
      </c>
      <c r="O20" s="43" t="str">
        <f aca="false">IF(NOT(ISNUMBER(I20)),IF(I20="NA","N/A","Not scored"),IF(E20="M",IF(I20&gt;=3,"Compliant","Non-compliant"),IF(I20&gt;=3,"Meets GP","Below GP")))</f>
        <v>Not scored</v>
      </c>
      <c r="P20" s="10" t="s">
        <v>607</v>
      </c>
      <c r="Q20" s="44" t="n">
        <f aca="false">IF(ISNUMBER(I20),I20*H20,0)</f>
        <v>0</v>
      </c>
      <c r="R20" s="44" t="n">
        <f aca="false">IF(ISNUMBER(I20),4*H20,0)</f>
        <v>0</v>
      </c>
      <c r="S20" s="44" t="n">
        <f aca="false">IF(ISNUMBER(I20),1,0)</f>
        <v>0</v>
      </c>
      <c r="T20" s="44" t="n">
        <f aca="false">IF(AND(E20="M",ISNUMBER(I20)),1,0)</f>
        <v>0</v>
      </c>
      <c r="U20" s="44" t="n">
        <f aca="false">IF(AND(E20="M",ISNUMBER(I20)),IF(I20&gt;=3,1,0),0)</f>
        <v>0</v>
      </c>
      <c r="V20" s="1"/>
      <c r="W20" s="1"/>
      <c r="X20" s="1"/>
      <c r="Y20" s="1"/>
      <c r="Z20" s="1"/>
    </row>
    <row r="21" customFormat="false" ht="30.75" hidden="false" customHeight="true" outlineLevel="0" collapsed="false">
      <c r="A21" s="41" t="s">
        <v>608</v>
      </c>
      <c r="B21" s="41" t="s">
        <v>110</v>
      </c>
      <c r="C21" s="10" t="s">
        <v>609</v>
      </c>
      <c r="D21" s="10" t="s">
        <v>610</v>
      </c>
      <c r="E21" s="41" t="s">
        <v>166</v>
      </c>
      <c r="F21" s="10" t="s">
        <v>611</v>
      </c>
      <c r="G21" s="41" t="s">
        <v>612</v>
      </c>
      <c r="H21" s="41" t="n">
        <v>2</v>
      </c>
      <c r="I21" s="16"/>
      <c r="J21" s="15"/>
      <c r="K21" s="15"/>
      <c r="L21" s="15"/>
      <c r="M21" s="42" t="str">
        <f aca="false">IF(ISNUMBER(I21),(4-I21)*H21*IF(E21="M",1.5,1),"")</f>
        <v/>
      </c>
      <c r="N21" s="43" t="str">
        <f aca="false">IF(M21="","",IF(M21&gt;=9,"High",IF(M21&gt;=4,"Medium","Low")))</f>
        <v/>
      </c>
      <c r="O21" s="43" t="str">
        <f aca="false">IF(NOT(ISNUMBER(I21)),IF(I21="NA","N/A","Not scored"),IF(E21="M",IF(I21&gt;=3,"Compliant","Non-compliant"),IF(I21&gt;=3,"Meets GP","Below GP")))</f>
        <v>Not scored</v>
      </c>
      <c r="P21" s="10" t="s">
        <v>461</v>
      </c>
      <c r="Q21" s="44" t="n">
        <f aca="false">IF(ISNUMBER(I21),I21*H21,0)</f>
        <v>0</v>
      </c>
      <c r="R21" s="44" t="n">
        <f aca="false">IF(ISNUMBER(I21),4*H21,0)</f>
        <v>0</v>
      </c>
      <c r="S21" s="44" t="n">
        <f aca="false">IF(ISNUMBER(I21),1,0)</f>
        <v>0</v>
      </c>
      <c r="T21" s="44" t="n">
        <f aca="false">IF(AND(E21="M",ISNUMBER(I21)),1,0)</f>
        <v>0</v>
      </c>
      <c r="U21" s="44" t="n">
        <f aca="false">IF(AND(E21="M",ISNUMBER(I21)),IF(I21&gt;=3,1,0),0)</f>
        <v>0</v>
      </c>
      <c r="V21" s="1"/>
      <c r="W21" s="1"/>
      <c r="X21" s="1"/>
      <c r="Y21" s="1"/>
      <c r="Z21" s="1"/>
    </row>
    <row r="22" customFormat="false" ht="30.75" hidden="false" customHeight="true" outlineLevel="0" collapsed="false">
      <c r="A22" s="41" t="s">
        <v>613</v>
      </c>
      <c r="B22" s="41" t="s">
        <v>110</v>
      </c>
      <c r="C22" s="10" t="s">
        <v>614</v>
      </c>
      <c r="D22" s="10" t="s">
        <v>615</v>
      </c>
      <c r="E22" s="41" t="s">
        <v>188</v>
      </c>
      <c r="F22" s="10" t="s">
        <v>616</v>
      </c>
      <c r="G22" s="41" t="s">
        <v>584</v>
      </c>
      <c r="H22" s="41" t="n">
        <v>2</v>
      </c>
      <c r="I22" s="16"/>
      <c r="J22" s="15"/>
      <c r="K22" s="15"/>
      <c r="L22" s="15"/>
      <c r="M22" s="42" t="str">
        <f aca="false">IF(ISNUMBER(I22),(4-I22)*H22*IF(E22="M",1.5,1),"")</f>
        <v/>
      </c>
      <c r="N22" s="43" t="str">
        <f aca="false">IF(M22="","",IF(M22&gt;=9,"High",IF(M22&gt;=4,"Medium","Low")))</f>
        <v/>
      </c>
      <c r="O22" s="43" t="str">
        <f aca="false">IF(NOT(ISNUMBER(I22)),IF(I22="NA","N/A","Not scored"),IF(E22="M",IF(I22&gt;=3,"Compliant","Non-compliant"),IF(I22&gt;=3,"Meets GP","Below GP")))</f>
        <v>Not scored</v>
      </c>
      <c r="P22" s="10" t="s">
        <v>461</v>
      </c>
      <c r="Q22" s="44" t="n">
        <f aca="false">IF(ISNUMBER(I22),I22*H22,0)</f>
        <v>0</v>
      </c>
      <c r="R22" s="44" t="n">
        <f aca="false">IF(ISNUMBER(I22),4*H22,0)</f>
        <v>0</v>
      </c>
      <c r="S22" s="44" t="n">
        <f aca="false">IF(ISNUMBER(I22),1,0)</f>
        <v>0</v>
      </c>
      <c r="T22" s="44" t="n">
        <f aca="false">IF(AND(E22="M",ISNUMBER(I22)),1,0)</f>
        <v>0</v>
      </c>
      <c r="U22" s="44" t="n">
        <f aca="false">IF(AND(E22="M",ISNUMBER(I22)),IF(I22&gt;=3,1,0),0)</f>
        <v>0</v>
      </c>
      <c r="V22" s="1"/>
      <c r="W22" s="1"/>
      <c r="X22" s="1"/>
      <c r="Y22" s="1"/>
      <c r="Z22" s="1"/>
    </row>
    <row r="23" customFormat="false" ht="30.75" hidden="false" customHeight="true" outlineLevel="0" collapsed="false">
      <c r="A23" s="41" t="s">
        <v>617</v>
      </c>
      <c r="B23" s="41" t="s">
        <v>110</v>
      </c>
      <c r="C23" s="10" t="s">
        <v>618</v>
      </c>
      <c r="D23" s="10" t="s">
        <v>561</v>
      </c>
      <c r="E23" s="41" t="s">
        <v>166</v>
      </c>
      <c r="F23" s="10" t="s">
        <v>619</v>
      </c>
      <c r="G23" s="41" t="s">
        <v>168</v>
      </c>
      <c r="H23" s="41" t="n">
        <v>2</v>
      </c>
      <c r="I23" s="16"/>
      <c r="J23" s="15"/>
      <c r="K23" s="15"/>
      <c r="L23" s="15"/>
      <c r="M23" s="42" t="str">
        <f aca="false">IF(ISNUMBER(I23),(4-I23)*H23*IF(E23="M",1.5,1),"")</f>
        <v/>
      </c>
      <c r="N23" s="43" t="str">
        <f aca="false">IF(M23="","",IF(M23&gt;=9,"High",IF(M23&gt;=4,"Medium","Low")))</f>
        <v/>
      </c>
      <c r="O23" s="43" t="str">
        <f aca="false">IF(NOT(ISNUMBER(I23)),IF(I23="NA","N/A","Not scored"),IF(E23="M",IF(I23&gt;=3,"Compliant","Non-compliant"),IF(I23&gt;=3,"Meets GP","Below GP")))</f>
        <v>Not scored</v>
      </c>
      <c r="P23" s="10" t="s">
        <v>461</v>
      </c>
      <c r="Q23" s="44" t="n">
        <f aca="false">IF(ISNUMBER(I23),I23*H23,0)</f>
        <v>0</v>
      </c>
      <c r="R23" s="44" t="n">
        <f aca="false">IF(ISNUMBER(I23),4*H23,0)</f>
        <v>0</v>
      </c>
      <c r="S23" s="44" t="n">
        <f aca="false">IF(ISNUMBER(I23),1,0)</f>
        <v>0</v>
      </c>
      <c r="T23" s="44" t="n">
        <f aca="false">IF(AND(E23="M",ISNUMBER(I23)),1,0)</f>
        <v>0</v>
      </c>
      <c r="U23" s="44" t="n">
        <f aca="false">IF(AND(E23="M",ISNUMBER(I23)),IF(I23&gt;=3,1,0),0)</f>
        <v>0</v>
      </c>
      <c r="V23" s="1"/>
      <c r="W23" s="1"/>
      <c r="X23" s="1"/>
      <c r="Y23" s="1"/>
      <c r="Z23" s="1"/>
    </row>
    <row r="24" customFormat="false" ht="30.75" hidden="false" customHeight="true" outlineLevel="0" collapsed="false">
      <c r="A24" s="41" t="s">
        <v>620</v>
      </c>
      <c r="B24" s="41" t="s">
        <v>110</v>
      </c>
      <c r="C24" s="10" t="s">
        <v>621</v>
      </c>
      <c r="D24" s="10" t="s">
        <v>622</v>
      </c>
      <c r="E24" s="41" t="s">
        <v>188</v>
      </c>
      <c r="F24" s="10" t="s">
        <v>623</v>
      </c>
      <c r="G24" s="41" t="s">
        <v>624</v>
      </c>
      <c r="H24" s="41" t="n">
        <v>1</v>
      </c>
      <c r="I24" s="16"/>
      <c r="J24" s="15"/>
      <c r="K24" s="15"/>
      <c r="L24" s="15"/>
      <c r="M24" s="42" t="str">
        <f aca="false">IF(ISNUMBER(I24),(4-I24)*H24*IF(E24="M",1.5,1),"")</f>
        <v/>
      </c>
      <c r="N24" s="43" t="str">
        <f aca="false">IF(M24="","",IF(M24&gt;=9,"High",IF(M24&gt;=4,"Medium","Low")))</f>
        <v/>
      </c>
      <c r="O24" s="43" t="str">
        <f aca="false">IF(NOT(ISNUMBER(I24)),IF(I24="NA","N/A","Not scored"),IF(E24="M",IF(I24&gt;=3,"Compliant","Non-compliant"),IF(I24&gt;=3,"Meets GP","Below GP")))</f>
        <v>Not scored</v>
      </c>
      <c r="P24" s="10" t="s">
        <v>461</v>
      </c>
      <c r="Q24" s="44" t="n">
        <f aca="false">IF(ISNUMBER(I24),I24*H24,0)</f>
        <v>0</v>
      </c>
      <c r="R24" s="44" t="n">
        <f aca="false">IF(ISNUMBER(I24),4*H24,0)</f>
        <v>0</v>
      </c>
      <c r="S24" s="44" t="n">
        <f aca="false">IF(ISNUMBER(I24),1,0)</f>
        <v>0</v>
      </c>
      <c r="T24" s="44" t="n">
        <f aca="false">IF(AND(E24="M",ISNUMBER(I24)),1,0)</f>
        <v>0</v>
      </c>
      <c r="U24" s="44" t="n">
        <f aca="false">IF(AND(E24="M",ISNUMBER(I24)),IF(I24&gt;=3,1,0),0)</f>
        <v>0</v>
      </c>
      <c r="V24" s="1"/>
      <c r="W24" s="1"/>
      <c r="X24" s="1"/>
      <c r="Y24" s="1"/>
      <c r="Z24" s="1"/>
    </row>
    <row r="25" customFormat="false" ht="30.75" hidden="false" customHeight="true" outlineLevel="0" collapsed="false">
      <c r="A25" s="41" t="s">
        <v>625</v>
      </c>
      <c r="B25" s="41" t="s">
        <v>110</v>
      </c>
      <c r="C25" s="10" t="s">
        <v>626</v>
      </c>
      <c r="D25" s="10" t="s">
        <v>595</v>
      </c>
      <c r="E25" s="41" t="s">
        <v>188</v>
      </c>
      <c r="F25" s="10" t="s">
        <v>627</v>
      </c>
      <c r="G25" s="41" t="s">
        <v>588</v>
      </c>
      <c r="H25" s="41" t="n">
        <v>1</v>
      </c>
      <c r="I25" s="16"/>
      <c r="J25" s="15"/>
      <c r="K25" s="15"/>
      <c r="L25" s="15"/>
      <c r="M25" s="42" t="str">
        <f aca="false">IF(ISNUMBER(I25),(4-I25)*H25*IF(E25="M",1.5,1),"")</f>
        <v/>
      </c>
      <c r="N25" s="43" t="str">
        <f aca="false">IF(M25="","",IF(M25&gt;=9,"High",IF(M25&gt;=4,"Medium","Low")))</f>
        <v/>
      </c>
      <c r="O25" s="43" t="str">
        <f aca="false">IF(NOT(ISNUMBER(I25)),IF(I25="NA","N/A","Not scored"),IF(E25="M",IF(I25&gt;=3,"Compliant","Non-compliant"),IF(I25&gt;=3,"Meets GP","Below GP")))</f>
        <v>Not scored</v>
      </c>
      <c r="P25" s="10" t="s">
        <v>461</v>
      </c>
      <c r="Q25" s="44" t="n">
        <f aca="false">IF(ISNUMBER(I25),I25*H25,0)</f>
        <v>0</v>
      </c>
      <c r="R25" s="44" t="n">
        <f aca="false">IF(ISNUMBER(I25),4*H25,0)</f>
        <v>0</v>
      </c>
      <c r="S25" s="44" t="n">
        <f aca="false">IF(ISNUMBER(I25),1,0)</f>
        <v>0</v>
      </c>
      <c r="T25" s="44" t="n">
        <f aca="false">IF(AND(E25="M",ISNUMBER(I25)),1,0)</f>
        <v>0</v>
      </c>
      <c r="U25" s="44" t="n">
        <f aca="false">IF(AND(E25="M",ISNUMBER(I25)),IF(I25&gt;=3,1,0),0)</f>
        <v>0</v>
      </c>
      <c r="V25" s="1"/>
      <c r="W25" s="1"/>
      <c r="X25" s="1"/>
      <c r="Y25" s="1"/>
      <c r="Z25" s="1"/>
    </row>
    <row r="26" customFormat="false" ht="15" hidden="false" customHeight="false" outlineLevel="0" collapsed="false">
      <c r="A26" s="40" t="s">
        <v>628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43.5" hidden="false" customHeight="true" outlineLevel="0" collapsed="false">
      <c r="A27" s="41" t="s">
        <v>629</v>
      </c>
      <c r="B27" s="41" t="s">
        <v>112</v>
      </c>
      <c r="C27" s="10" t="s">
        <v>630</v>
      </c>
      <c r="D27" s="10" t="s">
        <v>631</v>
      </c>
      <c r="E27" s="41" t="s">
        <v>166</v>
      </c>
      <c r="F27" s="10" t="s">
        <v>632</v>
      </c>
      <c r="G27" s="41" t="s">
        <v>168</v>
      </c>
      <c r="H27" s="41" t="n">
        <v>3</v>
      </c>
      <c r="I27" s="16"/>
      <c r="J27" s="15"/>
      <c r="K27" s="15"/>
      <c r="L27" s="15"/>
      <c r="M27" s="42" t="str">
        <f aca="false">IF(ISNUMBER(I27),(4-I27)*H27*IF(E27="M",1.5,1),"")</f>
        <v/>
      </c>
      <c r="N27" s="43" t="str">
        <f aca="false">IF(M27="","",IF(M27&gt;=9,"High",IF(M27&gt;=4,"Medium","Low")))</f>
        <v/>
      </c>
      <c r="O27" s="43" t="str">
        <f aca="false">IF(NOT(ISNUMBER(I27)),IF(I27="NA","N/A","Not scored"),IF(E27="M",IF(I27&gt;=3,"Compliant","Non-compliant"),IF(I27&gt;=3,"Meets GP","Below GP")))</f>
        <v>Not scored</v>
      </c>
      <c r="P27" s="10" t="s">
        <v>633</v>
      </c>
      <c r="Q27" s="44" t="n">
        <f aca="false">IF(ISNUMBER(I27),I27*H27,0)</f>
        <v>0</v>
      </c>
      <c r="R27" s="44" t="n">
        <f aca="false">IF(ISNUMBER(I27),4*H27,0)</f>
        <v>0</v>
      </c>
      <c r="S27" s="44" t="n">
        <f aca="false">IF(ISNUMBER(I27),1,0)</f>
        <v>0</v>
      </c>
      <c r="T27" s="44" t="n">
        <f aca="false">IF(AND(E27="M",ISNUMBER(I27)),1,0)</f>
        <v>0</v>
      </c>
      <c r="U27" s="44" t="n">
        <f aca="false">IF(AND(E27="M",ISNUMBER(I27)),IF(I27&gt;=3,1,0),0)</f>
        <v>0</v>
      </c>
      <c r="V27" s="1"/>
      <c r="W27" s="1"/>
      <c r="X27" s="1"/>
      <c r="Y27" s="1"/>
      <c r="Z27" s="1"/>
    </row>
    <row r="28" customFormat="false" ht="30.75" hidden="false" customHeight="true" outlineLevel="0" collapsed="false">
      <c r="A28" s="41" t="s">
        <v>634</v>
      </c>
      <c r="B28" s="41" t="s">
        <v>112</v>
      </c>
      <c r="C28" s="10" t="s">
        <v>635</v>
      </c>
      <c r="D28" s="10" t="s">
        <v>561</v>
      </c>
      <c r="E28" s="41" t="s">
        <v>166</v>
      </c>
      <c r="F28" s="10" t="s">
        <v>636</v>
      </c>
      <c r="G28" s="41" t="s">
        <v>168</v>
      </c>
      <c r="H28" s="41" t="n">
        <v>3</v>
      </c>
      <c r="I28" s="16"/>
      <c r="J28" s="15"/>
      <c r="K28" s="15"/>
      <c r="L28" s="15"/>
      <c r="M28" s="42" t="str">
        <f aca="false">IF(ISNUMBER(I28),(4-I28)*H28*IF(E28="M",1.5,1),"")</f>
        <v/>
      </c>
      <c r="N28" s="43" t="str">
        <f aca="false">IF(M28="","",IF(M28&gt;=9,"High",IF(M28&gt;=4,"Medium","Low")))</f>
        <v/>
      </c>
      <c r="O28" s="43" t="str">
        <f aca="false">IF(NOT(ISNUMBER(I28)),IF(I28="NA","N/A","Not scored"),IF(E28="M",IF(I28&gt;=3,"Compliant","Non-compliant"),IF(I28&gt;=3,"Meets GP","Below GP")))</f>
        <v>Not scored</v>
      </c>
      <c r="P28" s="10" t="s">
        <v>391</v>
      </c>
      <c r="Q28" s="44" t="n">
        <f aca="false">IF(ISNUMBER(I28),I28*H28,0)</f>
        <v>0</v>
      </c>
      <c r="R28" s="44" t="n">
        <f aca="false">IF(ISNUMBER(I28),4*H28,0)</f>
        <v>0</v>
      </c>
      <c r="S28" s="44" t="n">
        <f aca="false">IF(ISNUMBER(I28),1,0)</f>
        <v>0</v>
      </c>
      <c r="T28" s="44" t="n">
        <f aca="false">IF(AND(E28="M",ISNUMBER(I28)),1,0)</f>
        <v>0</v>
      </c>
      <c r="U28" s="44" t="n">
        <f aca="false">IF(AND(E28="M",ISNUMBER(I28)),IF(I28&gt;=3,1,0),0)</f>
        <v>0</v>
      </c>
      <c r="V28" s="1"/>
      <c r="W28" s="1"/>
      <c r="X28" s="1"/>
      <c r="Y28" s="1"/>
      <c r="Z28" s="1"/>
    </row>
    <row r="29" customFormat="false" ht="30.75" hidden="false" customHeight="true" outlineLevel="0" collapsed="false">
      <c r="A29" s="41" t="s">
        <v>637</v>
      </c>
      <c r="B29" s="41" t="s">
        <v>112</v>
      </c>
      <c r="C29" s="10" t="s">
        <v>638</v>
      </c>
      <c r="D29" s="10" t="s">
        <v>595</v>
      </c>
      <c r="E29" s="41" t="s">
        <v>166</v>
      </c>
      <c r="F29" s="10" t="s">
        <v>639</v>
      </c>
      <c r="G29" s="41" t="s">
        <v>226</v>
      </c>
      <c r="H29" s="41" t="n">
        <v>2</v>
      </c>
      <c r="I29" s="16"/>
      <c r="J29" s="15"/>
      <c r="K29" s="15"/>
      <c r="L29" s="15"/>
      <c r="M29" s="42" t="str">
        <f aca="false">IF(ISNUMBER(I29),(4-I29)*H29*IF(E29="M",1.5,1),"")</f>
        <v/>
      </c>
      <c r="N29" s="43" t="str">
        <f aca="false">IF(M29="","",IF(M29&gt;=9,"High",IF(M29&gt;=4,"Medium","Low")))</f>
        <v/>
      </c>
      <c r="O29" s="43" t="str">
        <f aca="false">IF(NOT(ISNUMBER(I29)),IF(I29="NA","N/A","Not scored"),IF(E29="M",IF(I29&gt;=3,"Compliant","Non-compliant"),IF(I29&gt;=3,"Meets GP","Below GP")))</f>
        <v>Not scored</v>
      </c>
      <c r="P29" s="10" t="s">
        <v>391</v>
      </c>
      <c r="Q29" s="44" t="n">
        <f aca="false">IF(ISNUMBER(I29),I29*H29,0)</f>
        <v>0</v>
      </c>
      <c r="R29" s="44" t="n">
        <f aca="false">IF(ISNUMBER(I29),4*H29,0)</f>
        <v>0</v>
      </c>
      <c r="S29" s="44" t="n">
        <f aca="false">IF(ISNUMBER(I29),1,0)</f>
        <v>0</v>
      </c>
      <c r="T29" s="44" t="n">
        <f aca="false">IF(AND(E29="M",ISNUMBER(I29)),1,0)</f>
        <v>0</v>
      </c>
      <c r="U29" s="44" t="n">
        <f aca="false">IF(AND(E29="M",ISNUMBER(I29)),IF(I29&gt;=3,1,0),0)</f>
        <v>0</v>
      </c>
      <c r="V29" s="1"/>
      <c r="W29" s="1"/>
      <c r="X29" s="1"/>
      <c r="Y29" s="1"/>
      <c r="Z29" s="1"/>
    </row>
    <row r="30" customFormat="false" ht="30.75" hidden="false" customHeight="true" outlineLevel="0" collapsed="false">
      <c r="A30" s="41" t="s">
        <v>640</v>
      </c>
      <c r="B30" s="41" t="s">
        <v>112</v>
      </c>
      <c r="C30" s="10" t="s">
        <v>641</v>
      </c>
      <c r="D30" s="10" t="s">
        <v>642</v>
      </c>
      <c r="E30" s="41" t="s">
        <v>166</v>
      </c>
      <c r="F30" s="10" t="s">
        <v>643</v>
      </c>
      <c r="G30" s="41" t="s">
        <v>168</v>
      </c>
      <c r="H30" s="41" t="n">
        <v>2</v>
      </c>
      <c r="I30" s="16"/>
      <c r="J30" s="15"/>
      <c r="K30" s="15"/>
      <c r="L30" s="15"/>
      <c r="M30" s="42" t="str">
        <f aca="false">IF(ISNUMBER(I30),(4-I30)*H30*IF(E30="M",1.5,1),"")</f>
        <v/>
      </c>
      <c r="N30" s="43" t="str">
        <f aca="false">IF(M30="","",IF(M30&gt;=9,"High",IF(M30&gt;=4,"Medium","Low")))</f>
        <v/>
      </c>
      <c r="O30" s="43" t="str">
        <f aca="false">IF(NOT(ISNUMBER(I30)),IF(I30="NA","N/A","Not scored"),IF(E30="M",IF(I30&gt;=3,"Compliant","Non-compliant"),IF(I30&gt;=3,"Meets GP","Below GP")))</f>
        <v>Not scored</v>
      </c>
      <c r="P30" s="10" t="s">
        <v>391</v>
      </c>
      <c r="Q30" s="44" t="n">
        <f aca="false">IF(ISNUMBER(I30),I30*H30,0)</f>
        <v>0</v>
      </c>
      <c r="R30" s="44" t="n">
        <f aca="false">IF(ISNUMBER(I30),4*H30,0)</f>
        <v>0</v>
      </c>
      <c r="S30" s="44" t="n">
        <f aca="false">IF(ISNUMBER(I30),1,0)</f>
        <v>0</v>
      </c>
      <c r="T30" s="44" t="n">
        <f aca="false">IF(AND(E30="M",ISNUMBER(I30)),1,0)</f>
        <v>0</v>
      </c>
      <c r="U30" s="44" t="n">
        <f aca="false">IF(AND(E30="M",ISNUMBER(I30)),IF(I30&gt;=3,1,0),0)</f>
        <v>0</v>
      </c>
      <c r="V30" s="1"/>
      <c r="W30" s="1"/>
      <c r="X30" s="1"/>
      <c r="Y30" s="1"/>
      <c r="Z30" s="1"/>
    </row>
    <row r="31" customFormat="false" ht="30.75" hidden="false" customHeight="true" outlineLevel="0" collapsed="false">
      <c r="A31" s="41" t="s">
        <v>644</v>
      </c>
      <c r="B31" s="41" t="s">
        <v>112</v>
      </c>
      <c r="C31" s="10" t="s">
        <v>645</v>
      </c>
      <c r="D31" s="10" t="s">
        <v>595</v>
      </c>
      <c r="E31" s="41" t="s">
        <v>188</v>
      </c>
      <c r="F31" s="10" t="s">
        <v>646</v>
      </c>
      <c r="G31" s="41" t="s">
        <v>168</v>
      </c>
      <c r="H31" s="41" t="n">
        <v>2</v>
      </c>
      <c r="I31" s="16"/>
      <c r="J31" s="15"/>
      <c r="K31" s="15"/>
      <c r="L31" s="15"/>
      <c r="M31" s="42" t="str">
        <f aca="false">IF(ISNUMBER(I31),(4-I31)*H31*IF(E31="M",1.5,1),"")</f>
        <v/>
      </c>
      <c r="N31" s="43" t="str">
        <f aca="false">IF(M31="","",IF(M31&gt;=9,"High",IF(M31&gt;=4,"Medium","Low")))</f>
        <v/>
      </c>
      <c r="O31" s="43" t="str">
        <f aca="false">IF(NOT(ISNUMBER(I31)),IF(I31="NA","N/A","Not scored"),IF(E31="M",IF(I31&gt;=3,"Compliant","Non-compliant"),IF(I31&gt;=3,"Meets GP","Below GP")))</f>
        <v>Not scored</v>
      </c>
      <c r="P31" s="10" t="s">
        <v>391</v>
      </c>
      <c r="Q31" s="44" t="n">
        <f aca="false">IF(ISNUMBER(I31),I31*H31,0)</f>
        <v>0</v>
      </c>
      <c r="R31" s="44" t="n">
        <f aca="false">IF(ISNUMBER(I31),4*H31,0)</f>
        <v>0</v>
      </c>
      <c r="S31" s="44" t="n">
        <f aca="false">IF(ISNUMBER(I31),1,0)</f>
        <v>0</v>
      </c>
      <c r="T31" s="44" t="n">
        <f aca="false">IF(AND(E31="M",ISNUMBER(I31)),1,0)</f>
        <v>0</v>
      </c>
      <c r="U31" s="44" t="n">
        <f aca="false">IF(AND(E31="M",ISNUMBER(I31)),IF(I31&gt;=3,1,0),0)</f>
        <v>0</v>
      </c>
      <c r="V31" s="1"/>
      <c r="W31" s="1"/>
      <c r="X31" s="1"/>
      <c r="Y31" s="1"/>
      <c r="Z31" s="1"/>
    </row>
    <row r="32" customFormat="false" ht="30.75" hidden="false" customHeight="true" outlineLevel="0" collapsed="false">
      <c r="A32" s="41" t="s">
        <v>647</v>
      </c>
      <c r="B32" s="41" t="s">
        <v>112</v>
      </c>
      <c r="C32" s="10" t="s">
        <v>648</v>
      </c>
      <c r="D32" s="10" t="s">
        <v>649</v>
      </c>
      <c r="E32" s="41" t="s">
        <v>188</v>
      </c>
      <c r="F32" s="10" t="s">
        <v>650</v>
      </c>
      <c r="G32" s="41" t="s">
        <v>503</v>
      </c>
      <c r="H32" s="41" t="n">
        <v>1</v>
      </c>
      <c r="I32" s="16"/>
      <c r="J32" s="15"/>
      <c r="K32" s="15"/>
      <c r="L32" s="15"/>
      <c r="M32" s="42" t="str">
        <f aca="false">IF(ISNUMBER(I32),(4-I32)*H32*IF(E32="M",1.5,1),"")</f>
        <v/>
      </c>
      <c r="N32" s="43" t="str">
        <f aca="false">IF(M32="","",IF(M32&gt;=9,"High",IF(M32&gt;=4,"Medium","Low")))</f>
        <v/>
      </c>
      <c r="O32" s="43" t="str">
        <f aca="false">IF(NOT(ISNUMBER(I32)),IF(I32="NA","N/A","Not scored"),IF(E32="M",IF(I32&gt;=3,"Compliant","Non-compliant"),IF(I32&gt;=3,"Meets GP","Below GP")))</f>
        <v>Not scored</v>
      </c>
      <c r="P32" s="10" t="s">
        <v>391</v>
      </c>
      <c r="Q32" s="44" t="n">
        <f aca="false">IF(ISNUMBER(I32),I32*H32,0)</f>
        <v>0</v>
      </c>
      <c r="R32" s="44" t="n">
        <f aca="false">IF(ISNUMBER(I32),4*H32,0)</f>
        <v>0</v>
      </c>
      <c r="S32" s="44" t="n">
        <f aca="false">IF(ISNUMBER(I32),1,0)</f>
        <v>0</v>
      </c>
      <c r="T32" s="44" t="n">
        <f aca="false">IF(AND(E32="M",ISNUMBER(I32)),1,0)</f>
        <v>0</v>
      </c>
      <c r="U32" s="44" t="n">
        <f aca="false">IF(AND(E32="M",ISNUMBER(I32)),IF(I32&gt;=3,1,0),0)</f>
        <v>0</v>
      </c>
      <c r="V32" s="1"/>
      <c r="W32" s="1"/>
      <c r="X32" s="1"/>
      <c r="Y32" s="1"/>
      <c r="Z32" s="1"/>
    </row>
    <row r="33" customFormat="false" ht="15" hidden="false" customHeight="false" outlineLevel="0" collapsed="false">
      <c r="A33" s="40" t="s">
        <v>651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30.75" hidden="false" customHeight="true" outlineLevel="0" collapsed="false">
      <c r="A34" s="41" t="s">
        <v>652</v>
      </c>
      <c r="B34" s="41" t="s">
        <v>114</v>
      </c>
      <c r="C34" s="10" t="s">
        <v>653</v>
      </c>
      <c r="D34" s="10" t="s">
        <v>654</v>
      </c>
      <c r="E34" s="41" t="s">
        <v>166</v>
      </c>
      <c r="F34" s="10" t="s">
        <v>655</v>
      </c>
      <c r="G34" s="41" t="s">
        <v>168</v>
      </c>
      <c r="H34" s="41" t="n">
        <v>3</v>
      </c>
      <c r="I34" s="16"/>
      <c r="J34" s="15"/>
      <c r="K34" s="15"/>
      <c r="L34" s="15"/>
      <c r="M34" s="42" t="str">
        <f aca="false">IF(ISNUMBER(I34),(4-I34)*H34*IF(E34="M",1.5,1),"")</f>
        <v/>
      </c>
      <c r="N34" s="43" t="str">
        <f aca="false">IF(M34="","",IF(M34&gt;=9,"High",IF(M34&gt;=4,"Medium","Low")))</f>
        <v/>
      </c>
      <c r="O34" s="43" t="str">
        <f aca="false">IF(NOT(ISNUMBER(I34)),IF(I34="NA","N/A","Not scored"),IF(E34="M",IF(I34&gt;=3,"Compliant","Non-compliant"),IF(I34&gt;=3,"Meets GP","Below GP")))</f>
        <v>Not scored</v>
      </c>
      <c r="P34" s="10" t="s">
        <v>656</v>
      </c>
      <c r="Q34" s="44" t="n">
        <f aca="false">IF(ISNUMBER(I34),I34*H34,0)</f>
        <v>0</v>
      </c>
      <c r="R34" s="44" t="n">
        <f aca="false">IF(ISNUMBER(I34),4*H34,0)</f>
        <v>0</v>
      </c>
      <c r="S34" s="44" t="n">
        <f aca="false">IF(ISNUMBER(I34),1,0)</f>
        <v>0</v>
      </c>
      <c r="T34" s="44" t="n">
        <f aca="false">IF(AND(E34="M",ISNUMBER(I34)),1,0)</f>
        <v>0</v>
      </c>
      <c r="U34" s="44" t="n">
        <f aca="false">IF(AND(E34="M",ISNUMBER(I34)),IF(I34&gt;=3,1,0),0)</f>
        <v>0</v>
      </c>
      <c r="V34" s="1"/>
      <c r="W34" s="1"/>
      <c r="X34" s="1"/>
      <c r="Y34" s="1"/>
      <c r="Z34" s="1"/>
    </row>
    <row r="35" customFormat="false" ht="30.75" hidden="false" customHeight="true" outlineLevel="0" collapsed="false">
      <c r="A35" s="41" t="s">
        <v>657</v>
      </c>
      <c r="B35" s="41" t="s">
        <v>114</v>
      </c>
      <c r="C35" s="10" t="s">
        <v>658</v>
      </c>
      <c r="D35" s="10" t="s">
        <v>659</v>
      </c>
      <c r="E35" s="41" t="s">
        <v>166</v>
      </c>
      <c r="F35" s="10" t="s">
        <v>660</v>
      </c>
      <c r="G35" s="41" t="s">
        <v>414</v>
      </c>
      <c r="H35" s="41" t="n">
        <v>3</v>
      </c>
      <c r="I35" s="16"/>
      <c r="J35" s="15"/>
      <c r="K35" s="15"/>
      <c r="L35" s="15"/>
      <c r="M35" s="42" t="str">
        <f aca="false">IF(ISNUMBER(I35),(4-I35)*H35*IF(E35="M",1.5,1),"")</f>
        <v/>
      </c>
      <c r="N35" s="43" t="str">
        <f aca="false">IF(M35="","",IF(M35&gt;=9,"High",IF(M35&gt;=4,"Medium","Low")))</f>
        <v/>
      </c>
      <c r="O35" s="43" t="str">
        <f aca="false">IF(NOT(ISNUMBER(I35)),IF(I35="NA","N/A","Not scored"),IF(E35="M",IF(I35&gt;=3,"Compliant","Non-compliant"),IF(I35&gt;=3,"Meets GP","Below GP")))</f>
        <v>Not scored</v>
      </c>
      <c r="P35" s="10" t="s">
        <v>661</v>
      </c>
      <c r="Q35" s="44" t="n">
        <f aca="false">IF(ISNUMBER(I35),I35*H35,0)</f>
        <v>0</v>
      </c>
      <c r="R35" s="44" t="n">
        <f aca="false">IF(ISNUMBER(I35),4*H35,0)</f>
        <v>0</v>
      </c>
      <c r="S35" s="44" t="n">
        <f aca="false">IF(ISNUMBER(I35),1,0)</f>
        <v>0</v>
      </c>
      <c r="T35" s="44" t="n">
        <f aca="false">IF(AND(E35="M",ISNUMBER(I35)),1,0)</f>
        <v>0</v>
      </c>
      <c r="U35" s="44" t="n">
        <f aca="false">IF(AND(E35="M",ISNUMBER(I35)),IF(I35&gt;=3,1,0),0)</f>
        <v>0</v>
      </c>
      <c r="V35" s="1"/>
      <c r="W35" s="1"/>
      <c r="X35" s="1"/>
      <c r="Y35" s="1"/>
      <c r="Z35" s="1"/>
    </row>
    <row r="36" customFormat="false" ht="30.75" hidden="false" customHeight="true" outlineLevel="0" collapsed="false">
      <c r="A36" s="41" t="s">
        <v>662</v>
      </c>
      <c r="B36" s="41" t="s">
        <v>114</v>
      </c>
      <c r="C36" s="10" t="s">
        <v>663</v>
      </c>
      <c r="D36" s="10" t="s">
        <v>561</v>
      </c>
      <c r="E36" s="41" t="s">
        <v>188</v>
      </c>
      <c r="F36" s="10" t="s">
        <v>664</v>
      </c>
      <c r="G36" s="41" t="s">
        <v>588</v>
      </c>
      <c r="H36" s="41" t="n">
        <v>2</v>
      </c>
      <c r="I36" s="16"/>
      <c r="J36" s="15"/>
      <c r="K36" s="15"/>
      <c r="L36" s="15"/>
      <c r="M36" s="42" t="str">
        <f aca="false">IF(ISNUMBER(I36),(4-I36)*H36*IF(E36="M",1.5,1),"")</f>
        <v/>
      </c>
      <c r="N36" s="43" t="str">
        <f aca="false">IF(M36="","",IF(M36&gt;=9,"High",IF(M36&gt;=4,"Medium","Low")))</f>
        <v/>
      </c>
      <c r="O36" s="43" t="str">
        <f aca="false">IF(NOT(ISNUMBER(I36)),IF(I36="NA","N/A","Not scored"),IF(E36="M",IF(I36&gt;=3,"Compliant","Non-compliant"),IF(I36&gt;=3,"Meets GP","Below GP")))</f>
        <v>Not scored</v>
      </c>
      <c r="P36" s="10" t="s">
        <v>661</v>
      </c>
      <c r="Q36" s="44" t="n">
        <f aca="false">IF(ISNUMBER(I36),I36*H36,0)</f>
        <v>0</v>
      </c>
      <c r="R36" s="44" t="n">
        <f aca="false">IF(ISNUMBER(I36),4*H36,0)</f>
        <v>0</v>
      </c>
      <c r="S36" s="44" t="n">
        <f aca="false">IF(ISNUMBER(I36),1,0)</f>
        <v>0</v>
      </c>
      <c r="T36" s="44" t="n">
        <f aca="false">IF(AND(E36="M",ISNUMBER(I36)),1,0)</f>
        <v>0</v>
      </c>
      <c r="U36" s="44" t="n">
        <f aca="false">IF(AND(E36="M",ISNUMBER(I36)),IF(I36&gt;=3,1,0),0)</f>
        <v>0</v>
      </c>
      <c r="V36" s="1"/>
      <c r="W36" s="1"/>
      <c r="X36" s="1"/>
      <c r="Y36" s="1"/>
      <c r="Z36" s="1"/>
    </row>
    <row r="37" customFormat="false" ht="30.75" hidden="false" customHeight="true" outlineLevel="0" collapsed="false">
      <c r="A37" s="41" t="s">
        <v>665</v>
      </c>
      <c r="B37" s="41" t="s">
        <v>114</v>
      </c>
      <c r="C37" s="10" t="s">
        <v>666</v>
      </c>
      <c r="D37" s="10" t="s">
        <v>667</v>
      </c>
      <c r="E37" s="41" t="s">
        <v>166</v>
      </c>
      <c r="F37" s="10" t="s">
        <v>668</v>
      </c>
      <c r="G37" s="41" t="s">
        <v>168</v>
      </c>
      <c r="H37" s="41" t="n">
        <v>2</v>
      </c>
      <c r="I37" s="16"/>
      <c r="J37" s="15"/>
      <c r="K37" s="15"/>
      <c r="L37" s="15"/>
      <c r="M37" s="42" t="str">
        <f aca="false">IF(ISNUMBER(I37),(4-I37)*H37*IF(E37="M",1.5,1),"")</f>
        <v/>
      </c>
      <c r="N37" s="43" t="str">
        <f aca="false">IF(M37="","",IF(M37&gt;=9,"High",IF(M37&gt;=4,"Medium","Low")))</f>
        <v/>
      </c>
      <c r="O37" s="43" t="str">
        <f aca="false">IF(NOT(ISNUMBER(I37)),IF(I37="NA","N/A","Not scored"),IF(E37="M",IF(I37&gt;=3,"Compliant","Non-compliant"),IF(I37&gt;=3,"Meets GP","Below GP")))</f>
        <v>Not scored</v>
      </c>
      <c r="P37" s="10" t="s">
        <v>661</v>
      </c>
      <c r="Q37" s="44" t="n">
        <f aca="false">IF(ISNUMBER(I37),I37*H37,0)</f>
        <v>0</v>
      </c>
      <c r="R37" s="44" t="n">
        <f aca="false">IF(ISNUMBER(I37),4*H37,0)</f>
        <v>0</v>
      </c>
      <c r="S37" s="44" t="n">
        <f aca="false">IF(ISNUMBER(I37),1,0)</f>
        <v>0</v>
      </c>
      <c r="T37" s="44" t="n">
        <f aca="false">IF(AND(E37="M",ISNUMBER(I37)),1,0)</f>
        <v>0</v>
      </c>
      <c r="U37" s="44" t="n">
        <f aca="false">IF(AND(E37="M",ISNUMBER(I37)),IF(I37&gt;=3,1,0),0)</f>
        <v>0</v>
      </c>
      <c r="V37" s="1"/>
      <c r="W37" s="1"/>
      <c r="X37" s="1"/>
      <c r="Y37" s="1"/>
      <c r="Z37" s="1"/>
    </row>
    <row r="38" customFormat="false" ht="30.75" hidden="false" customHeight="true" outlineLevel="0" collapsed="false">
      <c r="A38" s="41" t="s">
        <v>669</v>
      </c>
      <c r="B38" s="41" t="s">
        <v>114</v>
      </c>
      <c r="C38" s="10" t="s">
        <v>670</v>
      </c>
      <c r="D38" s="10" t="s">
        <v>671</v>
      </c>
      <c r="E38" s="41" t="s">
        <v>166</v>
      </c>
      <c r="F38" s="10" t="s">
        <v>672</v>
      </c>
      <c r="G38" s="41" t="s">
        <v>226</v>
      </c>
      <c r="H38" s="41" t="n">
        <v>2</v>
      </c>
      <c r="I38" s="16"/>
      <c r="J38" s="15"/>
      <c r="K38" s="15"/>
      <c r="L38" s="15"/>
      <c r="M38" s="42" t="str">
        <f aca="false">IF(ISNUMBER(I38),(4-I38)*H38*IF(E38="M",1.5,1),"")</f>
        <v/>
      </c>
      <c r="N38" s="43" t="str">
        <f aca="false">IF(M38="","",IF(M38&gt;=9,"High",IF(M38&gt;=4,"Medium","Low")))</f>
        <v/>
      </c>
      <c r="O38" s="43" t="str">
        <f aca="false">IF(NOT(ISNUMBER(I38)),IF(I38="NA","N/A","Not scored"),IF(E38="M",IF(I38&gt;=3,"Compliant","Non-compliant"),IF(I38&gt;=3,"Meets GP","Below GP")))</f>
        <v>Not scored</v>
      </c>
      <c r="P38" s="10" t="s">
        <v>661</v>
      </c>
      <c r="Q38" s="44" t="n">
        <f aca="false">IF(ISNUMBER(I38),I38*H38,0)</f>
        <v>0</v>
      </c>
      <c r="R38" s="44" t="n">
        <f aca="false">IF(ISNUMBER(I38),4*H38,0)</f>
        <v>0</v>
      </c>
      <c r="S38" s="44" t="n">
        <f aca="false">IF(ISNUMBER(I38),1,0)</f>
        <v>0</v>
      </c>
      <c r="T38" s="44" t="n">
        <f aca="false">IF(AND(E38="M",ISNUMBER(I38)),1,0)</f>
        <v>0</v>
      </c>
      <c r="U38" s="44" t="n">
        <f aca="false">IF(AND(E38="M",ISNUMBER(I38)),IF(I38&gt;=3,1,0),0)</f>
        <v>0</v>
      </c>
      <c r="V38" s="1"/>
      <c r="W38" s="1"/>
      <c r="X38" s="1"/>
      <c r="Y38" s="1"/>
      <c r="Z38" s="1"/>
    </row>
    <row r="39" customFormat="false" ht="30.75" hidden="false" customHeight="true" outlineLevel="0" collapsed="false">
      <c r="A39" s="41" t="s">
        <v>673</v>
      </c>
      <c r="B39" s="41" t="s">
        <v>114</v>
      </c>
      <c r="C39" s="10" t="s">
        <v>674</v>
      </c>
      <c r="D39" s="10" t="s">
        <v>675</v>
      </c>
      <c r="E39" s="41" t="s">
        <v>166</v>
      </c>
      <c r="F39" s="10" t="s">
        <v>676</v>
      </c>
      <c r="G39" s="41" t="s">
        <v>226</v>
      </c>
      <c r="H39" s="41" t="n">
        <v>2</v>
      </c>
      <c r="I39" s="16"/>
      <c r="J39" s="15"/>
      <c r="K39" s="15"/>
      <c r="L39" s="15"/>
      <c r="M39" s="42" t="str">
        <f aca="false">IF(ISNUMBER(I39),(4-I39)*H39*IF(E39="M",1.5,1),"")</f>
        <v/>
      </c>
      <c r="N39" s="43" t="str">
        <f aca="false">IF(M39="","",IF(M39&gt;=9,"High",IF(M39&gt;=4,"Medium","Low")))</f>
        <v/>
      </c>
      <c r="O39" s="43" t="str">
        <f aca="false">IF(NOT(ISNUMBER(I39)),IF(I39="NA","N/A","Not scored"),IF(E39="M",IF(I39&gt;=3,"Compliant","Non-compliant"),IF(I39&gt;=3,"Meets GP","Below GP")))</f>
        <v>Not scored</v>
      </c>
      <c r="P39" s="10" t="s">
        <v>661</v>
      </c>
      <c r="Q39" s="44" t="n">
        <f aca="false">IF(ISNUMBER(I39),I39*H39,0)</f>
        <v>0</v>
      </c>
      <c r="R39" s="44" t="n">
        <f aca="false">IF(ISNUMBER(I39),4*H39,0)</f>
        <v>0</v>
      </c>
      <c r="S39" s="44" t="n">
        <f aca="false">IF(ISNUMBER(I39),1,0)</f>
        <v>0</v>
      </c>
      <c r="T39" s="44" t="n">
        <f aca="false">IF(AND(E39="M",ISNUMBER(I39)),1,0)</f>
        <v>0</v>
      </c>
      <c r="U39" s="44" t="n">
        <f aca="false">IF(AND(E39="M",ISNUMBER(I39)),IF(I39&gt;=3,1,0),0)</f>
        <v>0</v>
      </c>
      <c r="V39" s="1"/>
      <c r="W39" s="1"/>
      <c r="X39" s="1"/>
      <c r="Y39" s="1"/>
      <c r="Z39" s="1"/>
    </row>
    <row r="40" customFormat="false" ht="43.5" hidden="false" customHeight="true" outlineLevel="0" collapsed="false">
      <c r="A40" s="41" t="s">
        <v>677</v>
      </c>
      <c r="B40" s="41" t="s">
        <v>114</v>
      </c>
      <c r="C40" s="10" t="s">
        <v>678</v>
      </c>
      <c r="D40" s="10" t="s">
        <v>679</v>
      </c>
      <c r="E40" s="41" t="s">
        <v>188</v>
      </c>
      <c r="F40" s="10" t="s">
        <v>680</v>
      </c>
      <c r="G40" s="41" t="s">
        <v>424</v>
      </c>
      <c r="H40" s="41" t="n">
        <v>1</v>
      </c>
      <c r="I40" s="16"/>
      <c r="J40" s="15"/>
      <c r="K40" s="15"/>
      <c r="L40" s="15"/>
      <c r="M40" s="42" t="str">
        <f aca="false">IF(ISNUMBER(I40),(4-I40)*H40*IF(E40="M",1.5,1),"")</f>
        <v/>
      </c>
      <c r="N40" s="43" t="str">
        <f aca="false">IF(M40="","",IF(M40&gt;=9,"High",IF(M40&gt;=4,"Medium","Low")))</f>
        <v/>
      </c>
      <c r="O40" s="43" t="str">
        <f aca="false">IF(NOT(ISNUMBER(I40)),IF(I40="NA","N/A","Not scored"),IF(E40="M",IF(I40&gt;=3,"Compliant","Non-compliant"),IF(I40&gt;=3,"Meets GP","Below GP")))</f>
        <v>Not scored</v>
      </c>
      <c r="P40" s="10" t="s">
        <v>661</v>
      </c>
      <c r="Q40" s="44" t="n">
        <f aca="false">IF(ISNUMBER(I40),I40*H40,0)</f>
        <v>0</v>
      </c>
      <c r="R40" s="44" t="n">
        <f aca="false">IF(ISNUMBER(I40),4*H40,0)</f>
        <v>0</v>
      </c>
      <c r="S40" s="44" t="n">
        <f aca="false">IF(ISNUMBER(I40),1,0)</f>
        <v>0</v>
      </c>
      <c r="T40" s="44" t="n">
        <f aca="false">IF(AND(E40="M",ISNUMBER(I40)),1,0)</f>
        <v>0</v>
      </c>
      <c r="U40" s="44" t="n">
        <f aca="false">IF(AND(E40="M",ISNUMBER(I40)),IF(I40&gt;=3,1,0),0)</f>
        <v>0</v>
      </c>
      <c r="V40" s="1"/>
      <c r="W40" s="1"/>
      <c r="X40" s="1"/>
      <c r="Y40" s="1"/>
      <c r="Z40" s="1"/>
    </row>
    <row r="41" customFormat="false" ht="15" hidden="false" customHeight="false" outlineLevel="0" collapsed="false">
      <c r="A41" s="40" t="s">
        <v>681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30.75" hidden="false" customHeight="true" outlineLevel="0" collapsed="false">
      <c r="A42" s="41" t="s">
        <v>682</v>
      </c>
      <c r="B42" s="41" t="s">
        <v>116</v>
      </c>
      <c r="C42" s="10" t="s">
        <v>683</v>
      </c>
      <c r="D42" s="10" t="s">
        <v>684</v>
      </c>
      <c r="E42" s="41" t="s">
        <v>166</v>
      </c>
      <c r="F42" s="10" t="s">
        <v>685</v>
      </c>
      <c r="G42" s="41" t="s">
        <v>179</v>
      </c>
      <c r="H42" s="41" t="n">
        <v>3</v>
      </c>
      <c r="I42" s="16"/>
      <c r="J42" s="15"/>
      <c r="K42" s="15"/>
      <c r="L42" s="15"/>
      <c r="M42" s="42" t="str">
        <f aca="false">IF(ISNUMBER(I42),(4-I42)*H42*IF(E42="M",1.5,1),"")</f>
        <v/>
      </c>
      <c r="N42" s="43" t="str">
        <f aca="false">IF(M42="","",IF(M42&gt;=9,"High",IF(M42&gt;=4,"Medium","Low")))</f>
        <v/>
      </c>
      <c r="O42" s="43" t="str">
        <f aca="false">IF(NOT(ISNUMBER(I42)),IF(I42="NA","N/A","Not scored"),IF(E42="M",IF(I42&gt;=3,"Compliant","Non-compliant"),IF(I42&gt;=3,"Meets GP","Below GP")))</f>
        <v>Not scored</v>
      </c>
      <c r="P42" s="10" t="s">
        <v>686</v>
      </c>
      <c r="Q42" s="44" t="n">
        <f aca="false">IF(ISNUMBER(I42),I42*H42,0)</f>
        <v>0</v>
      </c>
      <c r="R42" s="44" t="n">
        <f aca="false">IF(ISNUMBER(I42),4*H42,0)</f>
        <v>0</v>
      </c>
      <c r="S42" s="44" t="n">
        <f aca="false">IF(ISNUMBER(I42),1,0)</f>
        <v>0</v>
      </c>
      <c r="T42" s="44" t="n">
        <f aca="false">IF(AND(E42="M",ISNUMBER(I42)),1,0)</f>
        <v>0</v>
      </c>
      <c r="U42" s="44" t="n">
        <f aca="false">IF(AND(E42="M",ISNUMBER(I42)),IF(I42&gt;=3,1,0),0)</f>
        <v>0</v>
      </c>
      <c r="V42" s="1"/>
      <c r="W42" s="1"/>
      <c r="X42" s="1"/>
      <c r="Y42" s="1"/>
      <c r="Z42" s="1"/>
    </row>
    <row r="43" customFormat="false" ht="30.75" hidden="false" customHeight="true" outlineLevel="0" collapsed="false">
      <c r="A43" s="41" t="s">
        <v>687</v>
      </c>
      <c r="B43" s="41" t="s">
        <v>116</v>
      </c>
      <c r="C43" s="10" t="s">
        <v>688</v>
      </c>
      <c r="D43" s="10" t="s">
        <v>689</v>
      </c>
      <c r="E43" s="41" t="s">
        <v>166</v>
      </c>
      <c r="F43" s="10" t="s">
        <v>690</v>
      </c>
      <c r="G43" s="41" t="s">
        <v>226</v>
      </c>
      <c r="H43" s="41" t="n">
        <v>3</v>
      </c>
      <c r="I43" s="16"/>
      <c r="J43" s="15"/>
      <c r="K43" s="15"/>
      <c r="L43" s="15"/>
      <c r="M43" s="42" t="str">
        <f aca="false">IF(ISNUMBER(I43),(4-I43)*H43*IF(E43="M",1.5,1),"")</f>
        <v/>
      </c>
      <c r="N43" s="43" t="str">
        <f aca="false">IF(M43="","",IF(M43&gt;=9,"High",IF(M43&gt;=4,"Medium","Low")))</f>
        <v/>
      </c>
      <c r="O43" s="43" t="str">
        <f aca="false">IF(NOT(ISNUMBER(I43)),IF(I43="NA","N/A","Not scored"),IF(E43="M",IF(I43&gt;=3,"Compliant","Non-compliant"),IF(I43&gt;=3,"Meets GP","Below GP")))</f>
        <v>Not scored</v>
      </c>
      <c r="P43" s="10" t="s">
        <v>691</v>
      </c>
      <c r="Q43" s="44" t="n">
        <f aca="false">IF(ISNUMBER(I43),I43*H43,0)</f>
        <v>0</v>
      </c>
      <c r="R43" s="44" t="n">
        <f aca="false">IF(ISNUMBER(I43),4*H43,0)</f>
        <v>0</v>
      </c>
      <c r="S43" s="44" t="n">
        <f aca="false">IF(ISNUMBER(I43),1,0)</f>
        <v>0</v>
      </c>
      <c r="T43" s="44" t="n">
        <f aca="false">IF(AND(E43="M",ISNUMBER(I43)),1,0)</f>
        <v>0</v>
      </c>
      <c r="U43" s="44" t="n">
        <f aca="false">IF(AND(E43="M",ISNUMBER(I43)),IF(I43&gt;=3,1,0),0)</f>
        <v>0</v>
      </c>
      <c r="V43" s="1"/>
      <c r="W43" s="1"/>
      <c r="X43" s="1"/>
      <c r="Y43" s="1"/>
      <c r="Z43" s="1"/>
    </row>
    <row r="44" customFormat="false" ht="30.75" hidden="false" customHeight="true" outlineLevel="0" collapsed="false">
      <c r="A44" s="41" t="s">
        <v>692</v>
      </c>
      <c r="B44" s="41" t="s">
        <v>116</v>
      </c>
      <c r="C44" s="10" t="s">
        <v>693</v>
      </c>
      <c r="D44" s="10" t="s">
        <v>694</v>
      </c>
      <c r="E44" s="41" t="s">
        <v>166</v>
      </c>
      <c r="F44" s="10" t="s">
        <v>695</v>
      </c>
      <c r="G44" s="41" t="s">
        <v>226</v>
      </c>
      <c r="H44" s="41" t="n">
        <v>2</v>
      </c>
      <c r="I44" s="16"/>
      <c r="J44" s="15"/>
      <c r="K44" s="15"/>
      <c r="L44" s="15"/>
      <c r="M44" s="42" t="str">
        <f aca="false">IF(ISNUMBER(I44),(4-I44)*H44*IF(E44="M",1.5,1),"")</f>
        <v/>
      </c>
      <c r="N44" s="43" t="str">
        <f aca="false">IF(M44="","",IF(M44&gt;=9,"High",IF(M44&gt;=4,"Medium","Low")))</f>
        <v/>
      </c>
      <c r="O44" s="43" t="str">
        <f aca="false">IF(NOT(ISNUMBER(I44)),IF(I44="NA","N/A","Not scored"),IF(E44="M",IF(I44&gt;=3,"Compliant","Non-compliant"),IF(I44&gt;=3,"Meets GP","Below GP")))</f>
        <v>Not scored</v>
      </c>
      <c r="P44" s="10" t="s">
        <v>691</v>
      </c>
      <c r="Q44" s="44" t="n">
        <f aca="false">IF(ISNUMBER(I44),I44*H44,0)</f>
        <v>0</v>
      </c>
      <c r="R44" s="44" t="n">
        <f aca="false">IF(ISNUMBER(I44),4*H44,0)</f>
        <v>0</v>
      </c>
      <c r="S44" s="44" t="n">
        <f aca="false">IF(ISNUMBER(I44),1,0)</f>
        <v>0</v>
      </c>
      <c r="T44" s="44" t="n">
        <f aca="false">IF(AND(E44="M",ISNUMBER(I44)),1,0)</f>
        <v>0</v>
      </c>
      <c r="U44" s="44" t="n">
        <f aca="false">IF(AND(E44="M",ISNUMBER(I44)),IF(I44&gt;=3,1,0),0)</f>
        <v>0</v>
      </c>
      <c r="V44" s="1"/>
      <c r="W44" s="1"/>
      <c r="X44" s="1"/>
      <c r="Y44" s="1"/>
      <c r="Z44" s="1"/>
    </row>
    <row r="45" customFormat="false" ht="30.75" hidden="false" customHeight="true" outlineLevel="0" collapsed="false">
      <c r="A45" s="41" t="s">
        <v>696</v>
      </c>
      <c r="B45" s="41" t="s">
        <v>116</v>
      </c>
      <c r="C45" s="10" t="s">
        <v>697</v>
      </c>
      <c r="D45" s="10" t="s">
        <v>698</v>
      </c>
      <c r="E45" s="41" t="s">
        <v>188</v>
      </c>
      <c r="F45" s="10" t="s">
        <v>699</v>
      </c>
      <c r="G45" s="41" t="s">
        <v>168</v>
      </c>
      <c r="H45" s="41" t="n">
        <v>1</v>
      </c>
      <c r="I45" s="16"/>
      <c r="J45" s="15"/>
      <c r="K45" s="15"/>
      <c r="L45" s="15"/>
      <c r="M45" s="42" t="str">
        <f aca="false">IF(ISNUMBER(I45),(4-I45)*H45*IF(E45="M",1.5,1),"")</f>
        <v/>
      </c>
      <c r="N45" s="43" t="str">
        <f aca="false">IF(M45="","",IF(M45&gt;=9,"High",IF(M45&gt;=4,"Medium","Low")))</f>
        <v/>
      </c>
      <c r="O45" s="43" t="str">
        <f aca="false">IF(NOT(ISNUMBER(I45)),IF(I45="NA","N/A","Not scored"),IF(E45="M",IF(I45&gt;=3,"Compliant","Non-compliant"),IF(I45&gt;=3,"Meets GP","Below GP")))</f>
        <v>Not scored</v>
      </c>
      <c r="P45" s="10" t="s">
        <v>691</v>
      </c>
      <c r="Q45" s="44" t="n">
        <f aca="false">IF(ISNUMBER(I45),I45*H45,0)</f>
        <v>0</v>
      </c>
      <c r="R45" s="44" t="n">
        <f aca="false">IF(ISNUMBER(I45),4*H45,0)</f>
        <v>0</v>
      </c>
      <c r="S45" s="44" t="n">
        <f aca="false">IF(ISNUMBER(I45),1,0)</f>
        <v>0</v>
      </c>
      <c r="T45" s="44" t="n">
        <f aca="false">IF(AND(E45="M",ISNUMBER(I45)),1,0)</f>
        <v>0</v>
      </c>
      <c r="U45" s="44" t="n">
        <f aca="false">IF(AND(E45="M",ISNUMBER(I45)),IF(I45&gt;=3,1,0),0)</f>
        <v>0</v>
      </c>
      <c r="V45" s="1"/>
      <c r="W45" s="1"/>
      <c r="X45" s="1"/>
      <c r="Y45" s="1"/>
      <c r="Z45" s="1"/>
    </row>
    <row r="46" customFormat="false" ht="30.75" hidden="false" customHeight="true" outlineLevel="0" collapsed="false">
      <c r="A46" s="41" t="s">
        <v>700</v>
      </c>
      <c r="B46" s="41" t="s">
        <v>116</v>
      </c>
      <c r="C46" s="10" t="s">
        <v>701</v>
      </c>
      <c r="D46" s="10" t="s">
        <v>702</v>
      </c>
      <c r="E46" s="41" t="s">
        <v>188</v>
      </c>
      <c r="F46" s="10" t="s">
        <v>703</v>
      </c>
      <c r="G46" s="41" t="s">
        <v>179</v>
      </c>
      <c r="H46" s="41" t="n">
        <v>2</v>
      </c>
      <c r="I46" s="16"/>
      <c r="J46" s="15"/>
      <c r="K46" s="15"/>
      <c r="L46" s="15"/>
      <c r="M46" s="42" t="str">
        <f aca="false">IF(ISNUMBER(I46),(4-I46)*H46*IF(E46="M",1.5,1),"")</f>
        <v/>
      </c>
      <c r="N46" s="43" t="str">
        <f aca="false">IF(M46="","",IF(M46&gt;=9,"High",IF(M46&gt;=4,"Medium","Low")))</f>
        <v/>
      </c>
      <c r="O46" s="43" t="str">
        <f aca="false">IF(NOT(ISNUMBER(I46)),IF(I46="NA","N/A","Not scored"),IF(E46="M",IF(I46&gt;=3,"Compliant","Non-compliant"),IF(I46&gt;=3,"Meets GP","Below GP")))</f>
        <v>Not scored</v>
      </c>
      <c r="P46" s="10" t="s">
        <v>691</v>
      </c>
      <c r="Q46" s="44" t="n">
        <f aca="false">IF(ISNUMBER(I46),I46*H46,0)</f>
        <v>0</v>
      </c>
      <c r="R46" s="44" t="n">
        <f aca="false">IF(ISNUMBER(I46),4*H46,0)</f>
        <v>0</v>
      </c>
      <c r="S46" s="44" t="n">
        <f aca="false">IF(ISNUMBER(I46),1,0)</f>
        <v>0</v>
      </c>
      <c r="T46" s="44" t="n">
        <f aca="false">IF(AND(E46="M",ISNUMBER(I46)),1,0)</f>
        <v>0</v>
      </c>
      <c r="U46" s="44" t="n">
        <f aca="false">IF(AND(E46="M",ISNUMBER(I46)),IF(I46&gt;=3,1,0),0)</f>
        <v>0</v>
      </c>
      <c r="V46" s="1"/>
      <c r="W46" s="1"/>
      <c r="X46" s="1"/>
      <c r="Y46" s="1"/>
      <c r="Z46" s="1"/>
    </row>
    <row r="47" customFormat="false" ht="55.5" hidden="false" customHeight="true" outlineLevel="0" collapsed="false">
      <c r="A47" s="41" t="s">
        <v>704</v>
      </c>
      <c r="B47" s="41" t="s">
        <v>116</v>
      </c>
      <c r="C47" s="10" t="s">
        <v>705</v>
      </c>
      <c r="D47" s="10" t="s">
        <v>706</v>
      </c>
      <c r="E47" s="41" t="s">
        <v>188</v>
      </c>
      <c r="F47" s="10" t="s">
        <v>707</v>
      </c>
      <c r="G47" s="41" t="s">
        <v>168</v>
      </c>
      <c r="H47" s="41" t="n">
        <v>2</v>
      </c>
      <c r="I47" s="16"/>
      <c r="J47" s="15"/>
      <c r="K47" s="15"/>
      <c r="L47" s="15"/>
      <c r="M47" s="42" t="str">
        <f aca="false">IF(ISNUMBER(I47),(4-I47)*H47*IF(E47="M",1.5,1),"")</f>
        <v/>
      </c>
      <c r="N47" s="43" t="str">
        <f aca="false">IF(M47="","",IF(M47&gt;=9,"High",IF(M47&gt;=4,"Medium","Low")))</f>
        <v/>
      </c>
      <c r="O47" s="43" t="str">
        <f aca="false">IF(NOT(ISNUMBER(I47)),IF(I47="NA","N/A","Not scored"),IF(E47="M",IF(I47&gt;=3,"Compliant","Non-compliant"),IF(I47&gt;=3,"Meets GP","Below GP")))</f>
        <v>Not scored</v>
      </c>
      <c r="P47" s="10" t="s">
        <v>691</v>
      </c>
      <c r="Q47" s="44" t="n">
        <f aca="false">IF(ISNUMBER(I47),I47*H47,0)</f>
        <v>0</v>
      </c>
      <c r="R47" s="44" t="n">
        <f aca="false">IF(ISNUMBER(I47),4*H47,0)</f>
        <v>0</v>
      </c>
      <c r="S47" s="44" t="n">
        <f aca="false">IF(ISNUMBER(I47),1,0)</f>
        <v>0</v>
      </c>
      <c r="T47" s="44" t="n">
        <f aca="false">IF(AND(E47="M",ISNUMBER(I47)),1,0)</f>
        <v>0</v>
      </c>
      <c r="U47" s="44" t="n">
        <f aca="false">IF(AND(E47="M",ISNUMBER(I47)),IF(I47&gt;=3,1,0),0)</f>
        <v>0</v>
      </c>
      <c r="V47" s="1"/>
      <c r="W47" s="1"/>
      <c r="X47" s="1"/>
      <c r="Y47" s="1"/>
      <c r="Z47" s="1"/>
    </row>
    <row r="48" customFormat="false" ht="15" hidden="false" customHeight="false" outlineLevel="0" collapsed="false">
      <c r="A48" s="40" t="s">
        <v>708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30.75" hidden="false" customHeight="true" outlineLevel="0" collapsed="false">
      <c r="A49" s="41" t="s">
        <v>709</v>
      </c>
      <c r="B49" s="41" t="s">
        <v>118</v>
      </c>
      <c r="C49" s="10" t="s">
        <v>710</v>
      </c>
      <c r="D49" s="10" t="s">
        <v>561</v>
      </c>
      <c r="E49" s="41" t="s">
        <v>166</v>
      </c>
      <c r="F49" s="10" t="s">
        <v>711</v>
      </c>
      <c r="G49" s="41" t="s">
        <v>168</v>
      </c>
      <c r="H49" s="41" t="n">
        <v>3</v>
      </c>
      <c r="I49" s="16"/>
      <c r="J49" s="15"/>
      <c r="K49" s="15"/>
      <c r="L49" s="15"/>
      <c r="M49" s="42" t="str">
        <f aca="false">IF(ISNUMBER(I49),(4-I49)*H49*IF(E49="M",1.5,1),"")</f>
        <v/>
      </c>
      <c r="N49" s="43" t="str">
        <f aca="false">IF(M49="","",IF(M49&gt;=9,"High",IF(M49&gt;=4,"Medium","Low")))</f>
        <v/>
      </c>
      <c r="O49" s="43" t="str">
        <f aca="false">IF(NOT(ISNUMBER(I49)),IF(I49="NA","N/A","Not scored"),IF(E49="M",IF(I49&gt;=3,"Compliant","Non-compliant"),IF(I49&gt;=3,"Meets GP","Below GP")))</f>
        <v>Not scored</v>
      </c>
      <c r="P49" s="10" t="s">
        <v>712</v>
      </c>
      <c r="Q49" s="44" t="n">
        <f aca="false">IF(ISNUMBER(I49),I49*H49,0)</f>
        <v>0</v>
      </c>
      <c r="R49" s="44" t="n">
        <f aca="false">IF(ISNUMBER(I49),4*H49,0)</f>
        <v>0</v>
      </c>
      <c r="S49" s="44" t="n">
        <f aca="false">IF(ISNUMBER(I49),1,0)</f>
        <v>0</v>
      </c>
      <c r="T49" s="44" t="n">
        <f aca="false">IF(AND(E49="M",ISNUMBER(I49)),1,0)</f>
        <v>0</v>
      </c>
      <c r="U49" s="44" t="n">
        <f aca="false">IF(AND(E49="M",ISNUMBER(I49)),IF(I49&gt;=3,1,0),0)</f>
        <v>0</v>
      </c>
      <c r="V49" s="1"/>
      <c r="W49" s="1"/>
      <c r="X49" s="1"/>
      <c r="Y49" s="1"/>
      <c r="Z49" s="1"/>
    </row>
    <row r="50" customFormat="false" ht="30.75" hidden="false" customHeight="true" outlineLevel="0" collapsed="false">
      <c r="A50" s="41" t="s">
        <v>713</v>
      </c>
      <c r="B50" s="41" t="s">
        <v>118</v>
      </c>
      <c r="C50" s="10" t="s">
        <v>714</v>
      </c>
      <c r="D50" s="10" t="s">
        <v>715</v>
      </c>
      <c r="E50" s="41" t="s">
        <v>166</v>
      </c>
      <c r="F50" s="10" t="s">
        <v>716</v>
      </c>
      <c r="G50" s="41" t="s">
        <v>168</v>
      </c>
      <c r="H50" s="41" t="n">
        <v>2</v>
      </c>
      <c r="I50" s="16"/>
      <c r="J50" s="15"/>
      <c r="K50" s="15"/>
      <c r="L50" s="15"/>
      <c r="M50" s="42" t="str">
        <f aca="false">IF(ISNUMBER(I50),(4-I50)*H50*IF(E50="M",1.5,1),"")</f>
        <v/>
      </c>
      <c r="N50" s="43" t="str">
        <f aca="false">IF(M50="","",IF(M50&gt;=9,"High",IF(M50&gt;=4,"Medium","Low")))</f>
        <v/>
      </c>
      <c r="O50" s="43" t="str">
        <f aca="false">IF(NOT(ISNUMBER(I50)),IF(I50="NA","N/A","Not scored"),IF(E50="M",IF(I50&gt;=3,"Compliant","Non-compliant"),IF(I50&gt;=3,"Meets GP","Below GP")))</f>
        <v>Not scored</v>
      </c>
      <c r="P50" s="10" t="s">
        <v>717</v>
      </c>
      <c r="Q50" s="44" t="n">
        <f aca="false">IF(ISNUMBER(I50),I50*H50,0)</f>
        <v>0</v>
      </c>
      <c r="R50" s="44" t="n">
        <f aca="false">IF(ISNUMBER(I50),4*H50,0)</f>
        <v>0</v>
      </c>
      <c r="S50" s="44" t="n">
        <f aca="false">IF(ISNUMBER(I50),1,0)</f>
        <v>0</v>
      </c>
      <c r="T50" s="44" t="n">
        <f aca="false">IF(AND(E50="M",ISNUMBER(I50)),1,0)</f>
        <v>0</v>
      </c>
      <c r="U50" s="44" t="n">
        <f aca="false">IF(AND(E50="M",ISNUMBER(I50)),IF(I50&gt;=3,1,0),0)</f>
        <v>0</v>
      </c>
      <c r="V50" s="1"/>
      <c r="W50" s="1"/>
      <c r="X50" s="1"/>
      <c r="Y50" s="1"/>
      <c r="Z50" s="1"/>
    </row>
    <row r="51" customFormat="false" ht="30.75" hidden="false" customHeight="true" outlineLevel="0" collapsed="false">
      <c r="A51" s="41" t="s">
        <v>718</v>
      </c>
      <c r="B51" s="41" t="s">
        <v>118</v>
      </c>
      <c r="C51" s="10" t="s">
        <v>719</v>
      </c>
      <c r="D51" s="10" t="s">
        <v>720</v>
      </c>
      <c r="E51" s="41" t="s">
        <v>166</v>
      </c>
      <c r="F51" s="10" t="s">
        <v>721</v>
      </c>
      <c r="G51" s="41" t="s">
        <v>168</v>
      </c>
      <c r="H51" s="41" t="n">
        <v>2</v>
      </c>
      <c r="I51" s="16"/>
      <c r="J51" s="15"/>
      <c r="K51" s="15"/>
      <c r="L51" s="15"/>
      <c r="M51" s="42" t="str">
        <f aca="false">IF(ISNUMBER(I51),(4-I51)*H51*IF(E51="M",1.5,1),"")</f>
        <v/>
      </c>
      <c r="N51" s="43" t="str">
        <f aca="false">IF(M51="","",IF(M51&gt;=9,"High",IF(M51&gt;=4,"Medium","Low")))</f>
        <v/>
      </c>
      <c r="O51" s="43" t="str">
        <f aca="false">IF(NOT(ISNUMBER(I51)),IF(I51="NA","N/A","Not scored"),IF(E51="M",IF(I51&gt;=3,"Compliant","Non-compliant"),IF(I51&gt;=3,"Meets GP","Below GP")))</f>
        <v>Not scored</v>
      </c>
      <c r="P51" s="10" t="s">
        <v>722</v>
      </c>
      <c r="Q51" s="44" t="n">
        <f aca="false">IF(ISNUMBER(I51),I51*H51,0)</f>
        <v>0</v>
      </c>
      <c r="R51" s="44" t="n">
        <f aca="false">IF(ISNUMBER(I51),4*H51,0)</f>
        <v>0</v>
      </c>
      <c r="S51" s="44" t="n">
        <f aca="false">IF(ISNUMBER(I51),1,0)</f>
        <v>0</v>
      </c>
      <c r="T51" s="44" t="n">
        <f aca="false">IF(AND(E51="M",ISNUMBER(I51)),1,0)</f>
        <v>0</v>
      </c>
      <c r="U51" s="44" t="n">
        <f aca="false">IF(AND(E51="M",ISNUMBER(I51)),IF(I51&gt;=3,1,0),0)</f>
        <v>0</v>
      </c>
      <c r="V51" s="1"/>
      <c r="W51" s="1"/>
      <c r="X51" s="1"/>
      <c r="Y51" s="1"/>
      <c r="Z51" s="1"/>
    </row>
    <row r="52" customFormat="false" ht="30.75" hidden="false" customHeight="true" outlineLevel="0" collapsed="false">
      <c r="A52" s="41" t="s">
        <v>723</v>
      </c>
      <c r="B52" s="41" t="s">
        <v>118</v>
      </c>
      <c r="C52" s="10" t="s">
        <v>724</v>
      </c>
      <c r="D52" s="10" t="s">
        <v>595</v>
      </c>
      <c r="E52" s="41" t="s">
        <v>188</v>
      </c>
      <c r="F52" s="10" t="s">
        <v>725</v>
      </c>
      <c r="G52" s="41" t="s">
        <v>168</v>
      </c>
      <c r="H52" s="41" t="n">
        <v>2</v>
      </c>
      <c r="I52" s="16"/>
      <c r="J52" s="15"/>
      <c r="K52" s="15"/>
      <c r="L52" s="15"/>
      <c r="M52" s="42" t="str">
        <f aca="false">IF(ISNUMBER(I52),(4-I52)*H52*IF(E52="M",1.5,1),"")</f>
        <v/>
      </c>
      <c r="N52" s="43" t="str">
        <f aca="false">IF(M52="","",IF(M52&gt;=9,"High",IF(M52&gt;=4,"Medium","Low")))</f>
        <v/>
      </c>
      <c r="O52" s="43" t="str">
        <f aca="false">IF(NOT(ISNUMBER(I52)),IF(I52="NA","N/A","Not scored"),IF(E52="M",IF(I52&gt;=3,"Compliant","Non-compliant"),IF(I52&gt;=3,"Meets GP","Below GP")))</f>
        <v>Not scored</v>
      </c>
      <c r="P52" s="10" t="s">
        <v>722</v>
      </c>
      <c r="Q52" s="44" t="n">
        <f aca="false">IF(ISNUMBER(I52),I52*H52,0)</f>
        <v>0</v>
      </c>
      <c r="R52" s="44" t="n">
        <f aca="false">IF(ISNUMBER(I52),4*H52,0)</f>
        <v>0</v>
      </c>
      <c r="S52" s="44" t="n">
        <f aca="false">IF(ISNUMBER(I52),1,0)</f>
        <v>0</v>
      </c>
      <c r="T52" s="44" t="n">
        <f aca="false">IF(AND(E52="M",ISNUMBER(I52)),1,0)</f>
        <v>0</v>
      </c>
      <c r="U52" s="44" t="n">
        <f aca="false">IF(AND(E52="M",ISNUMBER(I52)),IF(I52&gt;=3,1,0),0)</f>
        <v>0</v>
      </c>
      <c r="V52" s="1"/>
      <c r="W52" s="1"/>
      <c r="X52" s="1"/>
      <c r="Y52" s="1"/>
      <c r="Z52" s="1"/>
    </row>
    <row r="53" customFormat="false" ht="30.75" hidden="false" customHeight="true" outlineLevel="0" collapsed="false">
      <c r="A53" s="41" t="s">
        <v>726</v>
      </c>
      <c r="B53" s="41" t="s">
        <v>118</v>
      </c>
      <c r="C53" s="10" t="s">
        <v>727</v>
      </c>
      <c r="D53" s="10" t="s">
        <v>275</v>
      </c>
      <c r="E53" s="41" t="s">
        <v>166</v>
      </c>
      <c r="F53" s="10" t="s">
        <v>728</v>
      </c>
      <c r="G53" s="41" t="s">
        <v>168</v>
      </c>
      <c r="H53" s="41" t="n">
        <v>2</v>
      </c>
      <c r="I53" s="16"/>
      <c r="J53" s="15"/>
      <c r="K53" s="15"/>
      <c r="L53" s="15"/>
      <c r="M53" s="42" t="str">
        <f aca="false">IF(ISNUMBER(I53),(4-I53)*H53*IF(E53="M",1.5,1),"")</f>
        <v/>
      </c>
      <c r="N53" s="43" t="str">
        <f aca="false">IF(M53="","",IF(M53&gt;=9,"High",IF(M53&gt;=4,"Medium","Low")))</f>
        <v/>
      </c>
      <c r="O53" s="43" t="str">
        <f aca="false">IF(NOT(ISNUMBER(I53)),IF(I53="NA","N/A","Not scored"),IF(E53="M",IF(I53&gt;=3,"Compliant","Non-compliant"),IF(I53&gt;=3,"Meets GP","Below GP")))</f>
        <v>Not scored</v>
      </c>
      <c r="P53" s="10" t="s">
        <v>729</v>
      </c>
      <c r="Q53" s="44" t="n">
        <f aca="false">IF(ISNUMBER(I53),I53*H53,0)</f>
        <v>0</v>
      </c>
      <c r="R53" s="44" t="n">
        <f aca="false">IF(ISNUMBER(I53),4*H53,0)</f>
        <v>0</v>
      </c>
      <c r="S53" s="44" t="n">
        <f aca="false">IF(ISNUMBER(I53),1,0)</f>
        <v>0</v>
      </c>
      <c r="T53" s="44" t="n">
        <f aca="false">IF(AND(E53="M",ISNUMBER(I53)),1,0)</f>
        <v>0</v>
      </c>
      <c r="U53" s="44" t="n">
        <f aca="false">IF(AND(E53="M",ISNUMBER(I53)),IF(I53&gt;=3,1,0),0)</f>
        <v>0</v>
      </c>
      <c r="V53" s="1"/>
      <c r="W53" s="1"/>
      <c r="X53" s="1"/>
      <c r="Y53" s="1"/>
      <c r="Z53" s="1"/>
    </row>
    <row r="54" customFormat="false" ht="30.75" hidden="false" customHeight="true" outlineLevel="0" collapsed="false">
      <c r="A54" s="41" t="s">
        <v>730</v>
      </c>
      <c r="B54" s="41" t="s">
        <v>118</v>
      </c>
      <c r="C54" s="10" t="s">
        <v>731</v>
      </c>
      <c r="D54" s="10" t="s">
        <v>591</v>
      </c>
      <c r="E54" s="41" t="s">
        <v>188</v>
      </c>
      <c r="F54" s="10" t="s">
        <v>732</v>
      </c>
      <c r="G54" s="41" t="s">
        <v>226</v>
      </c>
      <c r="H54" s="41" t="n">
        <v>1</v>
      </c>
      <c r="I54" s="16"/>
      <c r="J54" s="15"/>
      <c r="K54" s="15"/>
      <c r="L54" s="15"/>
      <c r="M54" s="42" t="str">
        <f aca="false">IF(ISNUMBER(I54),(4-I54)*H54*IF(E54="M",1.5,1),"")</f>
        <v/>
      </c>
      <c r="N54" s="43" t="str">
        <f aca="false">IF(M54="","",IF(M54&gt;=9,"High",IF(M54&gt;=4,"Medium","Low")))</f>
        <v/>
      </c>
      <c r="O54" s="43" t="str">
        <f aca="false">IF(NOT(ISNUMBER(I54)),IF(I54="NA","N/A","Not scored"),IF(E54="M",IF(I54&gt;=3,"Compliant","Non-compliant"),IF(I54&gt;=3,"Meets GP","Below GP")))</f>
        <v>Not scored</v>
      </c>
      <c r="P54" s="10" t="s">
        <v>733</v>
      </c>
      <c r="Q54" s="44" t="n">
        <f aca="false">IF(ISNUMBER(I54),I54*H54,0)</f>
        <v>0</v>
      </c>
      <c r="R54" s="44" t="n">
        <f aca="false">IF(ISNUMBER(I54),4*H54,0)</f>
        <v>0</v>
      </c>
      <c r="S54" s="44" t="n">
        <f aca="false">IF(ISNUMBER(I54),1,0)</f>
        <v>0</v>
      </c>
      <c r="T54" s="44" t="n">
        <f aca="false">IF(AND(E54="M",ISNUMBER(I54)),1,0)</f>
        <v>0</v>
      </c>
      <c r="U54" s="44" t="n">
        <f aca="false">IF(AND(E54="M",ISNUMBER(I54)),IF(I54&gt;=3,1,0),0)</f>
        <v>0</v>
      </c>
      <c r="V54" s="1"/>
      <c r="W54" s="1"/>
      <c r="X54" s="1"/>
      <c r="Y54" s="1"/>
      <c r="Z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4:P52"/>
  <mergeCells count="7">
    <mergeCell ref="A5:P5"/>
    <mergeCell ref="A11:P11"/>
    <mergeCell ref="A19:P19"/>
    <mergeCell ref="A26:P26"/>
    <mergeCell ref="A33:P33"/>
    <mergeCell ref="A41:P41"/>
    <mergeCell ref="A48:P48"/>
  </mergeCells>
  <conditionalFormatting sqref="N5:N54">
    <cfRule type="cellIs" priority="2" operator="equal" aboveAverage="0" equalAverage="0" bottom="0" percent="0" rank="0" text="" dxfId="12">
      <formula>"High"</formula>
    </cfRule>
    <cfRule type="cellIs" priority="3" operator="equal" aboveAverage="0" equalAverage="0" bottom="0" percent="0" rank="0" text="" dxfId="2">
      <formula>"Medium"</formula>
    </cfRule>
    <cfRule type="cellIs" priority="4" operator="equal" aboveAverage="0" equalAverage="0" bottom="0" percent="0" rank="0" text="" dxfId="3">
      <formula>"Low"</formula>
    </cfRule>
  </conditionalFormatting>
  <conditionalFormatting sqref="O5:O54">
    <cfRule type="cellIs" priority="5" operator="equal" aboveAverage="0" equalAverage="0" bottom="0" percent="0" rank="0" text="" dxfId="13">
      <formula>"Non-compliant"</formula>
    </cfRule>
    <cfRule type="cellIs" priority="6" operator="equal" aboveAverage="0" equalAverage="0" bottom="0" percent="0" rank="0" text="" dxfId="14">
      <formula>"Compliant"</formula>
    </cfRule>
  </conditionalFormatting>
  <dataValidations count="1">
    <dataValidation allowBlank="true" errorStyle="stop" operator="between" showDropDown="false" showErrorMessage="false" showInputMessage="false" sqref="I6:I10 I12:I18 I20:I25 I27:I32 I34:I40 I42:I47 I49:I54" type="list">
      <formula1>"0,1,2,3,4,NA"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14.43359375" defaultRowHeight="15" zeroHeight="false" outlineLevelRow="0" outlineLevelCol="1"/>
  <cols>
    <col collapsed="false" customWidth="true" hidden="false" outlineLevel="0" max="1" min="1" style="0" width="7"/>
    <col collapsed="false" customWidth="true" hidden="false" outlineLevel="0" max="2" min="2" style="0" width="11.43"/>
    <col collapsed="false" customWidth="true" hidden="false" outlineLevel="0" max="3" min="3" style="0" width="46"/>
    <col collapsed="false" customWidth="true" hidden="false" outlineLevel="0" max="4" min="4" style="0" width="28.29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13.43"/>
    <col collapsed="false" customWidth="true" hidden="false" outlineLevel="0" max="8" min="8" style="0" width="12.57"/>
    <col collapsed="false" customWidth="true" hidden="false" outlineLevel="0" max="9" min="9" style="0" width="16"/>
    <col collapsed="false" customWidth="true" hidden="false" outlineLevel="0" max="10" min="10" style="0" width="30"/>
    <col collapsed="false" customWidth="true" hidden="false" outlineLevel="0" max="11" min="11" style="0" width="28"/>
    <col collapsed="false" customWidth="true" hidden="false" outlineLevel="0" max="12" min="12" style="0" width="30"/>
    <col collapsed="false" customWidth="true" hidden="false" outlineLevel="0" max="14" min="13" style="0" width="15.57"/>
    <col collapsed="false" customWidth="true" hidden="false" outlineLevel="0" max="15" min="15" style="0" width="16"/>
    <col collapsed="false" customWidth="true" hidden="false" outlineLevel="0" max="16" min="16" style="0" width="24.57"/>
    <col collapsed="false" customWidth="true" hidden="true" outlineLevel="1" max="21" min="17" style="0" width="7"/>
    <col collapsed="false" customWidth="true" hidden="false" outlineLevel="0" max="26" min="22" style="0" width="8.71"/>
  </cols>
  <sheetData>
    <row r="1" customFormat="false" ht="16.15" hidden="false" customHeight="false" outlineLevel="0" collapsed="false">
      <c r="A1" s="36" t="s">
        <v>734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false" outlineLevel="0" collapsed="false">
      <c r="A2" s="38" t="s">
        <v>735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31.5" hidden="false" customHeight="true" outlineLevel="0" collapsed="false">
      <c r="A4" s="7" t="s">
        <v>149</v>
      </c>
      <c r="B4" s="7" t="s">
        <v>78</v>
      </c>
      <c r="C4" s="7" t="s">
        <v>56</v>
      </c>
      <c r="D4" s="7" t="s">
        <v>150</v>
      </c>
      <c r="E4" s="7" t="s">
        <v>736</v>
      </c>
      <c r="F4" s="7" t="s">
        <v>152</v>
      </c>
      <c r="G4" s="7" t="s">
        <v>153</v>
      </c>
      <c r="H4" s="7" t="s">
        <v>48</v>
      </c>
      <c r="I4" s="7" t="s">
        <v>154</v>
      </c>
      <c r="J4" s="7" t="s">
        <v>57</v>
      </c>
      <c r="K4" s="7" t="s">
        <v>58</v>
      </c>
      <c r="L4" s="7" t="s">
        <v>59</v>
      </c>
      <c r="M4" s="7" t="s">
        <v>46</v>
      </c>
      <c r="N4" s="7" t="s">
        <v>155</v>
      </c>
      <c r="O4" s="7" t="s">
        <v>737</v>
      </c>
      <c r="P4" s="7" t="s">
        <v>157</v>
      </c>
      <c r="Q4" s="39" t="s">
        <v>158</v>
      </c>
      <c r="R4" s="39" t="s">
        <v>159</v>
      </c>
      <c r="S4" s="39" t="s">
        <v>80</v>
      </c>
      <c r="T4" s="39"/>
      <c r="U4" s="39"/>
      <c r="V4" s="1"/>
      <c r="W4" s="1"/>
      <c r="X4" s="1"/>
      <c r="Y4" s="1"/>
      <c r="Z4" s="1"/>
    </row>
    <row r="5" customFormat="false" ht="15" hidden="false" customHeight="false" outlineLevel="0" collapsed="false">
      <c r="A5" s="40" t="s">
        <v>738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43.5" hidden="false" customHeight="true" outlineLevel="0" collapsed="false">
      <c r="A6" s="41" t="s">
        <v>739</v>
      </c>
      <c r="B6" s="41" t="s">
        <v>740</v>
      </c>
      <c r="C6" s="10" t="s">
        <v>741</v>
      </c>
      <c r="D6" s="10" t="s">
        <v>742</v>
      </c>
      <c r="E6" s="41" t="s">
        <v>743</v>
      </c>
      <c r="F6" s="10" t="s">
        <v>744</v>
      </c>
      <c r="G6" s="41" t="s">
        <v>179</v>
      </c>
      <c r="H6" s="41" t="n">
        <v>2</v>
      </c>
      <c r="I6" s="16"/>
      <c r="J6" s="15"/>
      <c r="K6" s="15"/>
      <c r="L6" s="15"/>
      <c r="M6" s="42" t="str">
        <f aca="false">IF(ISNUMBER(I6),(4-I6)*H6,"")</f>
        <v/>
      </c>
      <c r="N6" s="43" t="str">
        <f aca="false">IF(M6="","",IF(M6&gt;=9,"High",IF(M6&gt;=4,"Medium","Low")))</f>
        <v/>
      </c>
      <c r="O6" s="44" t="str">
        <f aca="false">IF(NOT(ISNUMBER(I6)),IF(I6="NA","N/A","Not scored"),IF(I6&gt;=3,"Meets","Below"))</f>
        <v>Not scored</v>
      </c>
      <c r="P6" s="10" t="s">
        <v>262</v>
      </c>
      <c r="Q6" s="44" t="n">
        <f aca="false">IF(ISNUMBER(I6),I6*H6,0)</f>
        <v>0</v>
      </c>
      <c r="R6" s="44" t="n">
        <f aca="false">IF(ISNUMBER(I6),4*H6,0)</f>
        <v>0</v>
      </c>
      <c r="S6" s="44" t="n">
        <f aca="false">IF(ISNUMBER(I6),1,0)</f>
        <v>0</v>
      </c>
      <c r="T6" s="44"/>
      <c r="U6" s="44"/>
      <c r="V6" s="1"/>
      <c r="W6" s="1"/>
      <c r="X6" s="1"/>
      <c r="Y6" s="1"/>
      <c r="Z6" s="1"/>
    </row>
    <row r="7" customFormat="false" ht="30.75" hidden="false" customHeight="true" outlineLevel="0" collapsed="false">
      <c r="A7" s="41" t="s">
        <v>745</v>
      </c>
      <c r="B7" s="41" t="s">
        <v>740</v>
      </c>
      <c r="C7" s="10" t="s">
        <v>746</v>
      </c>
      <c r="D7" s="10" t="s">
        <v>747</v>
      </c>
      <c r="E7" s="41" t="s">
        <v>748</v>
      </c>
      <c r="F7" s="10" t="s">
        <v>749</v>
      </c>
      <c r="G7" s="41" t="s">
        <v>179</v>
      </c>
      <c r="H7" s="41" t="n">
        <v>1</v>
      </c>
      <c r="I7" s="16"/>
      <c r="J7" s="15"/>
      <c r="K7" s="15"/>
      <c r="L7" s="15"/>
      <c r="M7" s="42" t="str">
        <f aca="false">IF(ISNUMBER(I7),(4-I7)*H7,"")</f>
        <v/>
      </c>
      <c r="N7" s="43" t="str">
        <f aca="false">IF(M7="","",IF(M7&gt;=9,"High",IF(M7&gt;=4,"Medium","Low")))</f>
        <v/>
      </c>
      <c r="O7" s="44" t="str">
        <f aca="false">IF(NOT(ISNUMBER(I7)),IF(I7="NA","N/A","Not scored"),IF(I7&gt;=3,"Meets","Below"))</f>
        <v>Not scored</v>
      </c>
      <c r="P7" s="10" t="s">
        <v>750</v>
      </c>
      <c r="Q7" s="44" t="n">
        <f aca="false">IF(ISNUMBER(I7),I7*H7,0)</f>
        <v>0</v>
      </c>
      <c r="R7" s="44" t="n">
        <f aca="false">IF(ISNUMBER(I7),4*H7,0)</f>
        <v>0</v>
      </c>
      <c r="S7" s="44" t="n">
        <f aca="false">IF(ISNUMBER(I7),1,0)</f>
        <v>0</v>
      </c>
      <c r="T7" s="44"/>
      <c r="U7" s="44"/>
      <c r="V7" s="1"/>
      <c r="W7" s="1"/>
      <c r="X7" s="1"/>
      <c r="Y7" s="1"/>
      <c r="Z7" s="1"/>
    </row>
    <row r="8" customFormat="false" ht="43.5" hidden="false" customHeight="true" outlineLevel="0" collapsed="false">
      <c r="A8" s="41" t="s">
        <v>751</v>
      </c>
      <c r="B8" s="41" t="s">
        <v>740</v>
      </c>
      <c r="C8" s="10" t="s">
        <v>752</v>
      </c>
      <c r="D8" s="10" t="s">
        <v>753</v>
      </c>
      <c r="E8" s="41" t="s">
        <v>743</v>
      </c>
      <c r="F8" s="10" t="s">
        <v>754</v>
      </c>
      <c r="G8" s="41" t="s">
        <v>168</v>
      </c>
      <c r="H8" s="41" t="n">
        <v>1</v>
      </c>
      <c r="I8" s="16"/>
      <c r="J8" s="15"/>
      <c r="K8" s="15"/>
      <c r="L8" s="15"/>
      <c r="M8" s="42" t="str">
        <f aca="false">IF(ISNUMBER(I8),(4-I8)*H8,"")</f>
        <v/>
      </c>
      <c r="N8" s="43" t="str">
        <f aca="false">IF(M8="","",IF(M8&gt;=9,"High",IF(M8&gt;=4,"Medium","Low")))</f>
        <v/>
      </c>
      <c r="O8" s="44" t="str">
        <f aca="false">IF(NOT(ISNUMBER(I8)),IF(I8="NA","N/A","Not scored"),IF(I8&gt;=3,"Meets","Below"))</f>
        <v>Not scored</v>
      </c>
      <c r="P8" s="10" t="s">
        <v>262</v>
      </c>
      <c r="Q8" s="44" t="n">
        <f aca="false">IF(ISNUMBER(I8),I8*H8,0)</f>
        <v>0</v>
      </c>
      <c r="R8" s="44" t="n">
        <f aca="false">IF(ISNUMBER(I8),4*H8,0)</f>
        <v>0</v>
      </c>
      <c r="S8" s="44" t="n">
        <f aca="false">IF(ISNUMBER(I8),1,0)</f>
        <v>0</v>
      </c>
      <c r="T8" s="44"/>
      <c r="U8" s="44"/>
      <c r="V8" s="1"/>
      <c r="W8" s="1"/>
      <c r="X8" s="1"/>
      <c r="Y8" s="1"/>
      <c r="Z8" s="1"/>
    </row>
    <row r="9" customFormat="false" ht="30.75" hidden="false" customHeight="true" outlineLevel="0" collapsed="false">
      <c r="A9" s="41" t="s">
        <v>755</v>
      </c>
      <c r="B9" s="41" t="s">
        <v>740</v>
      </c>
      <c r="C9" s="10" t="s">
        <v>756</v>
      </c>
      <c r="D9" s="10" t="s">
        <v>757</v>
      </c>
      <c r="E9" s="41" t="s">
        <v>758</v>
      </c>
      <c r="F9" s="10" t="s">
        <v>759</v>
      </c>
      <c r="G9" s="41" t="s">
        <v>179</v>
      </c>
      <c r="H9" s="41" t="n">
        <v>2</v>
      </c>
      <c r="I9" s="16"/>
      <c r="J9" s="15"/>
      <c r="K9" s="15"/>
      <c r="L9" s="15"/>
      <c r="M9" s="42" t="str">
        <f aca="false">IF(ISNUMBER(I9),(4-I9)*H9,"")</f>
        <v/>
      </c>
      <c r="N9" s="43" t="str">
        <f aca="false">IF(M9="","",IF(M9&gt;=9,"High",IF(M9&gt;=4,"Medium","Low")))</f>
        <v/>
      </c>
      <c r="O9" s="44" t="str">
        <f aca="false">IF(NOT(ISNUMBER(I9)),IF(I9="NA","N/A","Not scored"),IF(I9&gt;=3,"Meets","Below"))</f>
        <v>Not scored</v>
      </c>
      <c r="P9" s="10" t="s">
        <v>262</v>
      </c>
      <c r="Q9" s="44" t="n">
        <f aca="false">IF(ISNUMBER(I9),I9*H9,0)</f>
        <v>0</v>
      </c>
      <c r="R9" s="44" t="n">
        <f aca="false">IF(ISNUMBER(I9),4*H9,0)</f>
        <v>0</v>
      </c>
      <c r="S9" s="44" t="n">
        <f aca="false">IF(ISNUMBER(I9),1,0)</f>
        <v>0</v>
      </c>
      <c r="T9" s="44"/>
      <c r="U9" s="44"/>
      <c r="V9" s="1"/>
      <c r="W9" s="1"/>
      <c r="X9" s="1"/>
      <c r="Y9" s="1"/>
      <c r="Z9" s="1"/>
    </row>
    <row r="10" customFormat="false" ht="15" hidden="false" customHeight="false" outlineLevel="0" collapsed="false">
      <c r="A10" s="40" t="s">
        <v>760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55.5" hidden="false" customHeight="true" outlineLevel="0" collapsed="false">
      <c r="A11" s="41" t="s">
        <v>761</v>
      </c>
      <c r="B11" s="41" t="s">
        <v>762</v>
      </c>
      <c r="C11" s="10" t="s">
        <v>763</v>
      </c>
      <c r="D11" s="10" t="s">
        <v>764</v>
      </c>
      <c r="E11" s="41" t="s">
        <v>765</v>
      </c>
      <c r="F11" s="10" t="s">
        <v>766</v>
      </c>
      <c r="G11" s="41" t="s">
        <v>226</v>
      </c>
      <c r="H11" s="41" t="n">
        <v>3</v>
      </c>
      <c r="I11" s="16"/>
      <c r="J11" s="15"/>
      <c r="K11" s="15"/>
      <c r="L11" s="15"/>
      <c r="M11" s="42" t="str">
        <f aca="false">IF(ISNUMBER(I11),(4-I11)*H11,"")</f>
        <v/>
      </c>
      <c r="N11" s="43" t="str">
        <f aca="false">IF(M11="","",IF(M11&gt;=9,"High",IF(M11&gt;=4,"Medium","Low")))</f>
        <v/>
      </c>
      <c r="O11" s="44" t="str">
        <f aca="false">IF(NOT(ISNUMBER(I11)),IF(I11="NA","N/A","Not scored"),IF(I11&gt;=3,"Meets","Below"))</f>
        <v>Not scored</v>
      </c>
      <c r="P11" s="10" t="s">
        <v>767</v>
      </c>
      <c r="Q11" s="44" t="n">
        <f aca="false">IF(ISNUMBER(I11),I11*H11,0)</f>
        <v>0</v>
      </c>
      <c r="R11" s="44" t="n">
        <f aca="false">IF(ISNUMBER(I11),4*H11,0)</f>
        <v>0</v>
      </c>
      <c r="S11" s="44" t="n">
        <f aca="false">IF(ISNUMBER(I11),1,0)</f>
        <v>0</v>
      </c>
      <c r="T11" s="44"/>
      <c r="U11" s="44"/>
      <c r="V11" s="1"/>
      <c r="W11" s="1"/>
      <c r="X11" s="1"/>
      <c r="Y11" s="1"/>
      <c r="Z11" s="1"/>
    </row>
    <row r="12" customFormat="false" ht="55.5" hidden="false" customHeight="true" outlineLevel="0" collapsed="false">
      <c r="A12" s="41" t="s">
        <v>768</v>
      </c>
      <c r="B12" s="41" t="s">
        <v>762</v>
      </c>
      <c r="C12" s="10" t="s">
        <v>769</v>
      </c>
      <c r="D12" s="10" t="s">
        <v>770</v>
      </c>
      <c r="E12" s="41" t="s">
        <v>771</v>
      </c>
      <c r="F12" s="10" t="s">
        <v>772</v>
      </c>
      <c r="G12" s="41" t="s">
        <v>179</v>
      </c>
      <c r="H12" s="41" t="n">
        <v>2</v>
      </c>
      <c r="I12" s="16"/>
      <c r="J12" s="15"/>
      <c r="K12" s="15"/>
      <c r="L12" s="15"/>
      <c r="M12" s="42" t="str">
        <f aca="false">IF(ISNUMBER(I12),(4-I12)*H12,"")</f>
        <v/>
      </c>
      <c r="N12" s="43" t="str">
        <f aca="false">IF(M12="","",IF(M12&gt;=9,"High",IF(M12&gt;=4,"Medium","Low")))</f>
        <v/>
      </c>
      <c r="O12" s="44" t="str">
        <f aca="false">IF(NOT(ISNUMBER(I12)),IF(I12="NA","N/A","Not scored"),IF(I12&gt;=3,"Meets","Below"))</f>
        <v>Not scored</v>
      </c>
      <c r="P12" s="10" t="s">
        <v>773</v>
      </c>
      <c r="Q12" s="44" t="n">
        <f aca="false">IF(ISNUMBER(I12),I12*H12,0)</f>
        <v>0</v>
      </c>
      <c r="R12" s="44" t="n">
        <f aca="false">IF(ISNUMBER(I12),4*H12,0)</f>
        <v>0</v>
      </c>
      <c r="S12" s="44" t="n">
        <f aca="false">IF(ISNUMBER(I12),1,0)</f>
        <v>0</v>
      </c>
      <c r="T12" s="44"/>
      <c r="U12" s="44"/>
      <c r="V12" s="1"/>
      <c r="W12" s="1"/>
      <c r="X12" s="1"/>
      <c r="Y12" s="1"/>
      <c r="Z12" s="1"/>
    </row>
    <row r="13" customFormat="false" ht="43.5" hidden="false" customHeight="true" outlineLevel="0" collapsed="false">
      <c r="A13" s="41" t="s">
        <v>774</v>
      </c>
      <c r="B13" s="41" t="s">
        <v>762</v>
      </c>
      <c r="C13" s="10" t="s">
        <v>775</v>
      </c>
      <c r="D13" s="10" t="s">
        <v>776</v>
      </c>
      <c r="E13" s="41" t="s">
        <v>777</v>
      </c>
      <c r="F13" s="10" t="s">
        <v>778</v>
      </c>
      <c r="G13" s="41" t="s">
        <v>179</v>
      </c>
      <c r="H13" s="41" t="n">
        <v>2</v>
      </c>
      <c r="I13" s="16"/>
      <c r="J13" s="15"/>
      <c r="K13" s="15"/>
      <c r="L13" s="15"/>
      <c r="M13" s="42" t="str">
        <f aca="false">IF(ISNUMBER(I13),(4-I13)*H13,"")</f>
        <v/>
      </c>
      <c r="N13" s="43" t="str">
        <f aca="false">IF(M13="","",IF(M13&gt;=9,"High",IF(M13&gt;=4,"Medium","Low")))</f>
        <v/>
      </c>
      <c r="O13" s="44" t="str">
        <f aca="false">IF(NOT(ISNUMBER(I13)),IF(I13="NA","N/A","Not scored"),IF(I13&gt;=3,"Meets","Below"))</f>
        <v>Not scored</v>
      </c>
      <c r="P13" s="10" t="s">
        <v>691</v>
      </c>
      <c r="Q13" s="44" t="n">
        <f aca="false">IF(ISNUMBER(I13),I13*H13,0)</f>
        <v>0</v>
      </c>
      <c r="R13" s="44" t="n">
        <f aca="false">IF(ISNUMBER(I13),4*H13,0)</f>
        <v>0</v>
      </c>
      <c r="S13" s="44" t="n">
        <f aca="false">IF(ISNUMBER(I13),1,0)</f>
        <v>0</v>
      </c>
      <c r="T13" s="44"/>
      <c r="U13" s="44"/>
      <c r="V13" s="1"/>
      <c r="W13" s="1"/>
      <c r="X13" s="1"/>
      <c r="Y13" s="1"/>
      <c r="Z13" s="1"/>
    </row>
    <row r="14" customFormat="false" ht="15" hidden="false" customHeight="false" outlineLevel="0" collapsed="false">
      <c r="A14" s="40" t="s">
        <v>779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43.5" hidden="false" customHeight="true" outlineLevel="0" collapsed="false">
      <c r="A15" s="41" t="s">
        <v>780</v>
      </c>
      <c r="B15" s="41" t="s">
        <v>781</v>
      </c>
      <c r="C15" s="10" t="s">
        <v>782</v>
      </c>
      <c r="D15" s="10" t="s">
        <v>783</v>
      </c>
      <c r="E15" s="41" t="s">
        <v>784</v>
      </c>
      <c r="F15" s="10" t="s">
        <v>785</v>
      </c>
      <c r="G15" s="41" t="s">
        <v>179</v>
      </c>
      <c r="H15" s="41" t="n">
        <v>2</v>
      </c>
      <c r="I15" s="16"/>
      <c r="J15" s="15"/>
      <c r="K15" s="15"/>
      <c r="L15" s="15"/>
      <c r="M15" s="42" t="str">
        <f aca="false">IF(ISNUMBER(I15),(4-I15)*H15,"")</f>
        <v/>
      </c>
      <c r="N15" s="43" t="str">
        <f aca="false">IF(M15="","",IF(M15&gt;=9,"High",IF(M15&gt;=4,"Medium","Low")))</f>
        <v/>
      </c>
      <c r="O15" s="44" t="str">
        <f aca="false">IF(NOT(ISNUMBER(I15)),IF(I15="NA","N/A","Not scored"),IF(I15&gt;=3,"Meets","Below"))</f>
        <v>Not scored</v>
      </c>
      <c r="P15" s="10" t="s">
        <v>262</v>
      </c>
      <c r="Q15" s="44" t="n">
        <f aca="false">IF(ISNUMBER(I15),I15*H15,0)</f>
        <v>0</v>
      </c>
      <c r="R15" s="44" t="n">
        <f aca="false">IF(ISNUMBER(I15),4*H15,0)</f>
        <v>0</v>
      </c>
      <c r="S15" s="44" t="n">
        <f aca="false">IF(ISNUMBER(I15),1,0)</f>
        <v>0</v>
      </c>
      <c r="T15" s="44"/>
      <c r="U15" s="44"/>
      <c r="V15" s="1"/>
      <c r="W15" s="1"/>
      <c r="X15" s="1"/>
      <c r="Y15" s="1"/>
      <c r="Z15" s="1"/>
    </row>
    <row r="16" customFormat="false" ht="43.5" hidden="false" customHeight="true" outlineLevel="0" collapsed="false">
      <c r="A16" s="41" t="s">
        <v>786</v>
      </c>
      <c r="B16" s="41" t="s">
        <v>781</v>
      </c>
      <c r="C16" s="10" t="s">
        <v>787</v>
      </c>
      <c r="D16" s="10" t="s">
        <v>788</v>
      </c>
      <c r="E16" s="41" t="s">
        <v>789</v>
      </c>
      <c r="F16" s="10" t="s">
        <v>790</v>
      </c>
      <c r="G16" s="41" t="s">
        <v>179</v>
      </c>
      <c r="H16" s="41" t="n">
        <v>1</v>
      </c>
      <c r="I16" s="16"/>
      <c r="J16" s="15"/>
      <c r="K16" s="15"/>
      <c r="L16" s="15"/>
      <c r="M16" s="42" t="str">
        <f aca="false">IF(ISNUMBER(I16),(4-I16)*H16,"")</f>
        <v/>
      </c>
      <c r="N16" s="43" t="str">
        <f aca="false">IF(M16="","",IF(M16&gt;=9,"High",IF(M16&gt;=4,"Medium","Low")))</f>
        <v/>
      </c>
      <c r="O16" s="44" t="str">
        <f aca="false">IF(NOT(ISNUMBER(I16)),IF(I16="NA","N/A","Not scored"),IF(I16&gt;=3,"Meets","Below"))</f>
        <v>Not scored</v>
      </c>
      <c r="P16" s="10" t="s">
        <v>518</v>
      </c>
      <c r="Q16" s="44" t="n">
        <f aca="false">IF(ISNUMBER(I16),I16*H16,0)</f>
        <v>0</v>
      </c>
      <c r="R16" s="44" t="n">
        <f aca="false">IF(ISNUMBER(I16),4*H16,0)</f>
        <v>0</v>
      </c>
      <c r="S16" s="44" t="n">
        <f aca="false">IF(ISNUMBER(I16),1,0)</f>
        <v>0</v>
      </c>
      <c r="T16" s="44"/>
      <c r="U16" s="44"/>
      <c r="V16" s="1"/>
      <c r="W16" s="1"/>
      <c r="X16" s="1"/>
      <c r="Y16" s="1"/>
      <c r="Z16" s="1"/>
    </row>
    <row r="17" customFormat="false" ht="43.5" hidden="false" customHeight="true" outlineLevel="0" collapsed="false">
      <c r="A17" s="41" t="s">
        <v>791</v>
      </c>
      <c r="B17" s="41" t="s">
        <v>781</v>
      </c>
      <c r="C17" s="10" t="s">
        <v>792</v>
      </c>
      <c r="D17" s="10" t="s">
        <v>793</v>
      </c>
      <c r="E17" s="41" t="s">
        <v>794</v>
      </c>
      <c r="F17" s="10" t="s">
        <v>795</v>
      </c>
      <c r="G17" s="41" t="s">
        <v>179</v>
      </c>
      <c r="H17" s="41" t="n">
        <v>2</v>
      </c>
      <c r="I17" s="16"/>
      <c r="J17" s="15"/>
      <c r="K17" s="15"/>
      <c r="L17" s="15"/>
      <c r="M17" s="42" t="str">
        <f aca="false">IF(ISNUMBER(I17),(4-I17)*H17,"")</f>
        <v/>
      </c>
      <c r="N17" s="43" t="str">
        <f aca="false">IF(M17="","",IF(M17&gt;=9,"High",IF(M17&gt;=4,"Medium","Low")))</f>
        <v/>
      </c>
      <c r="O17" s="44" t="str">
        <f aca="false">IF(NOT(ISNUMBER(I17)),IF(I17="NA","N/A","Not scored"),IF(I17&gt;=3,"Meets","Below"))</f>
        <v>Not scored</v>
      </c>
      <c r="P17" s="10" t="s">
        <v>470</v>
      </c>
      <c r="Q17" s="44" t="n">
        <f aca="false">IF(ISNUMBER(I17),I17*H17,0)</f>
        <v>0</v>
      </c>
      <c r="R17" s="44" t="n">
        <f aca="false">IF(ISNUMBER(I17),4*H17,0)</f>
        <v>0</v>
      </c>
      <c r="S17" s="44" t="n">
        <f aca="false">IF(ISNUMBER(I17),1,0)</f>
        <v>0</v>
      </c>
      <c r="T17" s="44"/>
      <c r="U17" s="44"/>
      <c r="V17" s="1"/>
      <c r="W17" s="1"/>
      <c r="X17" s="1"/>
      <c r="Y17" s="1"/>
      <c r="Z17" s="1"/>
    </row>
    <row r="18" customFormat="false" ht="15" hidden="false" customHeight="false" outlineLevel="0" collapsed="false">
      <c r="A18" s="40" t="s">
        <v>796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55.5" hidden="false" customHeight="true" outlineLevel="0" collapsed="false">
      <c r="A19" s="41" t="s">
        <v>797</v>
      </c>
      <c r="B19" s="41" t="s">
        <v>798</v>
      </c>
      <c r="C19" s="10" t="s">
        <v>799</v>
      </c>
      <c r="D19" s="10" t="s">
        <v>800</v>
      </c>
      <c r="E19" s="41" t="s">
        <v>801</v>
      </c>
      <c r="F19" s="10" t="s">
        <v>802</v>
      </c>
      <c r="G19" s="41" t="s">
        <v>179</v>
      </c>
      <c r="H19" s="41" t="n">
        <v>3</v>
      </c>
      <c r="I19" s="16"/>
      <c r="J19" s="15"/>
      <c r="K19" s="15"/>
      <c r="L19" s="15"/>
      <c r="M19" s="42" t="str">
        <f aca="false">IF(ISNUMBER(I19),(4-I19)*H19,"")</f>
        <v/>
      </c>
      <c r="N19" s="43" t="str">
        <f aca="false">IF(M19="","",IF(M19&gt;=9,"High",IF(M19&gt;=4,"Medium","Low")))</f>
        <v/>
      </c>
      <c r="O19" s="44" t="str">
        <f aca="false">IF(NOT(ISNUMBER(I19)),IF(I19="NA","N/A","Not scored"),IF(I19&gt;=3,"Meets","Below"))</f>
        <v>Not scored</v>
      </c>
      <c r="P19" s="10" t="s">
        <v>461</v>
      </c>
      <c r="Q19" s="44" t="n">
        <f aca="false">IF(ISNUMBER(I19),I19*H19,0)</f>
        <v>0</v>
      </c>
      <c r="R19" s="44" t="n">
        <f aca="false">IF(ISNUMBER(I19),4*H19,0)</f>
        <v>0</v>
      </c>
      <c r="S19" s="44" t="n">
        <f aca="false">IF(ISNUMBER(I19),1,0)</f>
        <v>0</v>
      </c>
      <c r="T19" s="44"/>
      <c r="U19" s="44"/>
      <c r="V19" s="1"/>
      <c r="W19" s="1"/>
      <c r="X19" s="1"/>
      <c r="Y19" s="1"/>
      <c r="Z19" s="1"/>
    </row>
    <row r="20" customFormat="false" ht="30.75" hidden="false" customHeight="true" outlineLevel="0" collapsed="false">
      <c r="A20" s="41" t="s">
        <v>803</v>
      </c>
      <c r="B20" s="41" t="s">
        <v>798</v>
      </c>
      <c r="C20" s="10" t="s">
        <v>804</v>
      </c>
      <c r="D20" s="10" t="s">
        <v>805</v>
      </c>
      <c r="E20" s="41" t="s">
        <v>806</v>
      </c>
      <c r="F20" s="10" t="s">
        <v>807</v>
      </c>
      <c r="G20" s="41" t="s">
        <v>179</v>
      </c>
      <c r="H20" s="41" t="n">
        <v>2</v>
      </c>
      <c r="I20" s="16"/>
      <c r="J20" s="15"/>
      <c r="K20" s="15"/>
      <c r="L20" s="15"/>
      <c r="M20" s="42" t="str">
        <f aca="false">IF(ISNUMBER(I20),(4-I20)*H20,"")</f>
        <v/>
      </c>
      <c r="N20" s="43" t="str">
        <f aca="false">IF(M20="","",IF(M20&gt;=9,"High",IF(M20&gt;=4,"Medium","Low")))</f>
        <v/>
      </c>
      <c r="O20" s="44" t="str">
        <f aca="false">IF(NOT(ISNUMBER(I20)),IF(I20="NA","N/A","Not scored"),IF(I20&gt;=3,"Meets","Below"))</f>
        <v>Not scored</v>
      </c>
      <c r="P20" s="10" t="s">
        <v>461</v>
      </c>
      <c r="Q20" s="44" t="n">
        <f aca="false">IF(ISNUMBER(I20),I20*H20,0)</f>
        <v>0</v>
      </c>
      <c r="R20" s="44" t="n">
        <f aca="false">IF(ISNUMBER(I20),4*H20,0)</f>
        <v>0</v>
      </c>
      <c r="S20" s="44" t="n">
        <f aca="false">IF(ISNUMBER(I20),1,0)</f>
        <v>0</v>
      </c>
      <c r="T20" s="44"/>
      <c r="U20" s="44"/>
      <c r="V20" s="1"/>
      <c r="W20" s="1"/>
      <c r="X20" s="1"/>
      <c r="Y20" s="1"/>
      <c r="Z20" s="1"/>
    </row>
    <row r="21" customFormat="false" ht="43.5" hidden="false" customHeight="true" outlineLevel="0" collapsed="false">
      <c r="A21" s="41" t="s">
        <v>808</v>
      </c>
      <c r="B21" s="41" t="s">
        <v>798</v>
      </c>
      <c r="C21" s="10" t="s">
        <v>809</v>
      </c>
      <c r="D21" s="10" t="s">
        <v>810</v>
      </c>
      <c r="E21" s="41" t="s">
        <v>811</v>
      </c>
      <c r="F21" s="10" t="s">
        <v>812</v>
      </c>
      <c r="G21" s="41" t="s">
        <v>179</v>
      </c>
      <c r="H21" s="41" t="n">
        <v>2</v>
      </c>
      <c r="I21" s="16"/>
      <c r="J21" s="15"/>
      <c r="K21" s="15"/>
      <c r="L21" s="15"/>
      <c r="M21" s="42" t="str">
        <f aca="false">IF(ISNUMBER(I21),(4-I21)*H21,"")</f>
        <v/>
      </c>
      <c r="N21" s="43" t="str">
        <f aca="false">IF(M21="","",IF(M21&gt;=9,"High",IF(M21&gt;=4,"Medium","Low")))</f>
        <v/>
      </c>
      <c r="O21" s="44" t="str">
        <f aca="false">IF(NOT(ISNUMBER(I21)),IF(I21="NA","N/A","Not scored"),IF(I21&gt;=3,"Meets","Below"))</f>
        <v>Not scored</v>
      </c>
      <c r="P21" s="10" t="s">
        <v>461</v>
      </c>
      <c r="Q21" s="44" t="n">
        <f aca="false">IF(ISNUMBER(I21),I21*H21,0)</f>
        <v>0</v>
      </c>
      <c r="R21" s="44" t="n">
        <f aca="false">IF(ISNUMBER(I21),4*H21,0)</f>
        <v>0</v>
      </c>
      <c r="S21" s="44" t="n">
        <f aca="false">IF(ISNUMBER(I21),1,0)</f>
        <v>0</v>
      </c>
      <c r="T21" s="44"/>
      <c r="U21" s="44"/>
      <c r="V21" s="1"/>
      <c r="W21" s="1"/>
      <c r="X21" s="1"/>
      <c r="Y21" s="1"/>
      <c r="Z21" s="1"/>
    </row>
    <row r="22" customFormat="false" ht="30.75" hidden="false" customHeight="true" outlineLevel="0" collapsed="false">
      <c r="A22" s="41" t="s">
        <v>813</v>
      </c>
      <c r="B22" s="41" t="s">
        <v>798</v>
      </c>
      <c r="C22" s="10" t="s">
        <v>814</v>
      </c>
      <c r="D22" s="10" t="s">
        <v>815</v>
      </c>
      <c r="E22" s="41" t="s">
        <v>816</v>
      </c>
      <c r="F22" s="10" t="s">
        <v>817</v>
      </c>
      <c r="G22" s="41" t="s">
        <v>179</v>
      </c>
      <c r="H22" s="41" t="n">
        <v>1</v>
      </c>
      <c r="I22" s="16"/>
      <c r="J22" s="15"/>
      <c r="K22" s="15"/>
      <c r="L22" s="15"/>
      <c r="M22" s="42" t="str">
        <f aca="false">IF(ISNUMBER(I22),(4-I22)*H22,"")</f>
        <v/>
      </c>
      <c r="N22" s="43" t="str">
        <f aca="false">IF(M22="","",IF(M22&gt;=9,"High",IF(M22&gt;=4,"Medium","Low")))</f>
        <v/>
      </c>
      <c r="O22" s="44" t="str">
        <f aca="false">IF(NOT(ISNUMBER(I22)),IF(I22="NA","N/A","Not scored"),IF(I22&gt;=3,"Meets","Below"))</f>
        <v>Not scored</v>
      </c>
      <c r="P22" s="10" t="s">
        <v>461</v>
      </c>
      <c r="Q22" s="44" t="n">
        <f aca="false">IF(ISNUMBER(I22),I22*H22,0)</f>
        <v>0</v>
      </c>
      <c r="R22" s="44" t="n">
        <f aca="false">IF(ISNUMBER(I22),4*H22,0)</f>
        <v>0</v>
      </c>
      <c r="S22" s="44" t="n">
        <f aca="false">IF(ISNUMBER(I22),1,0)</f>
        <v>0</v>
      </c>
      <c r="T22" s="44"/>
      <c r="U22" s="44"/>
      <c r="V22" s="1"/>
      <c r="W22" s="1"/>
      <c r="X22" s="1"/>
      <c r="Y22" s="1"/>
      <c r="Z22" s="1"/>
    </row>
    <row r="23" customFormat="false" ht="15" hidden="false" customHeight="false" outlineLevel="0" collapsed="false">
      <c r="A23" s="40" t="s">
        <v>818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43.5" hidden="false" customHeight="true" outlineLevel="0" collapsed="false">
      <c r="A24" s="41" t="s">
        <v>819</v>
      </c>
      <c r="B24" s="41" t="s">
        <v>820</v>
      </c>
      <c r="C24" s="10" t="s">
        <v>821</v>
      </c>
      <c r="D24" s="10" t="s">
        <v>822</v>
      </c>
      <c r="E24" s="41" t="s">
        <v>823</v>
      </c>
      <c r="F24" s="10" t="s">
        <v>824</v>
      </c>
      <c r="G24" s="41" t="s">
        <v>179</v>
      </c>
      <c r="H24" s="41" t="n">
        <v>1</v>
      </c>
      <c r="I24" s="16"/>
      <c r="J24" s="15"/>
      <c r="K24" s="15"/>
      <c r="L24" s="15"/>
      <c r="M24" s="42" t="str">
        <f aca="false">IF(ISNUMBER(I24),(4-I24)*H24,"")</f>
        <v/>
      </c>
      <c r="N24" s="43" t="str">
        <f aca="false">IF(M24="","",IF(M24&gt;=9,"High",IF(M24&gt;=4,"Medium","Low")))</f>
        <v/>
      </c>
      <c r="O24" s="44" t="str">
        <f aca="false">IF(NOT(ISNUMBER(I24)),IF(I24="NA","N/A","Not scored"),IF(I24&gt;=3,"Meets","Below"))</f>
        <v>Not scored</v>
      </c>
      <c r="P24" s="10" t="s">
        <v>518</v>
      </c>
      <c r="Q24" s="44" t="n">
        <f aca="false">IF(ISNUMBER(I24),I24*H24,0)</f>
        <v>0</v>
      </c>
      <c r="R24" s="44" t="n">
        <f aca="false">IF(ISNUMBER(I24),4*H24,0)</f>
        <v>0</v>
      </c>
      <c r="S24" s="44" t="n">
        <f aca="false">IF(ISNUMBER(I24),1,0)</f>
        <v>0</v>
      </c>
      <c r="T24" s="44"/>
      <c r="U24" s="44"/>
      <c r="V24" s="1"/>
      <c r="W24" s="1"/>
      <c r="X24" s="1"/>
      <c r="Y24" s="1"/>
      <c r="Z24" s="1"/>
    </row>
    <row r="25" customFormat="false" ht="15" hidden="false" customHeight="false" outlineLevel="0" collapsed="false">
      <c r="A25" s="41"/>
      <c r="B25" s="41"/>
      <c r="C25" s="10"/>
      <c r="D25" s="10"/>
      <c r="E25" s="41"/>
      <c r="F25" s="10"/>
      <c r="G25" s="41"/>
      <c r="H25" s="41"/>
      <c r="I25" s="16"/>
      <c r="J25" s="15"/>
      <c r="K25" s="15"/>
      <c r="L25" s="15"/>
      <c r="M25" s="42"/>
      <c r="N25" s="44"/>
      <c r="O25" s="44"/>
      <c r="P25" s="10"/>
      <c r="Q25" s="44"/>
      <c r="R25" s="44"/>
      <c r="S25" s="44"/>
      <c r="T25" s="44"/>
      <c r="U25" s="44"/>
      <c r="V25" s="1"/>
      <c r="W25" s="1"/>
      <c r="X25" s="1"/>
      <c r="Y25" s="1"/>
      <c r="Z25" s="1"/>
    </row>
    <row r="26" customFormat="false" ht="15" hidden="false" customHeight="false" outlineLevel="0" collapsed="false">
      <c r="A26" s="40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" hidden="false" customHeight="false" outlineLevel="0" collapsed="false">
      <c r="A27" s="41"/>
      <c r="B27" s="41"/>
      <c r="C27" s="10"/>
      <c r="D27" s="10"/>
      <c r="E27" s="41"/>
      <c r="F27" s="10"/>
      <c r="G27" s="41"/>
      <c r="H27" s="41"/>
      <c r="I27" s="16"/>
      <c r="J27" s="15"/>
      <c r="K27" s="15"/>
      <c r="L27" s="15"/>
      <c r="M27" s="42"/>
      <c r="N27" s="44"/>
      <c r="O27" s="44"/>
      <c r="P27" s="10"/>
      <c r="Q27" s="44"/>
      <c r="R27" s="44"/>
      <c r="S27" s="44"/>
      <c r="T27" s="44"/>
      <c r="U27" s="44"/>
      <c r="V27" s="1"/>
      <c r="W27" s="1"/>
      <c r="X27" s="1"/>
      <c r="Y27" s="1"/>
      <c r="Z27" s="1"/>
    </row>
    <row r="28" customFormat="false" ht="15" hidden="false" customHeight="false" outlineLevel="0" collapsed="false">
      <c r="A28" s="41"/>
      <c r="B28" s="41"/>
      <c r="C28" s="10"/>
      <c r="D28" s="10"/>
      <c r="E28" s="41"/>
      <c r="F28" s="10"/>
      <c r="G28" s="41"/>
      <c r="H28" s="41"/>
      <c r="I28" s="16"/>
      <c r="J28" s="15"/>
      <c r="K28" s="15"/>
      <c r="L28" s="15"/>
      <c r="M28" s="42"/>
      <c r="N28" s="44"/>
      <c r="O28" s="44"/>
      <c r="P28" s="10"/>
      <c r="Q28" s="44"/>
      <c r="R28" s="44"/>
      <c r="S28" s="44"/>
      <c r="T28" s="44"/>
      <c r="U28" s="44"/>
      <c r="V28" s="1"/>
      <c r="W28" s="1"/>
      <c r="X28" s="1"/>
      <c r="Y28" s="1"/>
      <c r="Z28" s="1"/>
    </row>
    <row r="29" customFormat="false" ht="15" hidden="false" customHeight="false" outlineLevel="0" collapsed="false">
      <c r="A29" s="41"/>
      <c r="B29" s="41"/>
      <c r="C29" s="10"/>
      <c r="D29" s="10"/>
      <c r="E29" s="41"/>
      <c r="F29" s="10"/>
      <c r="G29" s="41"/>
      <c r="H29" s="41"/>
      <c r="I29" s="16"/>
      <c r="J29" s="15"/>
      <c r="K29" s="15"/>
      <c r="L29" s="15"/>
      <c r="M29" s="42"/>
      <c r="N29" s="44"/>
      <c r="O29" s="44"/>
      <c r="P29" s="10"/>
      <c r="Q29" s="44"/>
      <c r="R29" s="44"/>
      <c r="S29" s="44"/>
      <c r="T29" s="44"/>
      <c r="U29" s="44"/>
      <c r="V29" s="1"/>
      <c r="W29" s="1"/>
      <c r="X29" s="1"/>
      <c r="Y29" s="1"/>
      <c r="Z29" s="1"/>
    </row>
    <row r="30" customFormat="false" ht="15" hidden="false" customHeight="false" outlineLevel="0" collapsed="false">
      <c r="A30" s="41"/>
      <c r="B30" s="41"/>
      <c r="C30" s="10"/>
      <c r="D30" s="10"/>
      <c r="E30" s="41"/>
      <c r="F30" s="10"/>
      <c r="G30" s="41"/>
      <c r="H30" s="41"/>
      <c r="I30" s="16"/>
      <c r="J30" s="15"/>
      <c r="K30" s="15"/>
      <c r="L30" s="15"/>
      <c r="M30" s="42"/>
      <c r="N30" s="44"/>
      <c r="O30" s="44"/>
      <c r="P30" s="10"/>
      <c r="Q30" s="44"/>
      <c r="R30" s="44"/>
      <c r="S30" s="44"/>
      <c r="T30" s="44"/>
      <c r="U30" s="44"/>
      <c r="V30" s="1"/>
      <c r="W30" s="1"/>
      <c r="X30" s="1"/>
      <c r="Y30" s="1"/>
      <c r="Z30" s="1"/>
    </row>
    <row r="31" customFormat="false" ht="15" hidden="false" customHeight="false" outlineLevel="0" collapsed="false">
      <c r="A31" s="41"/>
      <c r="B31" s="41"/>
      <c r="C31" s="10"/>
      <c r="D31" s="10"/>
      <c r="E31" s="41"/>
      <c r="F31" s="10"/>
      <c r="G31" s="41"/>
      <c r="H31" s="41"/>
      <c r="I31" s="16"/>
      <c r="J31" s="15"/>
      <c r="K31" s="15"/>
      <c r="L31" s="15"/>
      <c r="M31" s="42"/>
      <c r="N31" s="44"/>
      <c r="O31" s="44"/>
      <c r="P31" s="10"/>
      <c r="Q31" s="44"/>
      <c r="R31" s="44"/>
      <c r="S31" s="44"/>
      <c r="T31" s="44"/>
      <c r="U31" s="44"/>
      <c r="V31" s="1"/>
      <c r="W31" s="1"/>
      <c r="X31" s="1"/>
      <c r="Y31" s="1"/>
      <c r="Z31" s="1"/>
    </row>
    <row r="32" customFormat="false" ht="15" hidden="false" customHeight="false" outlineLevel="0" collapsed="false">
      <c r="A32" s="41"/>
      <c r="B32" s="41"/>
      <c r="C32" s="10"/>
      <c r="D32" s="10"/>
      <c r="E32" s="41"/>
      <c r="F32" s="10"/>
      <c r="G32" s="41"/>
      <c r="H32" s="41"/>
      <c r="I32" s="16"/>
      <c r="J32" s="15"/>
      <c r="K32" s="15"/>
      <c r="L32" s="15"/>
      <c r="M32" s="42"/>
      <c r="N32" s="44"/>
      <c r="O32" s="44"/>
      <c r="P32" s="10"/>
      <c r="Q32" s="44"/>
      <c r="R32" s="44"/>
      <c r="S32" s="44"/>
      <c r="T32" s="44"/>
      <c r="U32" s="44"/>
      <c r="V32" s="1"/>
      <c r="W32" s="1"/>
      <c r="X32" s="1"/>
      <c r="Y32" s="1"/>
      <c r="Z32" s="1"/>
    </row>
    <row r="33" customFormat="false" ht="15" hidden="false" customHeight="false" outlineLevel="0" collapsed="false">
      <c r="A33" s="40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" hidden="false" customHeight="false" outlineLevel="0" collapsed="false">
      <c r="A34" s="41"/>
      <c r="B34" s="41"/>
      <c r="C34" s="10"/>
      <c r="D34" s="10"/>
      <c r="E34" s="41"/>
      <c r="F34" s="10"/>
      <c r="G34" s="41"/>
      <c r="H34" s="41"/>
      <c r="I34" s="16"/>
      <c r="J34" s="15"/>
      <c r="K34" s="15"/>
      <c r="L34" s="15"/>
      <c r="M34" s="42"/>
      <c r="N34" s="44"/>
      <c r="O34" s="44"/>
      <c r="P34" s="10"/>
      <c r="Q34" s="44"/>
      <c r="R34" s="44"/>
      <c r="S34" s="44"/>
      <c r="T34" s="44"/>
      <c r="U34" s="44"/>
      <c r="V34" s="1"/>
      <c r="W34" s="1"/>
      <c r="X34" s="1"/>
      <c r="Y34" s="1"/>
      <c r="Z34" s="1"/>
    </row>
    <row r="35" customFormat="false" ht="15" hidden="false" customHeight="false" outlineLevel="0" collapsed="false">
      <c r="A35" s="41"/>
      <c r="B35" s="41"/>
      <c r="C35" s="10"/>
      <c r="D35" s="10"/>
      <c r="E35" s="41"/>
      <c r="F35" s="10"/>
      <c r="G35" s="41"/>
      <c r="H35" s="41"/>
      <c r="I35" s="16"/>
      <c r="J35" s="15"/>
      <c r="K35" s="15"/>
      <c r="L35" s="15"/>
      <c r="M35" s="42"/>
      <c r="N35" s="44"/>
      <c r="O35" s="44"/>
      <c r="P35" s="10"/>
      <c r="Q35" s="44"/>
      <c r="R35" s="44"/>
      <c r="S35" s="44"/>
      <c r="T35" s="44"/>
      <c r="U35" s="44"/>
      <c r="V35" s="1"/>
      <c r="W35" s="1"/>
      <c r="X35" s="1"/>
      <c r="Y35" s="1"/>
      <c r="Z35" s="1"/>
    </row>
    <row r="36" customFormat="false" ht="15" hidden="false" customHeight="false" outlineLevel="0" collapsed="false">
      <c r="A36" s="41"/>
      <c r="B36" s="41"/>
      <c r="C36" s="10"/>
      <c r="D36" s="10"/>
      <c r="E36" s="41"/>
      <c r="F36" s="10"/>
      <c r="G36" s="41"/>
      <c r="H36" s="41"/>
      <c r="I36" s="16"/>
      <c r="J36" s="15"/>
      <c r="K36" s="15"/>
      <c r="L36" s="15"/>
      <c r="M36" s="42"/>
      <c r="N36" s="44"/>
      <c r="O36" s="44"/>
      <c r="P36" s="10"/>
      <c r="Q36" s="44"/>
      <c r="R36" s="44"/>
      <c r="S36" s="44"/>
      <c r="T36" s="44"/>
      <c r="U36" s="44"/>
      <c r="V36" s="1"/>
      <c r="W36" s="1"/>
      <c r="X36" s="1"/>
      <c r="Y36" s="1"/>
      <c r="Z36" s="1"/>
    </row>
    <row r="37" customFormat="false" ht="15" hidden="false" customHeight="false" outlineLevel="0" collapsed="false">
      <c r="A37" s="41"/>
      <c r="B37" s="41"/>
      <c r="C37" s="10"/>
      <c r="D37" s="10"/>
      <c r="E37" s="41"/>
      <c r="F37" s="10"/>
      <c r="G37" s="41"/>
      <c r="H37" s="41"/>
      <c r="I37" s="16"/>
      <c r="J37" s="15"/>
      <c r="K37" s="15"/>
      <c r="L37" s="15"/>
      <c r="M37" s="42"/>
      <c r="N37" s="44"/>
      <c r="O37" s="44"/>
      <c r="P37" s="10"/>
      <c r="Q37" s="44"/>
      <c r="R37" s="44"/>
      <c r="S37" s="44"/>
      <c r="T37" s="44"/>
      <c r="U37" s="44"/>
      <c r="V37" s="1"/>
      <c r="W37" s="1"/>
      <c r="X37" s="1"/>
      <c r="Y37" s="1"/>
      <c r="Z37" s="1"/>
    </row>
    <row r="38" customFormat="false" ht="15" hidden="false" customHeight="false" outlineLevel="0" collapsed="false">
      <c r="A38" s="41"/>
      <c r="B38" s="41"/>
      <c r="C38" s="10"/>
      <c r="D38" s="10"/>
      <c r="E38" s="41"/>
      <c r="F38" s="10"/>
      <c r="G38" s="41"/>
      <c r="H38" s="41"/>
      <c r="I38" s="16"/>
      <c r="J38" s="15"/>
      <c r="K38" s="15"/>
      <c r="L38" s="15"/>
      <c r="M38" s="42"/>
      <c r="N38" s="44"/>
      <c r="O38" s="44"/>
      <c r="P38" s="10"/>
      <c r="Q38" s="44"/>
      <c r="R38" s="44"/>
      <c r="S38" s="44"/>
      <c r="T38" s="44"/>
      <c r="U38" s="44"/>
      <c r="V38" s="1"/>
      <c r="W38" s="1"/>
      <c r="X38" s="1"/>
      <c r="Y38" s="1"/>
      <c r="Z38" s="1"/>
    </row>
    <row r="39" customFormat="false" ht="15" hidden="false" customHeight="false" outlineLevel="0" collapsed="false">
      <c r="A39" s="41"/>
      <c r="B39" s="41"/>
      <c r="C39" s="10"/>
      <c r="D39" s="10"/>
      <c r="E39" s="41"/>
      <c r="F39" s="10"/>
      <c r="G39" s="41"/>
      <c r="H39" s="41"/>
      <c r="I39" s="16"/>
      <c r="J39" s="15"/>
      <c r="K39" s="15"/>
      <c r="L39" s="15"/>
      <c r="M39" s="42"/>
      <c r="N39" s="44"/>
      <c r="O39" s="44"/>
      <c r="P39" s="10"/>
      <c r="Q39" s="44"/>
      <c r="R39" s="44"/>
      <c r="S39" s="44"/>
      <c r="T39" s="44"/>
      <c r="U39" s="44"/>
      <c r="V39" s="1"/>
      <c r="W39" s="1"/>
      <c r="X39" s="1"/>
      <c r="Y39" s="1"/>
      <c r="Z39" s="1"/>
    </row>
    <row r="40" customFormat="false" ht="15" hidden="false" customHeight="false" outlineLevel="0" collapsed="false">
      <c r="A40" s="41"/>
      <c r="B40" s="41"/>
      <c r="C40" s="10"/>
      <c r="D40" s="10"/>
      <c r="E40" s="41"/>
      <c r="F40" s="10"/>
      <c r="G40" s="41"/>
      <c r="H40" s="41"/>
      <c r="I40" s="16"/>
      <c r="J40" s="15"/>
      <c r="K40" s="15"/>
      <c r="L40" s="15"/>
      <c r="M40" s="42"/>
      <c r="N40" s="44"/>
      <c r="O40" s="44"/>
      <c r="P40" s="10"/>
      <c r="Q40" s="44"/>
      <c r="R40" s="44"/>
      <c r="S40" s="44"/>
      <c r="T40" s="44"/>
      <c r="U40" s="44"/>
      <c r="V40" s="1"/>
      <c r="W40" s="1"/>
      <c r="X40" s="1"/>
      <c r="Y40" s="1"/>
      <c r="Z40" s="1"/>
    </row>
    <row r="41" customFormat="false" ht="15" hidden="false" customHeight="false" outlineLevel="0" collapsed="false">
      <c r="A41" s="40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" hidden="false" customHeight="false" outlineLevel="0" collapsed="false">
      <c r="A42" s="41"/>
      <c r="B42" s="41"/>
      <c r="C42" s="10"/>
      <c r="D42" s="10"/>
      <c r="E42" s="41"/>
      <c r="F42" s="10"/>
      <c r="G42" s="41"/>
      <c r="H42" s="41"/>
      <c r="I42" s="16"/>
      <c r="J42" s="15"/>
      <c r="K42" s="15"/>
      <c r="L42" s="15"/>
      <c r="M42" s="42"/>
      <c r="N42" s="44"/>
      <c r="O42" s="44"/>
      <c r="P42" s="10"/>
      <c r="Q42" s="44"/>
      <c r="R42" s="44"/>
      <c r="S42" s="44"/>
      <c r="T42" s="44"/>
      <c r="U42" s="44"/>
      <c r="V42" s="1"/>
      <c r="W42" s="1"/>
      <c r="X42" s="1"/>
      <c r="Y42" s="1"/>
      <c r="Z42" s="1"/>
    </row>
    <row r="43" customFormat="false" ht="15" hidden="false" customHeight="false" outlineLevel="0" collapsed="false">
      <c r="A43" s="41"/>
      <c r="B43" s="41"/>
      <c r="C43" s="10"/>
      <c r="D43" s="10"/>
      <c r="E43" s="41"/>
      <c r="F43" s="10"/>
      <c r="G43" s="41"/>
      <c r="H43" s="41"/>
      <c r="I43" s="16"/>
      <c r="J43" s="15"/>
      <c r="K43" s="15"/>
      <c r="L43" s="15"/>
      <c r="M43" s="42"/>
      <c r="N43" s="44"/>
      <c r="O43" s="44"/>
      <c r="P43" s="10"/>
      <c r="Q43" s="44"/>
      <c r="R43" s="44"/>
      <c r="S43" s="44"/>
      <c r="T43" s="44"/>
      <c r="U43" s="44"/>
      <c r="V43" s="1"/>
      <c r="W43" s="1"/>
      <c r="X43" s="1"/>
      <c r="Y43" s="1"/>
      <c r="Z43" s="1"/>
    </row>
    <row r="44" customFormat="false" ht="15" hidden="false" customHeight="false" outlineLevel="0" collapsed="false">
      <c r="A44" s="41"/>
      <c r="B44" s="41"/>
      <c r="C44" s="10"/>
      <c r="D44" s="10"/>
      <c r="E44" s="41"/>
      <c r="F44" s="10"/>
      <c r="G44" s="41"/>
      <c r="H44" s="41"/>
      <c r="I44" s="16"/>
      <c r="J44" s="15"/>
      <c r="K44" s="15"/>
      <c r="L44" s="15"/>
      <c r="M44" s="42"/>
      <c r="N44" s="44"/>
      <c r="O44" s="44"/>
      <c r="P44" s="10"/>
      <c r="Q44" s="44"/>
      <c r="R44" s="44"/>
      <c r="S44" s="44"/>
      <c r="T44" s="44"/>
      <c r="U44" s="44"/>
      <c r="V44" s="1"/>
      <c r="W44" s="1"/>
      <c r="X44" s="1"/>
      <c r="Y44" s="1"/>
      <c r="Z44" s="1"/>
    </row>
    <row r="45" customFormat="false" ht="15" hidden="false" customHeight="false" outlineLevel="0" collapsed="false">
      <c r="A45" s="41"/>
      <c r="B45" s="41"/>
      <c r="C45" s="10"/>
      <c r="D45" s="10"/>
      <c r="E45" s="41"/>
      <c r="F45" s="10"/>
      <c r="G45" s="41"/>
      <c r="H45" s="41"/>
      <c r="I45" s="16"/>
      <c r="J45" s="15"/>
      <c r="K45" s="15"/>
      <c r="L45" s="15"/>
      <c r="M45" s="42"/>
      <c r="N45" s="44"/>
      <c r="O45" s="44"/>
      <c r="P45" s="10"/>
      <c r="Q45" s="44"/>
      <c r="R45" s="44"/>
      <c r="S45" s="44"/>
      <c r="T45" s="44"/>
      <c r="U45" s="44"/>
      <c r="V45" s="1"/>
      <c r="W45" s="1"/>
      <c r="X45" s="1"/>
      <c r="Y45" s="1"/>
      <c r="Z45" s="1"/>
    </row>
    <row r="46" customFormat="false" ht="15" hidden="false" customHeight="false" outlineLevel="0" collapsed="false">
      <c r="A46" s="41"/>
      <c r="B46" s="41"/>
      <c r="C46" s="10"/>
      <c r="D46" s="10"/>
      <c r="E46" s="41"/>
      <c r="F46" s="10"/>
      <c r="G46" s="41"/>
      <c r="H46" s="41"/>
      <c r="I46" s="16"/>
      <c r="J46" s="15"/>
      <c r="K46" s="15"/>
      <c r="L46" s="15"/>
      <c r="M46" s="42"/>
      <c r="N46" s="44"/>
      <c r="O46" s="44"/>
      <c r="P46" s="10"/>
      <c r="Q46" s="44"/>
      <c r="R46" s="44"/>
      <c r="S46" s="44"/>
      <c r="T46" s="44"/>
      <c r="U46" s="44"/>
      <c r="V46" s="1"/>
      <c r="W46" s="1"/>
      <c r="X46" s="1"/>
      <c r="Y46" s="1"/>
      <c r="Z46" s="1"/>
    </row>
    <row r="47" customFormat="false" ht="15" hidden="false" customHeight="false" outlineLevel="0" collapsed="false">
      <c r="A47" s="41"/>
      <c r="B47" s="41"/>
      <c r="C47" s="10"/>
      <c r="D47" s="10"/>
      <c r="E47" s="41"/>
      <c r="F47" s="10"/>
      <c r="G47" s="41"/>
      <c r="H47" s="41"/>
      <c r="I47" s="16"/>
      <c r="J47" s="15"/>
      <c r="K47" s="15"/>
      <c r="L47" s="15"/>
      <c r="M47" s="42"/>
      <c r="N47" s="44"/>
      <c r="O47" s="44"/>
      <c r="P47" s="10"/>
      <c r="Q47" s="44"/>
      <c r="R47" s="44"/>
      <c r="S47" s="44"/>
      <c r="T47" s="44"/>
      <c r="U47" s="44"/>
      <c r="V47" s="1"/>
      <c r="W47" s="1"/>
      <c r="X47" s="1"/>
      <c r="Y47" s="1"/>
      <c r="Z47" s="1"/>
    </row>
    <row r="48" customFormat="false" ht="15" hidden="false" customHeight="false" outlineLevel="0" collapsed="false">
      <c r="A48" s="40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" hidden="false" customHeight="false" outlineLevel="0" collapsed="false">
      <c r="A49" s="41"/>
      <c r="B49" s="41"/>
      <c r="C49" s="10"/>
      <c r="D49" s="10"/>
      <c r="E49" s="41"/>
      <c r="F49" s="10"/>
      <c r="G49" s="41"/>
      <c r="H49" s="41"/>
      <c r="I49" s="16"/>
      <c r="J49" s="15"/>
      <c r="K49" s="15"/>
      <c r="L49" s="15"/>
      <c r="M49" s="42"/>
      <c r="N49" s="44"/>
      <c r="O49" s="44"/>
      <c r="P49" s="10"/>
      <c r="Q49" s="44"/>
      <c r="R49" s="44"/>
      <c r="S49" s="44"/>
      <c r="T49" s="44"/>
      <c r="U49" s="44"/>
      <c r="V49" s="1"/>
      <c r="W49" s="1"/>
      <c r="X49" s="1"/>
      <c r="Y49" s="1"/>
      <c r="Z49" s="1"/>
    </row>
    <row r="50" customFormat="false" ht="15" hidden="false" customHeight="false" outlineLevel="0" collapsed="false">
      <c r="A50" s="41"/>
      <c r="B50" s="41"/>
      <c r="C50" s="10"/>
      <c r="D50" s="10"/>
      <c r="E50" s="41"/>
      <c r="F50" s="10"/>
      <c r="G50" s="41"/>
      <c r="H50" s="41"/>
      <c r="I50" s="16"/>
      <c r="J50" s="15"/>
      <c r="K50" s="15"/>
      <c r="L50" s="15"/>
      <c r="M50" s="42"/>
      <c r="N50" s="44"/>
      <c r="O50" s="44"/>
      <c r="P50" s="10"/>
      <c r="Q50" s="44"/>
      <c r="R50" s="44"/>
      <c r="S50" s="44"/>
      <c r="T50" s="44"/>
      <c r="U50" s="44"/>
      <c r="V50" s="1"/>
      <c r="W50" s="1"/>
      <c r="X50" s="1"/>
      <c r="Y50" s="1"/>
      <c r="Z50" s="1"/>
    </row>
    <row r="51" customFormat="false" ht="15" hidden="false" customHeight="false" outlineLevel="0" collapsed="false">
      <c r="A51" s="41"/>
      <c r="B51" s="41"/>
      <c r="C51" s="10"/>
      <c r="D51" s="10"/>
      <c r="E51" s="41"/>
      <c r="F51" s="10"/>
      <c r="G51" s="41"/>
      <c r="H51" s="41"/>
      <c r="I51" s="16"/>
      <c r="J51" s="15"/>
      <c r="K51" s="15"/>
      <c r="L51" s="15"/>
      <c r="M51" s="42"/>
      <c r="N51" s="44"/>
      <c r="O51" s="44"/>
      <c r="P51" s="10"/>
      <c r="Q51" s="44"/>
      <c r="R51" s="44"/>
      <c r="S51" s="44"/>
      <c r="T51" s="44"/>
      <c r="U51" s="44"/>
      <c r="V51" s="1"/>
      <c r="W51" s="1"/>
      <c r="X51" s="1"/>
      <c r="Y51" s="1"/>
      <c r="Z51" s="1"/>
    </row>
    <row r="52" customFormat="false" ht="15" hidden="false" customHeight="false" outlineLevel="0" collapsed="false">
      <c r="A52" s="41"/>
      <c r="B52" s="41"/>
      <c r="C52" s="10"/>
      <c r="D52" s="10"/>
      <c r="E52" s="41"/>
      <c r="F52" s="10"/>
      <c r="G52" s="41"/>
      <c r="H52" s="41"/>
      <c r="I52" s="16"/>
      <c r="J52" s="15"/>
      <c r="K52" s="15"/>
      <c r="L52" s="15"/>
      <c r="M52" s="42"/>
      <c r="N52" s="44"/>
      <c r="O52" s="44"/>
      <c r="P52" s="10"/>
      <c r="Q52" s="44"/>
      <c r="R52" s="44"/>
      <c r="S52" s="44"/>
      <c r="T52" s="44"/>
      <c r="U52" s="44"/>
      <c r="V52" s="1"/>
      <c r="W52" s="1"/>
      <c r="X52" s="1"/>
      <c r="Y52" s="1"/>
      <c r="Z52" s="1"/>
    </row>
    <row r="53" customFormat="false" ht="15" hidden="false" customHeight="false" outlineLevel="0" collapsed="false">
      <c r="A53" s="41"/>
      <c r="B53" s="41"/>
      <c r="C53" s="10"/>
      <c r="D53" s="10"/>
      <c r="E53" s="41"/>
      <c r="F53" s="10"/>
      <c r="G53" s="41"/>
      <c r="H53" s="41"/>
      <c r="I53" s="16"/>
      <c r="J53" s="15"/>
      <c r="K53" s="15"/>
      <c r="L53" s="15"/>
      <c r="M53" s="42"/>
      <c r="N53" s="44"/>
      <c r="O53" s="44"/>
      <c r="P53" s="10"/>
      <c r="Q53" s="44"/>
      <c r="R53" s="44"/>
      <c r="S53" s="44"/>
      <c r="T53" s="44"/>
      <c r="U53" s="44"/>
      <c r="V53" s="1"/>
      <c r="W53" s="1"/>
      <c r="X53" s="1"/>
      <c r="Y53" s="1"/>
      <c r="Z53" s="1"/>
    </row>
    <row r="54" customFormat="false" ht="15" hidden="false" customHeight="false" outlineLevel="0" collapsed="false">
      <c r="A54" s="41"/>
      <c r="B54" s="41"/>
      <c r="C54" s="10"/>
      <c r="D54" s="10"/>
      <c r="E54" s="41"/>
      <c r="F54" s="10"/>
      <c r="G54" s="41"/>
      <c r="H54" s="41"/>
      <c r="I54" s="16"/>
      <c r="J54" s="15"/>
      <c r="K54" s="15"/>
      <c r="L54" s="15"/>
      <c r="M54" s="42"/>
      <c r="N54" s="44"/>
      <c r="O54" s="44"/>
      <c r="P54" s="10"/>
      <c r="Q54" s="44"/>
      <c r="R54" s="44"/>
      <c r="S54" s="44"/>
      <c r="T54" s="44"/>
      <c r="U54" s="44"/>
      <c r="V54" s="1"/>
      <c r="W54" s="1"/>
      <c r="X54" s="1"/>
      <c r="Y54" s="1"/>
      <c r="Z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5:P5"/>
    <mergeCell ref="A10:P10"/>
    <mergeCell ref="A14:P14"/>
    <mergeCell ref="A18:P18"/>
    <mergeCell ref="A23:P23"/>
  </mergeCells>
  <conditionalFormatting sqref="N5:N24">
    <cfRule type="cellIs" priority="2" operator="equal" aboveAverage="0" equalAverage="0" bottom="0" percent="0" rank="0" text="" dxfId="12">
      <formula>"High"</formula>
    </cfRule>
    <cfRule type="cellIs" priority="3" operator="equal" aboveAverage="0" equalAverage="0" bottom="0" percent="0" rank="0" text="" dxfId="2">
      <formula>"Medium"</formula>
    </cfRule>
    <cfRule type="cellIs" priority="4" operator="equal" aboveAverage="0" equalAverage="0" bottom="0" percent="0" rank="0" text="" dxfId="3">
      <formula>"Low"</formula>
    </cfRule>
  </conditionalFormatting>
  <dataValidations count="1">
    <dataValidation allowBlank="true" errorStyle="stop" operator="between" showDropDown="false" showErrorMessage="false" showInputMessage="false" sqref="I6:I9 I11:I13 I15:I17 I19:I22 I24" type="list">
      <formula1>"0,1,2,3,4,NA"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C4" activeCellId="0" sqref="C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8.71"/>
    <col collapsed="false" customWidth="true" hidden="false" outlineLevel="0" max="3" min="3" style="0" width="10.71"/>
    <col collapsed="false" customWidth="true" hidden="false" outlineLevel="0" max="4" min="4" style="0" width="11.14"/>
    <col collapsed="false" customWidth="true" hidden="false" outlineLevel="0" max="5" min="5" style="0" width="13"/>
    <col collapsed="false" customWidth="true" hidden="false" outlineLevel="0" max="6" min="6" style="0" width="14.86"/>
    <col collapsed="false" customWidth="true" hidden="false" outlineLevel="0" max="7" min="7" style="0" width="34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1" min="10" style="0" width="20"/>
    <col collapsed="false" customWidth="true" hidden="false" outlineLevel="0" max="12" min="12" style="0" width="11"/>
    <col collapsed="false" customWidth="true" hidden="false" outlineLevel="0" max="26" min="13" style="0" width="8.71"/>
  </cols>
  <sheetData>
    <row r="1" customFormat="false" ht="16.15" hidden="false" customHeight="false" outlineLevel="0" collapsed="false">
      <c r="A1" s="45" t="s">
        <v>825</v>
      </c>
    </row>
    <row r="2" customFormat="false" ht="15" hidden="false" customHeight="false" outlineLevel="0" collapsed="false">
      <c r="A2" s="35" t="s">
        <v>826</v>
      </c>
    </row>
    <row r="3" customFormat="false" ht="30" hidden="false" customHeight="true" outlineLevel="0" collapsed="false">
      <c r="A3" s="46" t="s">
        <v>149</v>
      </c>
      <c r="B3" s="46" t="s">
        <v>56</v>
      </c>
      <c r="C3" s="46" t="s">
        <v>827</v>
      </c>
      <c r="D3" s="46" t="s">
        <v>11</v>
      </c>
      <c r="E3" s="46" t="s">
        <v>155</v>
      </c>
      <c r="F3" s="46" t="s">
        <v>828</v>
      </c>
      <c r="G3" s="46" t="s">
        <v>829</v>
      </c>
      <c r="H3" s="46" t="s">
        <v>830</v>
      </c>
      <c r="I3" s="46" t="s">
        <v>831</v>
      </c>
      <c r="J3" s="46" t="s">
        <v>832</v>
      </c>
      <c r="K3" s="46" t="s">
        <v>833</v>
      </c>
      <c r="L3" s="46" t="s">
        <v>737</v>
      </c>
    </row>
    <row r="4" customFormat="false" ht="22.35" hidden="false" customHeight="false" outlineLevel="0" collapsed="false">
      <c r="A4" s="47" t="str">
        <f aca="false">A_CDRRMO!A6</f>
        <v>A1.1</v>
      </c>
      <c r="B4" s="48" t="str">
        <f aca="false">A_CDRRMO!C6</f>
        <v>City ordinance/EO creating the CDRRMO as a regular office (not ad hoc), with defined functions mirroring RA 10121 Sec. 12(c)</v>
      </c>
      <c r="C4" s="47" t="str">
        <f aca="false">A_CDRRMO!E6</f>
        <v>M</v>
      </c>
      <c r="D4" s="47" t="str">
        <f aca="false">IF(A_CDRRMO!I6="","",A_CDRRMO!I6)</f>
        <v/>
      </c>
      <c r="E4" s="47" t="str">
        <f aca="false">A_CDRRMO!N6</f>
        <v/>
      </c>
      <c r="F4" s="48" t="str">
        <f aca="false">A_CDRRMO!O6</f>
        <v>Not scored</v>
      </c>
      <c r="G4" s="48" t="str">
        <f aca="false">IF(A_CDRRMO!L6="","",A_CDRRMO!L6)</f>
        <v/>
      </c>
      <c r="H4" s="49"/>
      <c r="I4" s="50"/>
      <c r="J4" s="49"/>
      <c r="K4" s="48" t="str">
        <f aca="false">A_CDRRMO!P6</f>
        <v>MOO Ch.1 Legal &amp; Institutional Framework</v>
      </c>
      <c r="L4" s="50"/>
    </row>
    <row r="5" customFormat="false" ht="22.35" hidden="false" customHeight="false" outlineLevel="0" collapsed="false">
      <c r="A5" s="47" t="str">
        <f aca="false">A_CDRRMO!A7</f>
        <v>A1.2</v>
      </c>
      <c r="B5" s="48" t="str">
        <f aca="false">A_CDRRMO!C7</f>
        <v>CDRRMC constituted with complete membership per RA 10121 Sec. 11 (incl. CSO and private sector reps)</v>
      </c>
      <c r="C5" s="47" t="str">
        <f aca="false">A_CDRRMO!E7</f>
        <v>M</v>
      </c>
      <c r="D5" s="47" t="str">
        <f aca="false">IF(A_CDRRMO!I7="","",A_CDRRMO!I7)</f>
        <v/>
      </c>
      <c r="E5" s="47" t="str">
        <f aca="false">A_CDRRMO!N7</f>
        <v/>
      </c>
      <c r="F5" s="48" t="str">
        <f aca="false">A_CDRRMO!O7</f>
        <v>Not scored</v>
      </c>
      <c r="G5" s="48" t="str">
        <f aca="false">IF(A_CDRRMO!L7="","",A_CDRRMO!L7)</f>
        <v/>
      </c>
      <c r="H5" s="49"/>
      <c r="I5" s="50"/>
      <c r="J5" s="49"/>
      <c r="K5" s="48" t="str">
        <f aca="false">A_CDRRMO!P7</f>
        <v>MOO Ch.1</v>
      </c>
      <c r="L5" s="50"/>
    </row>
    <row r="6" customFormat="false" ht="22.35" hidden="false" customHeight="false" outlineLevel="0" collapsed="false">
      <c r="A6" s="47" t="str">
        <f aca="false">A_CDRRMO!A8</f>
        <v>A1.3</v>
      </c>
      <c r="B6" s="48" t="str">
        <f aca="false">A_CDRRMO!C8</f>
        <v>CDRRMC meets at least quarterly (and as needed); minutes and resolutions on file</v>
      </c>
      <c r="C6" s="47" t="str">
        <f aca="false">A_CDRRMO!E8</f>
        <v>M</v>
      </c>
      <c r="D6" s="47" t="str">
        <f aca="false">IF(A_CDRRMO!I8="","",A_CDRRMO!I8)</f>
        <v/>
      </c>
      <c r="E6" s="47" t="str">
        <f aca="false">A_CDRRMO!N8</f>
        <v/>
      </c>
      <c r="F6" s="48" t="str">
        <f aca="false">A_CDRRMO!O8</f>
        <v>Not scored</v>
      </c>
      <c r="G6" s="48" t="str">
        <f aca="false">IF(A_CDRRMO!L8="","",A_CDRRMO!L8)</f>
        <v/>
      </c>
      <c r="H6" s="49"/>
      <c r="I6" s="50"/>
      <c r="J6" s="49"/>
      <c r="K6" s="48" t="str">
        <f aca="false">A_CDRRMO!P8</f>
        <v>MOO Ch.1</v>
      </c>
      <c r="L6" s="50"/>
    </row>
    <row r="7" customFormat="false" ht="22.35" hidden="false" customHeight="false" outlineLevel="0" collapsed="false">
      <c r="A7" s="47" t="str">
        <f aca="false">A_CDRRMO!A9</f>
        <v>A1.4</v>
      </c>
      <c r="B7" s="48" t="str">
        <f aca="false">A_CDRRMO!C9</f>
        <v>CDRRMO serves as CDRRMC secretariat with documented secretariat procedures</v>
      </c>
      <c r="C7" s="47" t="str">
        <f aca="false">A_CDRRMO!E9</f>
        <v>M</v>
      </c>
      <c r="D7" s="47" t="str">
        <f aca="false">IF(A_CDRRMO!I9="","",A_CDRRMO!I9)</f>
        <v/>
      </c>
      <c r="E7" s="47" t="str">
        <f aca="false">A_CDRRMO!N9</f>
        <v/>
      </c>
      <c r="F7" s="48" t="str">
        <f aca="false">A_CDRRMO!O9</f>
        <v>Not scored</v>
      </c>
      <c r="G7" s="48" t="str">
        <f aca="false">IF(A_CDRRMO!L9="","",A_CDRRMO!L9)</f>
        <v/>
      </c>
      <c r="H7" s="49"/>
      <c r="I7" s="50"/>
      <c r="J7" s="49"/>
      <c r="K7" s="48" t="str">
        <f aca="false">A_CDRRMO!P9</f>
        <v>MOO Ch.2 Office Organization</v>
      </c>
      <c r="L7" s="50"/>
    </row>
    <row r="8" customFormat="false" ht="32.8" hidden="false" customHeight="false" outlineLevel="0" collapsed="false">
      <c r="A8" s="47" t="str">
        <f aca="false">A_CDRRMO!A10</f>
        <v>A1.5</v>
      </c>
      <c r="B8" s="48" t="str">
        <f aca="false">A_CDRRMO!C10</f>
        <v>Local DRRM-related ordinances in force (e.g., pre-emptive/forced evacuation, no-build zones, hazard-based zoning)</v>
      </c>
      <c r="C8" s="47" t="str">
        <f aca="false">A_CDRRMO!E10</f>
        <v>GP</v>
      </c>
      <c r="D8" s="47" t="str">
        <f aca="false">IF(A_CDRRMO!I10="","",A_CDRRMO!I10)</f>
        <v/>
      </c>
      <c r="E8" s="47" t="str">
        <f aca="false">A_CDRRMO!N10</f>
        <v/>
      </c>
      <c r="F8" s="48" t="str">
        <f aca="false">A_CDRRMO!O10</f>
        <v>Not scored</v>
      </c>
      <c r="G8" s="48" t="str">
        <f aca="false">IF(A_CDRRMO!L10="","",A_CDRRMO!L10)</f>
        <v/>
      </c>
      <c r="H8" s="49"/>
      <c r="I8" s="50"/>
      <c r="J8" s="49"/>
      <c r="K8" s="48" t="str">
        <f aca="false">A_CDRRMO!P10</f>
        <v>MOO Ch.1</v>
      </c>
      <c r="L8" s="50"/>
    </row>
    <row r="9" customFormat="false" ht="32.8" hidden="false" customHeight="false" outlineLevel="0" collapsed="false">
      <c r="A9" s="47" t="str">
        <f aca="false">A_CDRRMO!A11</f>
        <v>A1.6</v>
      </c>
      <c r="B9" s="48" t="str">
        <f aca="false">A_CDRRMO!C11</f>
        <v>Protocol for declaring a State of Calamity, incl. CDRRMC recommendation steps and post-declaration measures (State of Imminent Disaster now assessed separately under A1.8)</v>
      </c>
      <c r="C9" s="47" t="str">
        <f aca="false">A_CDRRMO!E11</f>
        <v>M</v>
      </c>
      <c r="D9" s="47" t="str">
        <f aca="false">IF(A_CDRRMO!I11="","",A_CDRRMO!I11)</f>
        <v/>
      </c>
      <c r="E9" s="47" t="str">
        <f aca="false">A_CDRRMO!N11</f>
        <v/>
      </c>
      <c r="F9" s="48" t="str">
        <f aca="false">A_CDRRMO!O11</f>
        <v>Not scored</v>
      </c>
      <c r="G9" s="48" t="str">
        <f aca="false">IF(A_CDRRMO!L11="","",A_CDRRMO!L11)</f>
        <v/>
      </c>
      <c r="H9" s="49"/>
      <c r="I9" s="50"/>
      <c r="J9" s="49"/>
      <c r="K9" s="48" t="str">
        <f aca="false">A_CDRRMO!P11</f>
        <v>MOO Ch.1</v>
      </c>
      <c r="L9" s="50"/>
    </row>
    <row r="10" customFormat="false" ht="22.35" hidden="false" customHeight="false" outlineLevel="0" collapsed="false">
      <c r="A10" s="47" t="str">
        <f aca="false">A_CDRRMO!A12</f>
        <v>A1.7</v>
      </c>
      <c r="B10" s="48" t="str">
        <f aca="false">A_CDRRMO!C12</f>
        <v>DRRM is represented in City Development Council and Local Finance Committee deliberations</v>
      </c>
      <c r="C10" s="47" t="str">
        <f aca="false">A_CDRRMO!E12</f>
        <v>GP</v>
      </c>
      <c r="D10" s="47" t="str">
        <f aca="false">IF(A_CDRRMO!I12="","",A_CDRRMO!I12)</f>
        <v/>
      </c>
      <c r="E10" s="47" t="str">
        <f aca="false">A_CDRRMO!N12</f>
        <v/>
      </c>
      <c r="F10" s="48" t="str">
        <f aca="false">A_CDRRMO!O12</f>
        <v>Not scored</v>
      </c>
      <c r="G10" s="48" t="str">
        <f aca="false">IF(A_CDRRMO!L12="","",A_CDRRMO!L12)</f>
        <v/>
      </c>
      <c r="H10" s="49"/>
      <c r="I10" s="50"/>
      <c r="J10" s="49"/>
      <c r="K10" s="48" t="str">
        <f aca="false">A_CDRRMO!P12</f>
        <v>MOO Ch.1</v>
      </c>
      <c r="L10" s="50"/>
    </row>
    <row r="11" customFormat="false" ht="64.15" hidden="false" customHeight="false" outlineLevel="0" collapsed="false">
      <c r="A11" s="47" t="str">
        <f aca="false">A_CDRRMO!A13</f>
        <v>A1.8</v>
      </c>
      <c r="B11" s="48" t="str">
        <f aca="false">A_CDRRMO!C13</f>
        <v>State of Imminent Disaster procedure: CDRRMC coordinates with RDRRMC VIII when the pre-disaster risk assessment shows reasonable certainty of severe impact; request format to RDRRMC (24-hour reply); Mayor's EO template; adoption rule when the Region (or Province, applicability to an ICC to be confirmed) is declared; lifting grounds and authority</v>
      </c>
      <c r="C11" s="47" t="str">
        <f aca="false">A_CDRRMO!E13</f>
        <v>M</v>
      </c>
      <c r="D11" s="47" t="str">
        <f aca="false">IF(A_CDRRMO!I13="","",A_CDRRMO!I13)</f>
        <v/>
      </c>
      <c r="E11" s="47" t="str">
        <f aca="false">A_CDRRMO!N13</f>
        <v/>
      </c>
      <c r="F11" s="48" t="str">
        <f aca="false">A_CDRRMO!O13</f>
        <v>Not scored</v>
      </c>
      <c r="G11" s="48" t="str">
        <f aca="false">IF(A_CDRRMO!L13="","",A_CDRRMO!L13)</f>
        <v/>
      </c>
      <c r="H11" s="49"/>
      <c r="I11" s="50"/>
      <c r="J11" s="49"/>
      <c r="K11" s="48" t="str">
        <f aca="false">A_CDRRMO!P13</f>
        <v>MOO Ch.1 / EOC Ch.2</v>
      </c>
      <c r="L11" s="50"/>
    </row>
    <row r="12" customFormat="false" ht="32.8" hidden="false" customHeight="false" outlineLevel="0" collapsed="false">
      <c r="A12" s="47" t="str">
        <f aca="false">A_CDRRMO!A15</f>
        <v>A2.1</v>
      </c>
      <c r="B12" s="48" t="str">
        <f aca="false">A_CDRRMO!C15</f>
        <v>Organizational structure follows JMC 2014-1: Head + Administration &amp; Training, Research &amp; Planning, and Operations &amp; Warning divisions</v>
      </c>
      <c r="C12" s="47" t="str">
        <f aca="false">A_CDRRMO!E15</f>
        <v>M</v>
      </c>
      <c r="D12" s="47" t="str">
        <f aca="false">IF(A_CDRRMO!I15="","",A_CDRRMO!I15)</f>
        <v/>
      </c>
      <c r="E12" s="47" t="str">
        <f aca="false">A_CDRRMO!N15</f>
        <v/>
      </c>
      <c r="F12" s="48" t="str">
        <f aca="false">A_CDRRMO!O15</f>
        <v>Not scored</v>
      </c>
      <c r="G12" s="48" t="str">
        <f aca="false">IF(A_CDRRMO!L15="","",A_CDRRMO!L15)</f>
        <v/>
      </c>
      <c r="H12" s="49"/>
      <c r="I12" s="50"/>
      <c r="J12" s="49"/>
      <c r="K12" s="48" t="str">
        <f aca="false">A_CDRRMO!P15</f>
        <v>MOO Ch.2 Office Organization</v>
      </c>
      <c r="L12" s="50"/>
    </row>
    <row r="13" customFormat="false" ht="22.35" hidden="false" customHeight="false" outlineLevel="0" collapsed="false">
      <c r="A13" s="47" t="str">
        <f aca="false">A_CDRRMO!A16</f>
        <v>A2.2</v>
      </c>
      <c r="B13" s="48" t="str">
        <f aca="false">A_CDRRMO!C16</f>
        <v>CDRRMO Head is a permanent plantilla position filled by a qualified appointee</v>
      </c>
      <c r="C13" s="47" t="str">
        <f aca="false">A_CDRRMO!E16</f>
        <v>M</v>
      </c>
      <c r="D13" s="47" t="str">
        <f aca="false">IF(A_CDRRMO!I16="","",A_CDRRMO!I16)</f>
        <v/>
      </c>
      <c r="E13" s="47" t="str">
        <f aca="false">A_CDRRMO!N16</f>
        <v/>
      </c>
      <c r="F13" s="48" t="str">
        <f aca="false">A_CDRRMO!O16</f>
        <v>Not scored</v>
      </c>
      <c r="G13" s="48" t="str">
        <f aca="false">IF(A_CDRRMO!L16="","",A_CDRRMO!L16)</f>
        <v/>
      </c>
      <c r="H13" s="49"/>
      <c r="I13" s="50"/>
      <c r="J13" s="49"/>
      <c r="K13" s="48" t="str">
        <f aca="false">A_CDRRMO!P16</f>
        <v>MOO Ch.2</v>
      </c>
      <c r="L13" s="50"/>
    </row>
    <row r="14" customFormat="false" ht="22.35" hidden="false" customHeight="false" outlineLevel="0" collapsed="false">
      <c r="A14" s="47" t="str">
        <f aca="false">A_CDRRMO!A17</f>
        <v>A2.3</v>
      </c>
      <c r="B14" s="48" t="str">
        <f aca="false">A_CDRRMO!C17</f>
        <v>Minimum plantilla positions per JMC 2014-1 created and filled (ratio of filled/required)</v>
      </c>
      <c r="C14" s="47" t="str">
        <f aca="false">A_CDRRMO!E17</f>
        <v>M</v>
      </c>
      <c r="D14" s="47" t="str">
        <f aca="false">IF(A_CDRRMO!I17="","",A_CDRRMO!I17)</f>
        <v/>
      </c>
      <c r="E14" s="47" t="str">
        <f aca="false">A_CDRRMO!N17</f>
        <v/>
      </c>
      <c r="F14" s="48" t="str">
        <f aca="false">A_CDRRMO!O17</f>
        <v>Not scored</v>
      </c>
      <c r="G14" s="48" t="str">
        <f aca="false">IF(A_CDRRMO!L17="","",A_CDRRMO!L17)</f>
        <v/>
      </c>
      <c r="H14" s="49"/>
      <c r="I14" s="50"/>
      <c r="J14" s="49"/>
      <c r="K14" s="48" t="str">
        <f aca="false">A_CDRRMO!P17</f>
        <v>MOO Ch.2</v>
      </c>
      <c r="L14" s="50"/>
    </row>
    <row r="15" customFormat="false" ht="22.35" hidden="false" customHeight="false" outlineLevel="0" collapsed="false">
      <c r="A15" s="47" t="str">
        <f aca="false">A_CDRRMO!A18</f>
        <v>A2.4</v>
      </c>
      <c r="B15" s="48" t="str">
        <f aca="false">A_CDRRMO!C18</f>
        <v>Job descriptions/position descriptions defined for every position, aligned to RA 10121 functions</v>
      </c>
      <c r="C15" s="47" t="str">
        <f aca="false">A_CDRRMO!E18</f>
        <v>M</v>
      </c>
      <c r="D15" s="47" t="str">
        <f aca="false">IF(A_CDRRMO!I18="","",A_CDRRMO!I18)</f>
        <v/>
      </c>
      <c r="E15" s="47" t="str">
        <f aca="false">A_CDRRMO!N18</f>
        <v/>
      </c>
      <c r="F15" s="48" t="str">
        <f aca="false">A_CDRRMO!O18</f>
        <v>Not scored</v>
      </c>
      <c r="G15" s="48" t="str">
        <f aca="false">IF(A_CDRRMO!L18="","",A_CDRRMO!L18)</f>
        <v/>
      </c>
      <c r="H15" s="49"/>
      <c r="I15" s="50"/>
      <c r="J15" s="49"/>
      <c r="K15" s="48" t="str">
        <f aca="false">A_CDRRMO!P18</f>
        <v>MOO Ch.2 / Annex JDs</v>
      </c>
      <c r="L15" s="50"/>
    </row>
    <row r="16" customFormat="false" ht="22.35" hidden="false" customHeight="false" outlineLevel="0" collapsed="false">
      <c r="A16" s="47" t="str">
        <f aca="false">A_CDRRMO!A19</f>
        <v>A2.5</v>
      </c>
      <c r="B16" s="48" t="str">
        <f aca="false">A_CDRRMO!C19</f>
        <v>24/7 operations capability with documented shift roster (Operations Center/Duty officers)</v>
      </c>
      <c r="C16" s="47" t="str">
        <f aca="false">A_CDRRMO!E19</f>
        <v>M</v>
      </c>
      <c r="D16" s="47" t="str">
        <f aca="false">IF(A_CDRRMO!I19="","",A_CDRRMO!I19)</f>
        <v/>
      </c>
      <c r="E16" s="47" t="str">
        <f aca="false">A_CDRRMO!N19</f>
        <v/>
      </c>
      <c r="F16" s="48" t="str">
        <f aca="false">A_CDRRMO!O19</f>
        <v>Not scored</v>
      </c>
      <c r="G16" s="48" t="str">
        <f aca="false">IF(A_CDRRMO!L19="","",A_CDRRMO!L19)</f>
        <v/>
      </c>
      <c r="H16" s="49"/>
      <c r="I16" s="50"/>
      <c r="J16" s="49"/>
      <c r="K16" s="48" t="str">
        <f aca="false">A_CDRRMO!P19</f>
        <v>MOO Ch.4 Operations / EOC Ch.4</v>
      </c>
      <c r="L16" s="50"/>
    </row>
    <row r="17" customFormat="false" ht="32.8" hidden="false" customHeight="false" outlineLevel="0" collapsed="false">
      <c r="A17" s="47" t="str">
        <f aca="false">A_CDRRMO!A20</f>
        <v>A2.6</v>
      </c>
      <c r="B17" s="48" t="str">
        <f aca="false">A_CDRRMO!C20</f>
        <v>Training needs analysis done and competency-based training plan for staff (ICS, BLS/SFA, WASAR, CSSR, MOSAR, EOC, PDNA, GIS)</v>
      </c>
      <c r="C17" s="47" t="str">
        <f aca="false">A_CDRRMO!E20</f>
        <v>GP</v>
      </c>
      <c r="D17" s="47" t="str">
        <f aca="false">IF(A_CDRRMO!I20="","",A_CDRRMO!I20)</f>
        <v/>
      </c>
      <c r="E17" s="47" t="str">
        <f aca="false">A_CDRRMO!N20</f>
        <v/>
      </c>
      <c r="F17" s="48" t="str">
        <f aca="false">A_CDRRMO!O20</f>
        <v>Not scored</v>
      </c>
      <c r="G17" s="48" t="str">
        <f aca="false">IF(A_CDRRMO!L20="","",A_CDRRMO!L20)</f>
        <v/>
      </c>
      <c r="H17" s="49"/>
      <c r="I17" s="50"/>
      <c r="J17" s="49"/>
      <c r="K17" s="48" t="str">
        <f aca="false">A_CDRRMO!P20</f>
        <v>MOO Ch.6 Capacity Development</v>
      </c>
      <c r="L17" s="50"/>
    </row>
    <row r="18" customFormat="false" ht="22.35" hidden="false" customHeight="false" outlineLevel="0" collapsed="false">
      <c r="A18" s="47" t="str">
        <f aca="false">A_CDRRMO!A21</f>
        <v>A2.7</v>
      </c>
      <c r="B18" s="48" t="str">
        <f aca="false">A_CDRRMO!C21</f>
        <v>Personnel welfare and safety: insurance, hazard pay, PPE, psychosocial support for responders</v>
      </c>
      <c r="C18" s="47" t="str">
        <f aca="false">A_CDRRMO!E21</f>
        <v>M</v>
      </c>
      <c r="D18" s="47" t="str">
        <f aca="false">IF(A_CDRRMO!I21="","",A_CDRRMO!I21)</f>
        <v/>
      </c>
      <c r="E18" s="47" t="str">
        <f aca="false">A_CDRRMO!N21</f>
        <v/>
      </c>
      <c r="F18" s="48" t="str">
        <f aca="false">A_CDRRMO!O21</f>
        <v>Not scored</v>
      </c>
      <c r="G18" s="48" t="str">
        <f aca="false">IF(A_CDRRMO!L21="","",A_CDRRMO!L21)</f>
        <v/>
      </c>
      <c r="H18" s="49"/>
      <c r="I18" s="50"/>
      <c r="J18" s="49"/>
      <c r="K18" s="48" t="str">
        <f aca="false">A_CDRRMO!P21</f>
        <v>MOO Ch.2 / Ch.4</v>
      </c>
      <c r="L18" s="50"/>
    </row>
    <row r="19" customFormat="false" ht="32.8" hidden="false" customHeight="false" outlineLevel="0" collapsed="false">
      <c r="A19" s="47" t="str">
        <f aca="false">A_CDRRMO!A22</f>
        <v>A2.8</v>
      </c>
      <c r="B19" s="48" t="str">
        <f aca="false">A_CDRRMO!C22</f>
        <v>Volunteer/auxiliary responder management system (accreditation, registry, deployment, insurance), incl. mobilization of ACDVs for anticipatory action</v>
      </c>
      <c r="C19" s="47" t="str">
        <f aca="false">A_CDRRMO!E22</f>
        <v>GP</v>
      </c>
      <c r="D19" s="47" t="str">
        <f aca="false">IF(A_CDRRMO!I22="","",A_CDRRMO!I22)</f>
        <v/>
      </c>
      <c r="E19" s="47" t="str">
        <f aca="false">A_CDRRMO!N22</f>
        <v/>
      </c>
      <c r="F19" s="48" t="str">
        <f aca="false">A_CDRRMO!O22</f>
        <v>Not scored</v>
      </c>
      <c r="G19" s="48" t="str">
        <f aca="false">IF(A_CDRRMO!L22="","",A_CDRRMO!L22)</f>
        <v/>
      </c>
      <c r="H19" s="49"/>
      <c r="I19" s="50"/>
      <c r="J19" s="49"/>
      <c r="K19" s="48" t="str">
        <f aca="false">A_CDRRMO!P22</f>
        <v>MOO Ch.6</v>
      </c>
      <c r="L19" s="50"/>
    </row>
    <row r="20" customFormat="false" ht="32.8" hidden="false" customHeight="false" outlineLevel="0" collapsed="false">
      <c r="A20" s="47" t="str">
        <f aca="false">A_CDRRMO!A23</f>
        <v>A2.9</v>
      </c>
      <c r="B20" s="48" t="str">
        <f aca="false">A_CDRRMO!C23</f>
        <v>Anticipatory action focal person designated in the CDRRMO, with AA training for staff, BDRRMCs, ACDVs and partner CSOs (incl. community-based early warning and early action)</v>
      </c>
      <c r="C20" s="47" t="str">
        <f aca="false">A_CDRRMO!E23</f>
        <v>M</v>
      </c>
      <c r="D20" s="47" t="str">
        <f aca="false">IF(A_CDRRMO!I23="","",A_CDRRMO!I23)</f>
        <v/>
      </c>
      <c r="E20" s="47" t="str">
        <f aca="false">A_CDRRMO!N23</f>
        <v/>
      </c>
      <c r="F20" s="48" t="str">
        <f aca="false">A_CDRRMO!O23</f>
        <v>Not scored</v>
      </c>
      <c r="G20" s="48" t="str">
        <f aca="false">IF(A_CDRRMO!L23="","",A_CDRRMO!L23)</f>
        <v/>
      </c>
      <c r="H20" s="49"/>
      <c r="I20" s="50"/>
      <c r="J20" s="49"/>
      <c r="K20" s="48" t="str">
        <f aca="false">A_CDRRMO!P23</f>
        <v>MOO Ch.2 / Ch.6</v>
      </c>
      <c r="L20" s="50"/>
    </row>
    <row r="21" customFormat="false" ht="32.8" hidden="false" customHeight="false" outlineLevel="0" collapsed="false">
      <c r="A21" s="47" t="str">
        <f aca="false">A_CDRRMO!A24</f>
        <v>A2.10</v>
      </c>
      <c r="B21" s="48" t="str">
        <f aca="false">A_CDRRMO!C24</f>
        <v>Inventory of DRRM-relevant skills across the CDRRMO, partner offices and barangays (SAR, engineering, logistics, GIS, PDNA, MHPSS) updated within the last 12 months</v>
      </c>
      <c r="C21" s="47" t="str">
        <f aca="false">A_CDRRMO!E24</f>
        <v>GP</v>
      </c>
      <c r="D21" s="47" t="str">
        <f aca="false">IF(A_CDRRMO!I24="","",A_CDRRMO!I24)</f>
        <v/>
      </c>
      <c r="E21" s="47" t="str">
        <f aca="false">A_CDRRMO!N24</f>
        <v/>
      </c>
      <c r="F21" s="48" t="str">
        <f aca="false">A_CDRRMO!O24</f>
        <v>Not scored</v>
      </c>
      <c r="G21" s="48" t="str">
        <f aca="false">IF(A_CDRRMO!L24="","",A_CDRRMO!L24)</f>
        <v/>
      </c>
      <c r="H21" s="49"/>
      <c r="I21" s="50"/>
      <c r="J21" s="49"/>
      <c r="K21" s="48" t="str">
        <f aca="false">A_CDRRMO!P24</f>
        <v>MOO Ch.6</v>
      </c>
      <c r="L21" s="50"/>
    </row>
    <row r="22" customFormat="false" ht="22.35" hidden="false" customHeight="false" outlineLevel="0" collapsed="false">
      <c r="A22" s="47" t="str">
        <f aca="false">A_CDRRMO!A26</f>
        <v>A3.1</v>
      </c>
      <c r="B22" s="48" t="str">
        <f aca="false">A_CDRRMO!C26</f>
        <v>Local DRRM Plan (LDRRMP) current, approved by Sanggunian, aligned with NDRRMP 2020-2030 and Sendai Framework</v>
      </c>
      <c r="C22" s="47" t="str">
        <f aca="false">A_CDRRMO!E26</f>
        <v>M</v>
      </c>
      <c r="D22" s="47" t="str">
        <f aca="false">IF(A_CDRRMO!I26="","",A_CDRRMO!I26)</f>
        <v/>
      </c>
      <c r="E22" s="47" t="str">
        <f aca="false">A_CDRRMO!N26</f>
        <v/>
      </c>
      <c r="F22" s="48" t="str">
        <f aca="false">A_CDRRMO!O26</f>
        <v>Not scored</v>
      </c>
      <c r="G22" s="48" t="str">
        <f aca="false">IF(A_CDRRMO!L26="","",A_CDRRMO!L26)</f>
        <v/>
      </c>
      <c r="H22" s="49"/>
      <c r="I22" s="50"/>
      <c r="J22" s="49"/>
      <c r="K22" s="48" t="str">
        <f aca="false">A_CDRRMO!P26</f>
        <v>MOO Ch.3 Planning</v>
      </c>
      <c r="L22" s="50"/>
    </row>
    <row r="23" customFormat="false" ht="22.35" hidden="false" customHeight="false" outlineLevel="0" collapsed="false">
      <c r="A23" s="47" t="str">
        <f aca="false">A_CDRRMO!A27</f>
        <v>A3.2</v>
      </c>
      <c r="B23" s="48" t="str">
        <f aca="false">A_CDRRMO!C27</f>
        <v>DRR-CCA mainstreamed in CDP, CLUP, ELA and LCCAP (hazard data used in land use and investment decisions)</v>
      </c>
      <c r="C23" s="47" t="str">
        <f aca="false">A_CDRRMO!E27</f>
        <v>M</v>
      </c>
      <c r="D23" s="47" t="str">
        <f aca="false">IF(A_CDRRMO!I27="","",A_CDRRMO!I27)</f>
        <v/>
      </c>
      <c r="E23" s="47" t="str">
        <f aca="false">A_CDRRMO!N27</f>
        <v/>
      </c>
      <c r="F23" s="48" t="str">
        <f aca="false">A_CDRRMO!O27</f>
        <v>Not scored</v>
      </c>
      <c r="G23" s="48" t="str">
        <f aca="false">IF(A_CDRRMO!L27="","",A_CDRRMO!L27)</f>
        <v/>
      </c>
      <c r="H23" s="49"/>
      <c r="I23" s="50"/>
      <c r="J23" s="49"/>
      <c r="K23" s="48" t="str">
        <f aca="false">A_CDRRMO!P27</f>
        <v>MOO Ch.3</v>
      </c>
      <c r="L23" s="50"/>
    </row>
    <row r="24" customFormat="false" ht="32.8" hidden="false" customHeight="false" outlineLevel="0" collapsed="false">
      <c r="A24" s="47" t="str">
        <f aca="false">A_CDRRMO!A28</f>
        <v>A3.3</v>
      </c>
      <c r="B24" s="48" t="str">
        <f aca="false">A_CDRRMO!C28</f>
        <v>Hazard-specific Contingency Plans for priority hazards (flood/flash flood, landslide, earthquake/tsunami, tropical cyclone, industrial/geothermal), updated and tested</v>
      </c>
      <c r="C24" s="47" t="str">
        <f aca="false">A_CDRRMO!E28</f>
        <v>M</v>
      </c>
      <c r="D24" s="47" t="str">
        <f aca="false">IF(A_CDRRMO!I28="","",A_CDRRMO!I28)</f>
        <v/>
      </c>
      <c r="E24" s="47" t="str">
        <f aca="false">A_CDRRMO!N28</f>
        <v/>
      </c>
      <c r="F24" s="48" t="str">
        <f aca="false">A_CDRRMO!O28</f>
        <v>Not scored</v>
      </c>
      <c r="G24" s="48" t="str">
        <f aca="false">IF(A_CDRRMO!L28="","",A_CDRRMO!L28)</f>
        <v/>
      </c>
      <c r="H24" s="49"/>
      <c r="I24" s="50"/>
      <c r="J24" s="49"/>
      <c r="K24" s="48" t="str">
        <f aca="false">A_CDRRMO!P28</f>
        <v>MOO Ch.3 / EOC Ch.3</v>
      </c>
      <c r="L24" s="50"/>
    </row>
    <row r="25" customFormat="false" ht="22.35" hidden="false" customHeight="false" outlineLevel="0" collapsed="false">
      <c r="A25" s="47" t="str">
        <f aca="false">A_CDRRMO!A29</f>
        <v>A3.4</v>
      </c>
      <c r="B25" s="48" t="str">
        <f aca="false">A_CDRRMO!C29</f>
        <v>Public Service Continuity Plan (PSCP) prepared covering CDRRMO and essential city services</v>
      </c>
      <c r="C25" s="47" t="str">
        <f aca="false">A_CDRRMO!E29</f>
        <v>M</v>
      </c>
      <c r="D25" s="47" t="str">
        <f aca="false">IF(A_CDRRMO!I29="","",A_CDRRMO!I29)</f>
        <v/>
      </c>
      <c r="E25" s="47" t="str">
        <f aca="false">A_CDRRMO!N29</f>
        <v/>
      </c>
      <c r="F25" s="48" t="str">
        <f aca="false">A_CDRRMO!O29</f>
        <v>Not scored</v>
      </c>
      <c r="G25" s="48" t="str">
        <f aca="false">IF(A_CDRRMO!L29="","",A_CDRRMO!L29)</f>
        <v/>
      </c>
      <c r="H25" s="49"/>
      <c r="I25" s="50"/>
      <c r="J25" s="49"/>
      <c r="K25" s="48" t="str">
        <f aca="false">A_CDRRMO!P29</f>
        <v>MOO Ch.3 / EOC Ch.7</v>
      </c>
      <c r="L25" s="50"/>
    </row>
    <row r="26" customFormat="false" ht="22.35" hidden="false" customHeight="false" outlineLevel="0" collapsed="false">
      <c r="A26" s="47" t="str">
        <f aca="false">A_CDRRMO!A30</f>
        <v>A3.5</v>
      </c>
      <c r="B26" s="48" t="str">
        <f aca="false">A_CDRRMO!C30</f>
        <v>Annual LDRRMF Investment Plan (LDRRMFIP) prepared, approved and consistent with LDRRMP</v>
      </c>
      <c r="C26" s="47" t="str">
        <f aca="false">A_CDRRMO!E30</f>
        <v>M</v>
      </c>
      <c r="D26" s="47" t="str">
        <f aca="false">IF(A_CDRRMO!I30="","",A_CDRRMO!I30)</f>
        <v/>
      </c>
      <c r="E26" s="47" t="str">
        <f aca="false">A_CDRRMO!N30</f>
        <v/>
      </c>
      <c r="F26" s="48" t="str">
        <f aca="false">A_CDRRMO!O30</f>
        <v>Not scored</v>
      </c>
      <c r="G26" s="48" t="str">
        <f aca="false">IF(A_CDRRMO!L30="","",A_CDRRMO!L30)</f>
        <v/>
      </c>
      <c r="H26" s="49"/>
      <c r="I26" s="50"/>
      <c r="J26" s="49"/>
      <c r="K26" s="48" t="str">
        <f aca="false">A_CDRRMO!P30</f>
        <v>MOO Ch.5 Financing</v>
      </c>
      <c r="L26" s="50"/>
    </row>
    <row r="27" customFormat="false" ht="22.35" hidden="false" customHeight="false" outlineLevel="0" collapsed="false">
      <c r="A27" s="47" t="str">
        <f aca="false">A_CDRRMO!A31</f>
        <v>A3.6</v>
      </c>
      <c r="B27" s="48" t="str">
        <f aca="false">A_CDRRMO!C31</f>
        <v>Evacuation plan with mapped routes, safe zones, centers and pre-emptive evacuation triggers per barangay</v>
      </c>
      <c r="C27" s="47" t="str">
        <f aca="false">A_CDRRMO!E31</f>
        <v>M</v>
      </c>
      <c r="D27" s="47" t="str">
        <f aca="false">IF(A_CDRRMO!I31="","",A_CDRRMO!I31)</f>
        <v/>
      </c>
      <c r="E27" s="47" t="str">
        <f aca="false">A_CDRRMO!N31</f>
        <v/>
      </c>
      <c r="F27" s="48" t="str">
        <f aca="false">A_CDRRMO!O31</f>
        <v>Not scored</v>
      </c>
      <c r="G27" s="48" t="str">
        <f aca="false">IF(A_CDRRMO!L31="","",A_CDRRMO!L31)</f>
        <v/>
      </c>
      <c r="H27" s="49"/>
      <c r="I27" s="50"/>
      <c r="J27" s="49"/>
      <c r="K27" s="48" t="str">
        <f aca="false">A_CDRRMO!P31</f>
        <v>MOO Ch.4 / EOC Ch.3</v>
      </c>
      <c r="L27" s="50"/>
    </row>
    <row r="28" customFormat="false" ht="22.35" hidden="false" customHeight="false" outlineLevel="0" collapsed="false">
      <c r="A28" s="47" t="str">
        <f aca="false">A_CDRRMO!A32</f>
        <v>A3.7</v>
      </c>
      <c r="B28" s="48" t="str">
        <f aca="false">A_CDRRMO!C32</f>
        <v>Barangay DRRM plans (85 barangays) reviewed/consolidated by CDRRMO</v>
      </c>
      <c r="C28" s="47" t="str">
        <f aca="false">A_CDRRMO!E32</f>
        <v>GP</v>
      </c>
      <c r="D28" s="47" t="str">
        <f aca="false">IF(A_CDRRMO!I32="","",A_CDRRMO!I32)</f>
        <v/>
      </c>
      <c r="E28" s="47" t="str">
        <f aca="false">A_CDRRMO!N32</f>
        <v/>
      </c>
      <c r="F28" s="48" t="str">
        <f aca="false">A_CDRRMO!O32</f>
        <v>Not scored</v>
      </c>
      <c r="G28" s="48" t="str">
        <f aca="false">IF(A_CDRRMO!L32="","",A_CDRRMO!L32)</f>
        <v/>
      </c>
      <c r="H28" s="49"/>
      <c r="I28" s="50"/>
      <c r="J28" s="49"/>
      <c r="K28" s="48" t="str">
        <f aca="false">A_CDRRMO!P32</f>
        <v>MOO Ch.3</v>
      </c>
      <c r="L28" s="50"/>
    </row>
    <row r="29" customFormat="false" ht="22.35" hidden="false" customHeight="false" outlineLevel="0" collapsed="false">
      <c r="A29" s="47" t="str">
        <f aca="false">A_CDRRMO!A34</f>
        <v>A4.1</v>
      </c>
      <c r="B29" s="48" t="str">
        <f aca="false">A_CDRRMO!C34</f>
        <v>LDRRMF set at not less than 5% of estimated revenue from regular sources</v>
      </c>
      <c r="C29" s="47" t="str">
        <f aca="false">A_CDRRMO!E34</f>
        <v>M</v>
      </c>
      <c r="D29" s="47" t="str">
        <f aca="false">IF(A_CDRRMO!I34="","",A_CDRRMO!I34)</f>
        <v/>
      </c>
      <c r="E29" s="47" t="str">
        <f aca="false">A_CDRRMO!N34</f>
        <v/>
      </c>
      <c r="F29" s="48" t="str">
        <f aca="false">A_CDRRMO!O34</f>
        <v>Not scored</v>
      </c>
      <c r="G29" s="48" t="str">
        <f aca="false">IF(A_CDRRMO!L34="","",A_CDRRMO!L34)</f>
        <v/>
      </c>
      <c r="H29" s="49"/>
      <c r="I29" s="50"/>
      <c r="J29" s="49"/>
      <c r="K29" s="48" t="str">
        <f aca="false">A_CDRRMO!P34</f>
        <v>MOO Ch.5 Financing</v>
      </c>
      <c r="L29" s="50"/>
    </row>
    <row r="30" customFormat="false" ht="22.35" hidden="false" customHeight="false" outlineLevel="0" collapsed="false">
      <c r="A30" s="47" t="str">
        <f aca="false">A_CDRRMO!A35</f>
        <v>A4.2</v>
      </c>
      <c r="B30" s="48" t="str">
        <f aca="false">A_CDRRMO!C35</f>
        <v>70% Mitigation/Preparedness and 30% Quick Response Fund (QRF) allocation observed</v>
      </c>
      <c r="C30" s="47" t="str">
        <f aca="false">A_CDRRMO!E35</f>
        <v>M</v>
      </c>
      <c r="D30" s="47" t="str">
        <f aca="false">IF(A_CDRRMO!I35="","",A_CDRRMO!I35)</f>
        <v/>
      </c>
      <c r="E30" s="47" t="str">
        <f aca="false">A_CDRRMO!N35</f>
        <v/>
      </c>
      <c r="F30" s="48" t="str">
        <f aca="false">A_CDRRMO!O35</f>
        <v>Not scored</v>
      </c>
      <c r="G30" s="48" t="str">
        <f aca="false">IF(A_CDRRMO!L35="","",A_CDRRMO!L35)</f>
        <v/>
      </c>
      <c r="H30" s="49"/>
      <c r="I30" s="50"/>
      <c r="J30" s="49"/>
      <c r="K30" s="48" t="str">
        <f aca="false">A_CDRRMO!P35</f>
        <v>MOO Ch.5</v>
      </c>
      <c r="L30" s="50"/>
    </row>
    <row r="31" customFormat="false" ht="22.35" hidden="false" customHeight="false" outlineLevel="0" collapsed="false">
      <c r="A31" s="47" t="str">
        <f aca="false">A_CDRRMO!A36</f>
        <v>A4.3</v>
      </c>
      <c r="B31" s="48" t="str">
        <f aca="false">A_CDRRMO!C36</f>
        <v>Unexpended LDRRMF transferred to Special Trust Fund and used within 5 years</v>
      </c>
      <c r="C31" s="47" t="str">
        <f aca="false">A_CDRRMO!E36</f>
        <v>M</v>
      </c>
      <c r="D31" s="47" t="str">
        <f aca="false">IF(A_CDRRMO!I36="","",A_CDRRMO!I36)</f>
        <v/>
      </c>
      <c r="E31" s="47" t="str">
        <f aca="false">A_CDRRMO!N36</f>
        <v/>
      </c>
      <c r="F31" s="48" t="str">
        <f aca="false">A_CDRRMO!O36</f>
        <v>Not scored</v>
      </c>
      <c r="G31" s="48" t="str">
        <f aca="false">IF(A_CDRRMO!L36="","",A_CDRRMO!L36)</f>
        <v/>
      </c>
      <c r="H31" s="49"/>
      <c r="I31" s="50"/>
      <c r="J31" s="49"/>
      <c r="K31" s="48" t="str">
        <f aca="false">A_CDRRMO!P36</f>
        <v>MOO Ch.5</v>
      </c>
      <c r="L31" s="50"/>
    </row>
    <row r="32" customFormat="false" ht="22.35" hidden="false" customHeight="false" outlineLevel="0" collapsed="false">
      <c r="A32" s="47" t="str">
        <f aca="false">A_CDRRMO!A37</f>
        <v>A4.4</v>
      </c>
      <c r="B32" s="48" t="str">
        <f aca="false">A_CDRRMO!C37</f>
        <v>LDRRMF utilization rate monitored and reported (target &gt;= 80% of current-year 70% fund)</v>
      </c>
      <c r="C32" s="47" t="str">
        <f aca="false">A_CDRRMO!E37</f>
        <v>GP</v>
      </c>
      <c r="D32" s="47" t="str">
        <f aca="false">IF(A_CDRRMO!I37="","",A_CDRRMO!I37)</f>
        <v/>
      </c>
      <c r="E32" s="47" t="str">
        <f aca="false">A_CDRRMO!N37</f>
        <v/>
      </c>
      <c r="F32" s="48" t="str">
        <f aca="false">A_CDRRMO!O37</f>
        <v>Not scored</v>
      </c>
      <c r="G32" s="48" t="str">
        <f aca="false">IF(A_CDRRMO!L37="","",A_CDRRMO!L37)</f>
        <v/>
      </c>
      <c r="H32" s="49"/>
      <c r="I32" s="50"/>
      <c r="J32" s="49"/>
      <c r="K32" s="48" t="str">
        <f aca="false">A_CDRRMO!P37</f>
        <v>MOO Ch.5</v>
      </c>
      <c r="L32" s="50"/>
    </row>
    <row r="33" customFormat="false" ht="32.8" hidden="false" customHeight="false" outlineLevel="0" collapsed="false">
      <c r="A33" s="47" t="str">
        <f aca="false">A_CDRRMO!A38</f>
        <v>A4.5</v>
      </c>
      <c r="B33" s="48" t="str">
        <f aca="false">A_CDRRMO!C38</f>
        <v>Emergency procurement procedures (negotiated procurement - emergency cases) documented and pre-arranged (framework agreements, pre-qualified suppliers)</v>
      </c>
      <c r="C33" s="47" t="str">
        <f aca="false">A_CDRRMO!E38</f>
        <v>M</v>
      </c>
      <c r="D33" s="47" t="str">
        <f aca="false">IF(A_CDRRMO!I38="","",A_CDRRMO!I38)</f>
        <v/>
      </c>
      <c r="E33" s="47" t="str">
        <f aca="false">A_CDRRMO!N38</f>
        <v/>
      </c>
      <c r="F33" s="48" t="str">
        <f aca="false">A_CDRRMO!O38</f>
        <v>Not scored</v>
      </c>
      <c r="G33" s="48" t="str">
        <f aca="false">IF(A_CDRRMO!L38="","",A_CDRRMO!L38)</f>
        <v/>
      </c>
      <c r="H33" s="49"/>
      <c r="I33" s="50"/>
      <c r="J33" s="49"/>
      <c r="K33" s="48" t="str">
        <f aca="false">A_CDRRMO!P38</f>
        <v>MOO Ch.5 / EOC Ch.6</v>
      </c>
      <c r="L33" s="50"/>
    </row>
    <row r="34" customFormat="false" ht="64.15" hidden="false" customHeight="false" outlineLevel="0" collapsed="false">
      <c r="A34" s="47" t="str">
        <f aca="false">A_CDRRMO!A39</f>
        <v>A4.6</v>
      </c>
      <c r="B34" s="48" t="str">
        <f aca="false">A_CDRRMO!C39</f>
        <v>Anticipatory action funding pathway: LDRRMFIP sets an AA line within the cap of 10% of the 70% LDRRMF; other sources mapped (Special Trust Fund balances, donations, ODA); Budget, Accounting and BAC procedures allow immediate disbursement and observe the 30%/70% tranche rule around the 3-day lead time</v>
      </c>
      <c r="C34" s="47" t="str">
        <f aca="false">A_CDRRMO!E39</f>
        <v>M</v>
      </c>
      <c r="D34" s="47" t="str">
        <f aca="false">IF(A_CDRRMO!I39="","",A_CDRRMO!I39)</f>
        <v/>
      </c>
      <c r="E34" s="47" t="str">
        <f aca="false">A_CDRRMO!N39</f>
        <v/>
      </c>
      <c r="F34" s="48" t="str">
        <f aca="false">A_CDRRMO!O39</f>
        <v>Not scored</v>
      </c>
      <c r="G34" s="48" t="str">
        <f aca="false">IF(A_CDRRMO!L39="","",A_CDRRMO!L39)</f>
        <v/>
      </c>
      <c r="H34" s="49"/>
      <c r="I34" s="50"/>
      <c r="J34" s="49"/>
      <c r="K34" s="48" t="str">
        <f aca="false">A_CDRRMO!P39</f>
        <v>MOO Ch.5</v>
      </c>
      <c r="L34" s="50"/>
    </row>
    <row r="35" customFormat="false" ht="22.35" hidden="false" customHeight="false" outlineLevel="0" collapsed="false">
      <c r="A35" s="47" t="str">
        <f aca="false">A_CDRRMO!A40</f>
        <v>A4.7</v>
      </c>
      <c r="B35" s="48" t="str">
        <f aca="false">A_CDRRMO!C40</f>
        <v>Risk transfer/financing instruments explored (indemnity insurance of public assets, PSF access, partnerships)</v>
      </c>
      <c r="C35" s="47" t="str">
        <f aca="false">A_CDRRMO!E40</f>
        <v>GP</v>
      </c>
      <c r="D35" s="47" t="str">
        <f aca="false">IF(A_CDRRMO!I40="","",A_CDRRMO!I40)</f>
        <v/>
      </c>
      <c r="E35" s="47" t="str">
        <f aca="false">A_CDRRMO!N40</f>
        <v/>
      </c>
      <c r="F35" s="48" t="str">
        <f aca="false">A_CDRRMO!O40</f>
        <v>Not scored</v>
      </c>
      <c r="G35" s="48" t="str">
        <f aca="false">IF(A_CDRRMO!L40="","",A_CDRRMO!L40)</f>
        <v/>
      </c>
      <c r="H35" s="49"/>
      <c r="I35" s="50"/>
      <c r="J35" s="49"/>
      <c r="K35" s="48" t="str">
        <f aca="false">A_CDRRMO!P40</f>
        <v>MOO Ch.5</v>
      </c>
      <c r="L35" s="50"/>
    </row>
    <row r="36" customFormat="false" ht="22.35" hidden="false" customHeight="false" outlineLevel="0" collapsed="false">
      <c r="A36" s="47" t="str">
        <f aca="false">A_CDRRMO!A41</f>
        <v>A4.8</v>
      </c>
      <c r="B36" s="48" t="str">
        <f aca="false">A_CDRRMO!C41</f>
        <v>Clean COA findings on LDRRMF in last audit year (or findings addressed)</v>
      </c>
      <c r="C36" s="47" t="str">
        <f aca="false">A_CDRRMO!E41</f>
        <v>M</v>
      </c>
      <c r="D36" s="47" t="str">
        <f aca="false">IF(A_CDRRMO!I41="","",A_CDRRMO!I41)</f>
        <v/>
      </c>
      <c r="E36" s="47" t="str">
        <f aca="false">A_CDRRMO!N41</f>
        <v/>
      </c>
      <c r="F36" s="48" t="str">
        <f aca="false">A_CDRRMO!O41</f>
        <v>Not scored</v>
      </c>
      <c r="G36" s="48" t="str">
        <f aca="false">IF(A_CDRRMO!L41="","",A_CDRRMO!L41)</f>
        <v/>
      </c>
      <c r="H36" s="49"/>
      <c r="I36" s="50"/>
      <c r="J36" s="49"/>
      <c r="K36" s="48" t="str">
        <f aca="false">A_CDRRMO!P41</f>
        <v>MOO Ch.5</v>
      </c>
      <c r="L36" s="50"/>
    </row>
    <row r="37" customFormat="false" ht="43.25" hidden="false" customHeight="false" outlineLevel="0" collapsed="false">
      <c r="A37" s="47" t="str">
        <f aca="false">A_CDRRMO!A42</f>
        <v>A4.9</v>
      </c>
      <c r="B37" s="48" t="str">
        <f aca="false">A_CDRRMO!C42</f>
        <v>QRF and LDRRMF adequacy tested against the most severe credible scenario (e.g., a Thelma-type flash flood or Yolanda-strength typhoon), with the shortfall and other fund sources identified</v>
      </c>
      <c r="C37" s="47" t="str">
        <f aca="false">A_CDRRMO!E42</f>
        <v>GP</v>
      </c>
      <c r="D37" s="47" t="str">
        <f aca="false">IF(A_CDRRMO!I42="","",A_CDRRMO!I42)</f>
        <v/>
      </c>
      <c r="E37" s="47" t="str">
        <f aca="false">A_CDRRMO!N42</f>
        <v/>
      </c>
      <c r="F37" s="48" t="str">
        <f aca="false">A_CDRRMO!O42</f>
        <v>Not scored</v>
      </c>
      <c r="G37" s="48" t="str">
        <f aca="false">IF(A_CDRRMO!L42="","",A_CDRRMO!L42)</f>
        <v/>
      </c>
      <c r="H37" s="49"/>
      <c r="I37" s="50"/>
      <c r="J37" s="49"/>
      <c r="K37" s="48" t="str">
        <f aca="false">A_CDRRMO!P42</f>
        <v>MOO Ch.5</v>
      </c>
      <c r="L37" s="50"/>
    </row>
    <row r="38" customFormat="false" ht="22.35" hidden="false" customHeight="false" outlineLevel="0" collapsed="false">
      <c r="A38" s="47" t="str">
        <f aca="false">A_CDRRMO!A44</f>
        <v>A5.1</v>
      </c>
      <c r="B38" s="48" t="str">
        <f aca="false">A_CDRRMO!C44</f>
        <v>Updated hazard maps for all priority hazards (MGB, PHIVOLCS, PAGASA, GeoRiskPH/HazardHunterPH) at barangay scale</v>
      </c>
      <c r="C38" s="47" t="str">
        <f aca="false">A_CDRRMO!E44</f>
        <v>M</v>
      </c>
      <c r="D38" s="47" t="str">
        <f aca="false">IF(A_CDRRMO!I44="","",A_CDRRMO!I44)</f>
        <v/>
      </c>
      <c r="E38" s="47" t="str">
        <f aca="false">A_CDRRMO!N44</f>
        <v/>
      </c>
      <c r="F38" s="48" t="str">
        <f aca="false">A_CDRRMO!O44</f>
        <v>Not scored</v>
      </c>
      <c r="G38" s="48" t="str">
        <f aca="false">IF(A_CDRRMO!L44="","",A_CDRRMO!L44)</f>
        <v/>
      </c>
      <c r="H38" s="49"/>
      <c r="I38" s="50"/>
      <c r="J38" s="49"/>
      <c r="K38" s="48" t="str">
        <f aca="false">A_CDRRMO!P44</f>
        <v>MOO Ch.3 / EOC Ch.5</v>
      </c>
      <c r="L38" s="50"/>
    </row>
    <row r="39" customFormat="false" ht="32.8" hidden="false" customHeight="false" outlineLevel="0" collapsed="false">
      <c r="A39" s="47" t="str">
        <f aca="false">A_CDRRMO!A45</f>
        <v>A5.2</v>
      </c>
      <c r="B39" s="48" t="str">
        <f aca="false">A_CDRRMO!C45</f>
        <v>Climate &amp; Disaster Risk Assessment (CDRA)/ CRA completed with exposure (population, buildings, critical facilities) and vulnerability data</v>
      </c>
      <c r="C39" s="47" t="str">
        <f aca="false">A_CDRRMO!E45</f>
        <v>M</v>
      </c>
      <c r="D39" s="47" t="str">
        <f aca="false">IF(A_CDRRMO!I45="","",A_CDRRMO!I45)</f>
        <v/>
      </c>
      <c r="E39" s="47" t="str">
        <f aca="false">A_CDRRMO!N45</f>
        <v/>
      </c>
      <c r="F39" s="48" t="str">
        <f aca="false">A_CDRRMO!O45</f>
        <v>Not scored</v>
      </c>
      <c r="G39" s="48" t="str">
        <f aca="false">IF(A_CDRRMO!L45="","",A_CDRRMO!L45)</f>
        <v/>
      </c>
      <c r="H39" s="49"/>
      <c r="I39" s="50"/>
      <c r="J39" s="49"/>
      <c r="K39" s="48" t="str">
        <f aca="false">A_CDRRMO!P45</f>
        <v>MOO Ch.3</v>
      </c>
      <c r="L39" s="50"/>
    </row>
    <row r="40" customFormat="false" ht="22.35" hidden="false" customHeight="false" outlineLevel="0" collapsed="false">
      <c r="A40" s="47" t="str">
        <f aca="false">A_CDRRMO!A46</f>
        <v>A5.3</v>
      </c>
      <c r="B40" s="48" t="str">
        <f aca="false">A_CDRRMO!C46</f>
        <v>Disaggregated population database (sex, age, disability, IP, pregnant/lactating) for at-risk households</v>
      </c>
      <c r="C40" s="47" t="str">
        <f aca="false">A_CDRRMO!E46</f>
        <v>M</v>
      </c>
      <c r="D40" s="47" t="str">
        <f aca="false">IF(A_CDRRMO!I46="","",A_CDRRMO!I46)</f>
        <v/>
      </c>
      <c r="E40" s="47" t="str">
        <f aca="false">A_CDRRMO!N46</f>
        <v/>
      </c>
      <c r="F40" s="48" t="str">
        <f aca="false">A_CDRRMO!O46</f>
        <v>Not scored</v>
      </c>
      <c r="G40" s="48" t="str">
        <f aca="false">IF(A_CDRRMO!L46="","",A_CDRRMO!L46)</f>
        <v/>
      </c>
      <c r="H40" s="49"/>
      <c r="I40" s="50"/>
      <c r="J40" s="49"/>
      <c r="K40" s="48" t="str">
        <f aca="false">A_CDRRMO!P46</f>
        <v>MOO Ch.3 / EOC Ch.5</v>
      </c>
      <c r="L40" s="50"/>
    </row>
    <row r="41" customFormat="false" ht="32.8" hidden="false" customHeight="false" outlineLevel="0" collapsed="false">
      <c r="A41" s="47" t="str">
        <f aca="false">A_CDRRMO!A47</f>
        <v>A5.4</v>
      </c>
      <c r="B41" s="48" t="str">
        <f aca="false">A_CDRRMO!C47</f>
        <v>DRRM information system/ database with disaster event history, damage and losses (incl. 1991 flood, 2013 Yolanda, 2017 earthquake records)</v>
      </c>
      <c r="C41" s="47" t="str">
        <f aca="false">A_CDRRMO!E47</f>
        <v>GP</v>
      </c>
      <c r="D41" s="47" t="str">
        <f aca="false">IF(A_CDRRMO!I47="","",A_CDRRMO!I47)</f>
        <v/>
      </c>
      <c r="E41" s="47" t="str">
        <f aca="false">A_CDRRMO!N47</f>
        <v/>
      </c>
      <c r="F41" s="48" t="str">
        <f aca="false">A_CDRRMO!O47</f>
        <v>Not scored</v>
      </c>
      <c r="G41" s="48" t="str">
        <f aca="false">IF(A_CDRRMO!L47="","",A_CDRRMO!L47)</f>
        <v/>
      </c>
      <c r="H41" s="49"/>
      <c r="I41" s="50"/>
      <c r="J41" s="49"/>
      <c r="K41" s="48" t="str">
        <f aca="false">A_CDRRMO!P47</f>
        <v>MOO Ch.7 Knowledge Mgmt</v>
      </c>
      <c r="L41" s="50"/>
    </row>
    <row r="42" customFormat="false" ht="22.35" hidden="false" customHeight="false" outlineLevel="0" collapsed="false">
      <c r="A42" s="47" t="str">
        <f aca="false">A_CDRRMO!A48</f>
        <v>A5.5</v>
      </c>
      <c r="B42" s="48" t="str">
        <f aca="false">A_CDRRMO!C48</f>
        <v>Data privacy compliance for beneficiary and affected-population data (DPO, consent, data sharing agreements)</v>
      </c>
      <c r="C42" s="47" t="str">
        <f aca="false">A_CDRRMO!E48</f>
        <v>M</v>
      </c>
      <c r="D42" s="47" t="str">
        <f aca="false">IF(A_CDRRMO!I48="","",A_CDRRMO!I48)</f>
        <v/>
      </c>
      <c r="E42" s="47" t="str">
        <f aca="false">A_CDRRMO!N48</f>
        <v/>
      </c>
      <c r="F42" s="48" t="str">
        <f aca="false">A_CDRRMO!O48</f>
        <v>Not scored</v>
      </c>
      <c r="G42" s="48" t="str">
        <f aca="false">IF(A_CDRRMO!L48="","",A_CDRRMO!L48)</f>
        <v/>
      </c>
      <c r="H42" s="49"/>
      <c r="I42" s="50"/>
      <c r="J42" s="49"/>
      <c r="K42" s="48" t="str">
        <f aca="false">A_CDRRMO!P48</f>
        <v>MOO Ch.7</v>
      </c>
      <c r="L42" s="50"/>
    </row>
    <row r="43" customFormat="false" ht="22.35" hidden="false" customHeight="false" outlineLevel="0" collapsed="false">
      <c r="A43" s="47" t="str">
        <f aca="false">A_CDRRMO!A49</f>
        <v>A5.6</v>
      </c>
      <c r="B43" s="48" t="str">
        <f aca="false">A_CDRRMO!C49</f>
        <v>GIS capability (software, trained staff, updated base maps) within Research &amp; Planning</v>
      </c>
      <c r="C43" s="47" t="str">
        <f aca="false">A_CDRRMO!E49</f>
        <v>GP</v>
      </c>
      <c r="D43" s="47" t="str">
        <f aca="false">IF(A_CDRRMO!I49="","",A_CDRRMO!I49)</f>
        <v/>
      </c>
      <c r="E43" s="47" t="str">
        <f aca="false">A_CDRRMO!N49</f>
        <v/>
      </c>
      <c r="F43" s="48" t="str">
        <f aca="false">A_CDRRMO!O49</f>
        <v>Not scored</v>
      </c>
      <c r="G43" s="48" t="str">
        <f aca="false">IF(A_CDRRMO!L49="","",A_CDRRMO!L49)</f>
        <v/>
      </c>
      <c r="H43" s="49"/>
      <c r="I43" s="50"/>
      <c r="J43" s="49"/>
      <c r="K43" s="48" t="str">
        <f aca="false">A_CDRRMO!P49</f>
        <v>MOO Ch.7</v>
      </c>
      <c r="L43" s="50"/>
    </row>
    <row r="44" customFormat="false" ht="32.8" hidden="false" customHeight="false" outlineLevel="0" collapsed="false">
      <c r="A44" s="47" t="str">
        <f aca="false">A_CDRRMO!A50</f>
        <v>A5.7</v>
      </c>
      <c r="B44" s="48" t="str">
        <f aca="false">A_CDRRMO!C50</f>
        <v>One maintained, shared source of risk and readiness information (hazard maps, plans, contacts, readiness summary) open to CDRRMC member offices, with a public summary posted</v>
      </c>
      <c r="C44" s="47" t="str">
        <f aca="false">A_CDRRMO!E50</f>
        <v>GP</v>
      </c>
      <c r="D44" s="47" t="str">
        <f aca="false">IF(A_CDRRMO!I50="","",A_CDRRMO!I50)</f>
        <v/>
      </c>
      <c r="E44" s="47" t="str">
        <f aca="false">A_CDRRMO!N50</f>
        <v/>
      </c>
      <c r="F44" s="48" t="str">
        <f aca="false">A_CDRRMO!O50</f>
        <v>Not scored</v>
      </c>
      <c r="G44" s="48" t="str">
        <f aca="false">IF(A_CDRRMO!L50="","",A_CDRRMO!L50)</f>
        <v/>
      </c>
      <c r="H44" s="49"/>
      <c r="I44" s="50"/>
      <c r="J44" s="49"/>
      <c r="K44" s="48" t="str">
        <f aca="false">A_CDRRMO!P50</f>
        <v>MOO Ch.7</v>
      </c>
      <c r="L44" s="50"/>
    </row>
    <row r="45" customFormat="false" ht="43.25" hidden="false" customHeight="false" outlineLevel="0" collapsed="false">
      <c r="A45" s="47" t="str">
        <f aca="false">A_CDRRMO!A51</f>
        <v>A5.8</v>
      </c>
      <c r="B45" s="48" t="str">
        <f aca="false">A_CDRRMO!C51</f>
        <v>Critical facilities list (EOC, hospitals, evacuation centers, water, power, telecom, bridges, port) with dependencies mapped as potential failure chains and used to set protection and restoration priorities</v>
      </c>
      <c r="C45" s="47" t="str">
        <f aca="false">A_CDRRMO!E51</f>
        <v>GP</v>
      </c>
      <c r="D45" s="47" t="str">
        <f aca="false">IF(A_CDRRMO!I51="","",A_CDRRMO!I51)</f>
        <v/>
      </c>
      <c r="E45" s="47" t="str">
        <f aca="false">A_CDRRMO!N51</f>
        <v/>
      </c>
      <c r="F45" s="48" t="str">
        <f aca="false">A_CDRRMO!O51</f>
        <v>Not scored</v>
      </c>
      <c r="G45" s="48" t="str">
        <f aca="false">IF(A_CDRRMO!L51="","",A_CDRRMO!L51)</f>
        <v/>
      </c>
      <c r="H45" s="49"/>
      <c r="I45" s="50"/>
      <c r="J45" s="49"/>
      <c r="K45" s="48" t="str">
        <f aca="false">A_CDRRMO!P51</f>
        <v>MOO Ch.3 / EOC Ch.3</v>
      </c>
      <c r="L45" s="50"/>
    </row>
    <row r="46" customFormat="false" ht="32.8" hidden="false" customHeight="false" outlineLevel="0" collapsed="false">
      <c r="A46" s="47" t="str">
        <f aca="false">A_CDRRMO!A52</f>
        <v>A5.9</v>
      </c>
      <c r="B46" s="48" t="str">
        <f aca="false">A_CDRRMO!C52</f>
        <v>Agreed update cycle: hazard data every 3 years or less; exposure, vulnerability and critical-facility data every 18 months or less</v>
      </c>
      <c r="C46" s="47" t="str">
        <f aca="false">A_CDRRMO!E52</f>
        <v>GP</v>
      </c>
      <c r="D46" s="47" t="str">
        <f aca="false">IF(A_CDRRMO!I52="","",A_CDRRMO!I52)</f>
        <v/>
      </c>
      <c r="E46" s="47" t="str">
        <f aca="false">A_CDRRMO!N52</f>
        <v/>
      </c>
      <c r="F46" s="48" t="str">
        <f aca="false">A_CDRRMO!O52</f>
        <v>Not scored</v>
      </c>
      <c r="G46" s="48" t="str">
        <f aca="false">IF(A_CDRRMO!L52="","",A_CDRRMO!L52)</f>
        <v/>
      </c>
      <c r="H46" s="49"/>
      <c r="I46" s="50"/>
      <c r="J46" s="49"/>
      <c r="K46" s="48" t="str">
        <f aca="false">A_CDRRMO!P52</f>
        <v>MOO Ch.7</v>
      </c>
      <c r="L46" s="50"/>
    </row>
    <row r="47" customFormat="false" ht="32.8" hidden="false" customHeight="false" outlineLevel="0" collapsed="false">
      <c r="A47" s="47" t="str">
        <f aca="false">A_CDRRMO!A54</f>
        <v>A6.1</v>
      </c>
      <c r="B47" s="48" t="str">
        <f aca="false">A_CDRRMO!C54</f>
        <v>Hazard-specific EWS operational for flood (incl. Anilao/Malbasag river systems), rain-induced landslide, tsunami (Ormoc Bay) and tropical cyclone</v>
      </c>
      <c r="C47" s="47" t="str">
        <f aca="false">A_CDRRMO!E54</f>
        <v>M</v>
      </c>
      <c r="D47" s="47" t="str">
        <f aca="false">IF(A_CDRRMO!I54="","",A_CDRRMO!I54)</f>
        <v/>
      </c>
      <c r="E47" s="47" t="str">
        <f aca="false">A_CDRRMO!N54</f>
        <v/>
      </c>
      <c r="F47" s="48" t="str">
        <f aca="false">A_CDRRMO!O54</f>
        <v>Not scored</v>
      </c>
      <c r="G47" s="48" t="str">
        <f aca="false">IF(A_CDRRMO!L54="","",A_CDRRMO!L54)</f>
        <v/>
      </c>
      <c r="H47" s="49"/>
      <c r="I47" s="50"/>
      <c r="J47" s="49"/>
      <c r="K47" s="48" t="str">
        <f aca="false">A_CDRRMO!P54</f>
        <v>MOO Ch.4 / EOC Ch.3</v>
      </c>
      <c r="L47" s="50"/>
    </row>
    <row r="48" customFormat="false" ht="43.25" hidden="false" customHeight="false" outlineLevel="0" collapsed="false">
      <c r="A48" s="47" t="str">
        <f aca="false">A_CDRRMO!A55</f>
        <v>A6.2</v>
      </c>
      <c r="B48" s="48" t="str">
        <f aca="false">A_CDRRMO!C55</f>
        <v>Warning thresholds linked to specific actions (alert levels -&gt; pre-emptive evacuation, class/work suspension, State of Imminent Disaster request) in written protocols, built to take up NDRRMC impact-based triggers once issued</v>
      </c>
      <c r="C48" s="47" t="str">
        <f aca="false">A_CDRRMO!E55</f>
        <v>M</v>
      </c>
      <c r="D48" s="47" t="str">
        <f aca="false">IF(A_CDRRMO!I55="","",A_CDRRMO!I55)</f>
        <v/>
      </c>
      <c r="E48" s="47" t="str">
        <f aca="false">A_CDRRMO!N55</f>
        <v/>
      </c>
      <c r="F48" s="48" t="str">
        <f aca="false">A_CDRRMO!O55</f>
        <v>Not scored</v>
      </c>
      <c r="G48" s="48" t="str">
        <f aca="false">IF(A_CDRRMO!L55="","",A_CDRRMO!L55)</f>
        <v/>
      </c>
      <c r="H48" s="49"/>
      <c r="I48" s="50"/>
      <c r="J48" s="49"/>
      <c r="K48" s="48" t="str">
        <f aca="false">A_CDRRMO!P55</f>
        <v>EOC Ch.2 Concept of Operations</v>
      </c>
      <c r="L48" s="50"/>
    </row>
    <row r="49" customFormat="false" ht="22.35" hidden="false" customHeight="false" outlineLevel="0" collapsed="false">
      <c r="A49" s="47" t="str">
        <f aca="false">A_CDRRMO!A56</f>
        <v>A6.3</v>
      </c>
      <c r="B49" s="48" t="str">
        <f aca="false">A_CDRRMO!C56</f>
        <v>Last-mile dissemination channels tested to barangay/purok level (sirens, radio, SMS/ECBS, social media, barangay criers)</v>
      </c>
      <c r="C49" s="47" t="str">
        <f aca="false">A_CDRRMO!E56</f>
        <v>M</v>
      </c>
      <c r="D49" s="47" t="str">
        <f aca="false">IF(A_CDRRMO!I56="","",A_CDRRMO!I56)</f>
        <v/>
      </c>
      <c r="E49" s="47" t="str">
        <f aca="false">A_CDRRMO!N56</f>
        <v/>
      </c>
      <c r="F49" s="48" t="str">
        <f aca="false">A_CDRRMO!O56</f>
        <v>Not scored</v>
      </c>
      <c r="G49" s="48" t="str">
        <f aca="false">IF(A_CDRRMO!L56="","",A_CDRRMO!L56)</f>
        <v/>
      </c>
      <c r="H49" s="49"/>
      <c r="I49" s="50"/>
      <c r="J49" s="49"/>
      <c r="K49" s="48" t="str">
        <f aca="false">A_CDRRMO!P56</f>
        <v>MOO Ch.4</v>
      </c>
      <c r="L49" s="50"/>
    </row>
    <row r="50" customFormat="false" ht="22.35" hidden="false" customHeight="false" outlineLevel="0" collapsed="false">
      <c r="A50" s="47" t="str">
        <f aca="false">A_CDRRMO!A57</f>
        <v>A6.4</v>
      </c>
      <c r="B50" s="48" t="str">
        <f aca="false">A_CDRRMO!C57</f>
        <v>Warnings issued in local language (Cebuano/ Ormocanon) and accessible formats (sign language, visual alerts for PWD)</v>
      </c>
      <c r="C50" s="47" t="str">
        <f aca="false">A_CDRRMO!E57</f>
        <v>GP</v>
      </c>
      <c r="D50" s="47" t="str">
        <f aca="false">IF(A_CDRRMO!I57="","",A_CDRRMO!I57)</f>
        <v/>
      </c>
      <c r="E50" s="47" t="str">
        <f aca="false">A_CDRRMO!N57</f>
        <v/>
      </c>
      <c r="F50" s="48" t="str">
        <f aca="false">A_CDRRMO!O57</f>
        <v>Not scored</v>
      </c>
      <c r="G50" s="48" t="str">
        <f aca="false">IF(A_CDRRMO!L57="","",A_CDRRMO!L57)</f>
        <v/>
      </c>
      <c r="H50" s="49"/>
      <c r="I50" s="50"/>
      <c r="J50" s="49"/>
      <c r="K50" s="48" t="str">
        <f aca="false">A_CDRRMO!P57</f>
        <v>MOO Ch.4</v>
      </c>
      <c r="L50" s="50"/>
    </row>
    <row r="51" customFormat="false" ht="22.35" hidden="false" customHeight="false" outlineLevel="0" collapsed="false">
      <c r="A51" s="47" t="str">
        <f aca="false">A_CDRRMO!A58</f>
        <v>A6.5</v>
      </c>
      <c r="B51" s="48" t="str">
        <f aca="false">A_CDRRMO!C58</f>
        <v>Designated public information officer and risk communication plan (incl. rumor/misinformation management)</v>
      </c>
      <c r="C51" s="47" t="str">
        <f aca="false">A_CDRRMO!E58</f>
        <v>GP</v>
      </c>
      <c r="D51" s="47" t="str">
        <f aca="false">IF(A_CDRRMO!I58="","",A_CDRRMO!I58)</f>
        <v/>
      </c>
      <c r="E51" s="47" t="str">
        <f aca="false">A_CDRRMO!N58</f>
        <v/>
      </c>
      <c r="F51" s="48" t="str">
        <f aca="false">A_CDRRMO!O58</f>
        <v>Not scored</v>
      </c>
      <c r="G51" s="48" t="str">
        <f aca="false">IF(A_CDRRMO!L58="","",A_CDRRMO!L58)</f>
        <v/>
      </c>
      <c r="H51" s="49"/>
      <c r="I51" s="50"/>
      <c r="J51" s="49"/>
      <c r="K51" s="48" t="str">
        <f aca="false">A_CDRRMO!P58</f>
        <v>EOC Ch.5</v>
      </c>
      <c r="L51" s="50"/>
    </row>
    <row r="52" customFormat="false" ht="22.35" hidden="false" customHeight="false" outlineLevel="0" collapsed="false">
      <c r="A52" s="47" t="str">
        <f aca="false">A_CDRRMO!A59</f>
        <v>A6.6</v>
      </c>
      <c r="B52" s="48" t="str">
        <f aca="false">A_CDRRMO!C59</f>
        <v>IEC program on hazards and preparedness with annual reach targets</v>
      </c>
      <c r="C52" s="47" t="str">
        <f aca="false">A_CDRRMO!E59</f>
        <v>GP</v>
      </c>
      <c r="D52" s="47" t="str">
        <f aca="false">IF(A_CDRRMO!I59="","",A_CDRRMO!I59)</f>
        <v/>
      </c>
      <c r="E52" s="47" t="str">
        <f aca="false">A_CDRRMO!N59</f>
        <v/>
      </c>
      <c r="F52" s="48" t="str">
        <f aca="false">A_CDRRMO!O59</f>
        <v>Not scored</v>
      </c>
      <c r="G52" s="48" t="str">
        <f aca="false">IF(A_CDRRMO!L59="","",A_CDRRMO!L59)</f>
        <v/>
      </c>
      <c r="H52" s="49"/>
      <c r="I52" s="50"/>
      <c r="J52" s="49"/>
      <c r="K52" s="48" t="str">
        <f aca="false">A_CDRRMO!P59</f>
        <v>MOO Ch.6</v>
      </c>
      <c r="L52" s="50"/>
    </row>
    <row r="53" customFormat="false" ht="43.25" hidden="false" customHeight="false" outlineLevel="0" collapsed="false">
      <c r="A53" s="47" t="str">
        <f aca="false">A_CDRRMO!A60</f>
        <v>A6.7</v>
      </c>
      <c r="B53" s="48" t="str">
        <f aca="false">A_CDRRMO!C60</f>
        <v>Templates and channels for public notice of a State of Imminent Disaster and of the anticipatory actions required, incl. sector-specific impact-based advisories and reach to geographically isolated barangays</v>
      </c>
      <c r="C53" s="47" t="str">
        <f aca="false">A_CDRRMO!E60</f>
        <v>M</v>
      </c>
      <c r="D53" s="47" t="str">
        <f aca="false">IF(A_CDRRMO!I60="","",A_CDRRMO!I60)</f>
        <v/>
      </c>
      <c r="E53" s="47" t="str">
        <f aca="false">A_CDRRMO!N60</f>
        <v/>
      </c>
      <c r="F53" s="48" t="str">
        <f aca="false">A_CDRRMO!O60</f>
        <v>Not scored</v>
      </c>
      <c r="G53" s="48" t="str">
        <f aca="false">IF(A_CDRRMO!L60="","",A_CDRRMO!L60)</f>
        <v/>
      </c>
      <c r="H53" s="49"/>
      <c r="I53" s="50"/>
      <c r="J53" s="49"/>
      <c r="K53" s="48" t="str">
        <f aca="false">A_CDRRMO!P60</f>
        <v>MOO Ch.4 / EOC Ch.5</v>
      </c>
      <c r="L53" s="50"/>
    </row>
    <row r="54" customFormat="false" ht="22.35" hidden="false" customHeight="false" outlineLevel="0" collapsed="false">
      <c r="A54" s="47" t="str">
        <f aca="false">A_CDRRMO!A62</f>
        <v>A7.1</v>
      </c>
      <c r="B54" s="48" t="str">
        <f aca="false">A_CDRRMO!C62</f>
        <v>Annual training program for city personnel, BDRRMCs, schools and communities implemented</v>
      </c>
      <c r="C54" s="47" t="str">
        <f aca="false">A_CDRRMO!E62</f>
        <v>M</v>
      </c>
      <c r="D54" s="47" t="str">
        <f aca="false">IF(A_CDRRMO!I62="","",A_CDRRMO!I62)</f>
        <v/>
      </c>
      <c r="E54" s="47" t="str">
        <f aca="false">A_CDRRMO!N62</f>
        <v/>
      </c>
      <c r="F54" s="48" t="str">
        <f aca="false">A_CDRRMO!O62</f>
        <v>Not scored</v>
      </c>
      <c r="G54" s="48" t="str">
        <f aca="false">IF(A_CDRRMO!L62="","",A_CDRRMO!L62)</f>
        <v/>
      </c>
      <c r="H54" s="49"/>
      <c r="I54" s="50"/>
      <c r="J54" s="49"/>
      <c r="K54" s="48" t="str">
        <f aca="false">A_CDRRMO!P62</f>
        <v>MOO Ch.6 Capacity Development</v>
      </c>
      <c r="L54" s="50"/>
    </row>
    <row r="55" customFormat="false" ht="22.35" hidden="false" customHeight="false" outlineLevel="0" collapsed="false">
      <c r="A55" s="47" t="str">
        <f aca="false">A_CDRRMO!A63</f>
        <v>A7.2</v>
      </c>
      <c r="B55" s="48" t="str">
        <f aca="false">A_CDRRMO!C63</f>
        <v>Participation in quarterly Nationwide Simultaneous Earthquake Drill (NSED) and hazard-specific drills with evaluation</v>
      </c>
      <c r="C55" s="47" t="str">
        <f aca="false">A_CDRRMO!E63</f>
        <v>M</v>
      </c>
      <c r="D55" s="47" t="str">
        <f aca="false">IF(A_CDRRMO!I63="","",A_CDRRMO!I63)</f>
        <v/>
      </c>
      <c r="E55" s="47" t="str">
        <f aca="false">A_CDRRMO!N63</f>
        <v/>
      </c>
      <c r="F55" s="48" t="str">
        <f aca="false">A_CDRRMO!O63</f>
        <v>Not scored</v>
      </c>
      <c r="G55" s="48" t="str">
        <f aca="false">IF(A_CDRRMO!L63="","",A_CDRRMO!L63)</f>
        <v/>
      </c>
      <c r="H55" s="49"/>
      <c r="I55" s="50"/>
      <c r="J55" s="49"/>
      <c r="K55" s="48" t="str">
        <f aca="false">A_CDRRMO!P63</f>
        <v>MOO Ch.6</v>
      </c>
      <c r="L55" s="50"/>
    </row>
    <row r="56" customFormat="false" ht="22.35" hidden="false" customHeight="false" outlineLevel="0" collapsed="false">
      <c r="A56" s="47" t="str">
        <f aca="false">A_CDRRMO!A64</f>
        <v>A7.3</v>
      </c>
      <c r="B56" s="48" t="str">
        <f aca="false">A_CDRRMO!C64</f>
        <v>BDRRMC functionality across 85 barangays assessed (e.g., Listo si KAP) with support plan for low-functioning barangays</v>
      </c>
      <c r="C56" s="47" t="str">
        <f aca="false">A_CDRRMO!E64</f>
        <v>GP</v>
      </c>
      <c r="D56" s="47" t="str">
        <f aca="false">IF(A_CDRRMO!I64="","",A_CDRRMO!I64)</f>
        <v/>
      </c>
      <c r="E56" s="47" t="str">
        <f aca="false">A_CDRRMO!N64</f>
        <v/>
      </c>
      <c r="F56" s="48" t="str">
        <f aca="false">A_CDRRMO!O64</f>
        <v>Not scored</v>
      </c>
      <c r="G56" s="48" t="str">
        <f aca="false">IF(A_CDRRMO!L64="","",A_CDRRMO!L64)</f>
        <v/>
      </c>
      <c r="H56" s="49"/>
      <c r="I56" s="50"/>
      <c r="J56" s="49"/>
      <c r="K56" s="48" t="str">
        <f aca="false">A_CDRRMO!P64</f>
        <v>MOO Ch.6</v>
      </c>
      <c r="L56" s="50"/>
    </row>
    <row r="57" customFormat="false" ht="32.8" hidden="false" customHeight="false" outlineLevel="0" collapsed="false">
      <c r="A57" s="47" t="str">
        <f aca="false">A_CDRRMO!A65</f>
        <v>A7.4</v>
      </c>
      <c r="B57" s="48" t="str">
        <f aca="false">A_CDRRMO!C65</f>
        <v>Permanent evacuation center(s) planned/established and existing ECs meet minimum standards (WASH, privacy, PWD access, child-friendly space)</v>
      </c>
      <c r="C57" s="47" t="str">
        <f aca="false">A_CDRRMO!E65</f>
        <v>M</v>
      </c>
      <c r="D57" s="47" t="str">
        <f aca="false">IF(A_CDRRMO!I65="","",A_CDRRMO!I65)</f>
        <v/>
      </c>
      <c r="E57" s="47" t="str">
        <f aca="false">A_CDRRMO!N65</f>
        <v/>
      </c>
      <c r="F57" s="48" t="str">
        <f aca="false">A_CDRRMO!O65</f>
        <v>Not scored</v>
      </c>
      <c r="G57" s="48" t="str">
        <f aca="false">IF(A_CDRRMO!L65="","",A_CDRRMO!L65)</f>
        <v/>
      </c>
      <c r="H57" s="49"/>
      <c r="I57" s="50"/>
      <c r="J57" s="49"/>
      <c r="K57" s="48" t="str">
        <f aca="false">A_CDRRMO!P65</f>
        <v>MOO Ch.4 / EOC Ch.6</v>
      </c>
      <c r="L57" s="50"/>
    </row>
    <row r="58" customFormat="false" ht="22.35" hidden="false" customHeight="false" outlineLevel="0" collapsed="false">
      <c r="A58" s="47" t="str">
        <f aca="false">A_CDRRMO!A66</f>
        <v>A7.5</v>
      </c>
      <c r="B58" s="48" t="str">
        <f aca="false">A_CDRRMO!C66</f>
        <v>Prepositioned relief stocks/food packs and non-food items with inventory and replenishment triggers</v>
      </c>
      <c r="C58" s="47" t="str">
        <f aca="false">A_CDRRMO!E66</f>
        <v>M</v>
      </c>
      <c r="D58" s="47" t="str">
        <f aca="false">IF(A_CDRRMO!I66="","",A_CDRRMO!I66)</f>
        <v/>
      </c>
      <c r="E58" s="47" t="str">
        <f aca="false">A_CDRRMO!N66</f>
        <v/>
      </c>
      <c r="F58" s="48" t="str">
        <f aca="false">A_CDRRMO!O66</f>
        <v>Not scored</v>
      </c>
      <c r="G58" s="48" t="str">
        <f aca="false">IF(A_CDRRMO!L66="","",A_CDRRMO!L66)</f>
        <v/>
      </c>
      <c r="H58" s="49"/>
      <c r="I58" s="50"/>
      <c r="J58" s="49"/>
      <c r="K58" s="48" t="str">
        <f aca="false">A_CDRRMO!P66</f>
        <v>EOC Ch.6 Logistics</v>
      </c>
      <c r="L58" s="50"/>
    </row>
    <row r="59" customFormat="false" ht="32.8" hidden="false" customHeight="false" outlineLevel="0" collapsed="false">
      <c r="A59" s="47" t="str">
        <f aca="false">A_CDRRMO!A67</f>
        <v>A7.6</v>
      </c>
      <c r="B59" s="48" t="str">
        <f aca="false">A_CDRRMO!C67</f>
        <v>Inclusive DRRM: GAD, PWD, senior citizen, children, IP considerations embedded in plans and services, with vulnerable-sector representatives confirming they were engaged</v>
      </c>
      <c r="C59" s="47" t="str">
        <f aca="false">A_CDRRMO!E67</f>
        <v>M</v>
      </c>
      <c r="D59" s="47" t="str">
        <f aca="false">IF(A_CDRRMO!I67="","",A_CDRRMO!I67)</f>
        <v/>
      </c>
      <c r="E59" s="47" t="str">
        <f aca="false">A_CDRRMO!N67</f>
        <v/>
      </c>
      <c r="F59" s="48" t="str">
        <f aca="false">A_CDRRMO!O67</f>
        <v>Not scored</v>
      </c>
      <c r="G59" s="48" t="str">
        <f aca="false">IF(A_CDRRMO!L67="","",A_CDRRMO!L67)</f>
        <v/>
      </c>
      <c r="H59" s="49"/>
      <c r="I59" s="50"/>
      <c r="J59" s="49"/>
      <c r="K59" s="48" t="str">
        <f aca="false">A_CDRRMO!P67</f>
        <v>MOO Ch.3 / Ch.4</v>
      </c>
      <c r="L59" s="50"/>
    </row>
    <row r="60" customFormat="false" ht="22.35" hidden="false" customHeight="false" outlineLevel="0" collapsed="false">
      <c r="A60" s="47" t="str">
        <f aca="false">A_CDRRMO!A68</f>
        <v>A7.7</v>
      </c>
      <c r="B60" s="48" t="str">
        <f aca="false">A_CDRRMO!C68</f>
        <v>Schools, hospitals and critical facilities included in preparedness planning and drills</v>
      </c>
      <c r="C60" s="47" t="str">
        <f aca="false">A_CDRRMO!E68</f>
        <v>GP</v>
      </c>
      <c r="D60" s="47" t="str">
        <f aca="false">IF(A_CDRRMO!I68="","",A_CDRRMO!I68)</f>
        <v/>
      </c>
      <c r="E60" s="47" t="str">
        <f aca="false">A_CDRRMO!N68</f>
        <v/>
      </c>
      <c r="F60" s="48" t="str">
        <f aca="false">A_CDRRMO!O68</f>
        <v>Not scored</v>
      </c>
      <c r="G60" s="48" t="str">
        <f aca="false">IF(A_CDRRMO!L68="","",A_CDRRMO!L68)</f>
        <v/>
      </c>
      <c r="H60" s="49"/>
      <c r="I60" s="50"/>
      <c r="J60" s="49"/>
      <c r="K60" s="48" t="str">
        <f aca="false">A_CDRRMO!P68</f>
        <v>MOO Ch.6</v>
      </c>
      <c r="L60" s="50"/>
    </row>
    <row r="61" customFormat="false" ht="22.35" hidden="false" customHeight="false" outlineLevel="0" collapsed="false">
      <c r="A61" s="47" t="str">
        <f aca="false">A_CDRRMO!A69</f>
        <v>A7.8</v>
      </c>
      <c r="B61" s="48" t="str">
        <f aca="false">A_CDRRMO!C69</f>
        <v>Refresher cycle (at least annual) set for trained responders, EOC staff and BDRRMC members, with attendance tracked</v>
      </c>
      <c r="C61" s="47" t="str">
        <f aca="false">A_CDRRMO!E69</f>
        <v>GP</v>
      </c>
      <c r="D61" s="47" t="str">
        <f aca="false">IF(A_CDRRMO!I69="","",A_CDRRMO!I69)</f>
        <v/>
      </c>
      <c r="E61" s="47" t="str">
        <f aca="false">A_CDRRMO!N69</f>
        <v/>
      </c>
      <c r="F61" s="48" t="str">
        <f aca="false">A_CDRRMO!O69</f>
        <v>Not scored</v>
      </c>
      <c r="G61" s="48" t="str">
        <f aca="false">IF(A_CDRRMO!L69="","",A_CDRRMO!L69)</f>
        <v/>
      </c>
      <c r="H61" s="49"/>
      <c r="I61" s="50"/>
      <c r="J61" s="49"/>
      <c r="K61" s="48" t="str">
        <f aca="false">A_CDRRMO!P69</f>
        <v>MOO Ch.6</v>
      </c>
      <c r="L61" s="50"/>
    </row>
    <row r="62" customFormat="false" ht="22.35" hidden="false" customHeight="false" outlineLevel="0" collapsed="false">
      <c r="A62" s="47" t="str">
        <f aca="false">A_CDRRMO!A70</f>
        <v>A7.9</v>
      </c>
      <c r="B62" s="48" t="str">
        <f aca="false">A_CDRRMO!C70</f>
        <v>BDRRMCs can account for residents of affected puroks within 12 hours of impact (welfare check), shown in a drill or a real event</v>
      </c>
      <c r="C62" s="47" t="str">
        <f aca="false">A_CDRRMO!E70</f>
        <v>GP</v>
      </c>
      <c r="D62" s="47" t="str">
        <f aca="false">IF(A_CDRRMO!I70="","",A_CDRRMO!I70)</f>
        <v/>
      </c>
      <c r="E62" s="47" t="str">
        <f aca="false">A_CDRRMO!N70</f>
        <v/>
      </c>
      <c r="F62" s="48" t="str">
        <f aca="false">A_CDRRMO!O70</f>
        <v>Not scored</v>
      </c>
      <c r="G62" s="48" t="str">
        <f aca="false">IF(A_CDRRMO!L70="","",A_CDRRMO!L70)</f>
        <v/>
      </c>
      <c r="H62" s="49"/>
      <c r="I62" s="50"/>
      <c r="J62" s="49"/>
      <c r="K62" s="48" t="str">
        <f aca="false">A_CDRRMO!P70</f>
        <v>MOO Ch.4 / EOC Ch.6</v>
      </c>
      <c r="L62" s="50"/>
    </row>
    <row r="63" customFormat="false" ht="22.35" hidden="false" customHeight="false" outlineLevel="0" collapsed="false">
      <c r="A63" s="47" t="str">
        <f aca="false">A_CDRRMO!A72</f>
        <v>A8.1</v>
      </c>
      <c r="B63" s="48" t="str">
        <f aca="false">A_CDRRMO!C72</f>
        <v>Incident Command System institutionalized: EO on ICS, trained IMT roster, pre-designated Incident Commanders</v>
      </c>
      <c r="C63" s="47" t="str">
        <f aca="false">A_CDRRMO!E72</f>
        <v>M</v>
      </c>
      <c r="D63" s="47" t="str">
        <f aca="false">IF(A_CDRRMO!I72="","",A_CDRRMO!I72)</f>
        <v/>
      </c>
      <c r="E63" s="47" t="str">
        <f aca="false">A_CDRRMO!N72</f>
        <v/>
      </c>
      <c r="F63" s="48" t="str">
        <f aca="false">A_CDRRMO!O72</f>
        <v>Not scored</v>
      </c>
      <c r="G63" s="48" t="str">
        <f aca="false">IF(A_CDRRMO!L72="","",A_CDRRMO!L72)</f>
        <v/>
      </c>
      <c r="H63" s="49"/>
      <c r="I63" s="50"/>
      <c r="J63" s="49"/>
      <c r="K63" s="48" t="str">
        <f aca="false">A_CDRRMO!P72</f>
        <v>MOO Ch.4 Response Operations</v>
      </c>
      <c r="L63" s="50"/>
    </row>
    <row r="64" customFormat="false" ht="32.8" hidden="false" customHeight="false" outlineLevel="0" collapsed="false">
      <c r="A64" s="47" t="str">
        <f aca="false">A_CDRRMO!A73</f>
        <v>A8.2</v>
      </c>
      <c r="B64" s="48" t="str">
        <f aca="false">A_CDRRMO!C73</f>
        <v>Organized and trained response teams: SAR (WASAR/CSSR/HAZMAT as relevant), EMS/ambulance, fire coordination with BFP</v>
      </c>
      <c r="C64" s="47" t="str">
        <f aca="false">A_CDRRMO!E73</f>
        <v>M</v>
      </c>
      <c r="D64" s="47" t="str">
        <f aca="false">IF(A_CDRRMO!I73="","",A_CDRRMO!I73)</f>
        <v/>
      </c>
      <c r="E64" s="47" t="str">
        <f aca="false">A_CDRRMO!N73</f>
        <v/>
      </c>
      <c r="F64" s="48" t="str">
        <f aca="false">A_CDRRMO!O73</f>
        <v>Not scored</v>
      </c>
      <c r="G64" s="48" t="str">
        <f aca="false">IF(A_CDRRMO!L73="","",A_CDRRMO!L73)</f>
        <v/>
      </c>
      <c r="H64" s="49"/>
      <c r="I64" s="50"/>
      <c r="J64" s="49"/>
      <c r="K64" s="48" t="str">
        <f aca="false">A_CDRRMO!P73</f>
        <v>MOO Ch.4</v>
      </c>
      <c r="L64" s="50"/>
    </row>
    <row r="65" customFormat="false" ht="22.35" hidden="false" customHeight="false" outlineLevel="0" collapsed="false">
      <c r="A65" s="47" t="str">
        <f aca="false">A_CDRRMO!A74</f>
        <v>A8.3</v>
      </c>
      <c r="B65" s="48" t="str">
        <f aca="false">A_CDRRMO!C74</f>
        <v>Response equipment and vehicles inventoried, serviceable and maintained (preventive maintenance schedule)</v>
      </c>
      <c r="C65" s="47" t="str">
        <f aca="false">A_CDRRMO!E74</f>
        <v>M</v>
      </c>
      <c r="D65" s="47" t="str">
        <f aca="false">IF(A_CDRRMO!I74="","",A_CDRRMO!I74)</f>
        <v/>
      </c>
      <c r="E65" s="47" t="str">
        <f aca="false">A_CDRRMO!N74</f>
        <v/>
      </c>
      <c r="F65" s="48" t="str">
        <f aca="false">A_CDRRMO!O74</f>
        <v>Not scored</v>
      </c>
      <c r="G65" s="48" t="str">
        <f aca="false">IF(A_CDRRMO!L74="","",A_CDRRMO!L74)</f>
        <v/>
      </c>
      <c r="H65" s="49"/>
      <c r="I65" s="50"/>
      <c r="J65" s="49"/>
      <c r="K65" s="48" t="str">
        <f aca="false">A_CDRRMO!P74</f>
        <v>MOO Ch.4 / EOC Ch.6</v>
      </c>
      <c r="L65" s="50"/>
    </row>
    <row r="66" customFormat="false" ht="22.35" hidden="false" customHeight="false" outlineLevel="0" collapsed="false">
      <c r="A66" s="47" t="str">
        <f aca="false">A_CDRRMO!A75</f>
        <v>A8.4</v>
      </c>
      <c r="B66" s="48" t="str">
        <f aca="false">A_CDRRMO!C75</f>
        <v>Emergency hotline integrated with E911 and dispatch protocol (call-taking to dispatch time tracked)</v>
      </c>
      <c r="C66" s="47" t="str">
        <f aca="false">A_CDRRMO!E75</f>
        <v>GP</v>
      </c>
      <c r="D66" s="47" t="str">
        <f aca="false">IF(A_CDRRMO!I75="","",A_CDRRMO!I75)</f>
        <v/>
      </c>
      <c r="E66" s="47" t="str">
        <f aca="false">A_CDRRMO!N75</f>
        <v/>
      </c>
      <c r="F66" s="48" t="str">
        <f aca="false">A_CDRRMO!O75</f>
        <v>Not scored</v>
      </c>
      <c r="G66" s="48" t="str">
        <f aca="false">IF(A_CDRRMO!L75="","",A_CDRRMO!L75)</f>
        <v/>
      </c>
      <c r="H66" s="49"/>
      <c r="I66" s="50"/>
      <c r="J66" s="49"/>
      <c r="K66" s="48" t="str">
        <f aca="false">A_CDRRMO!P75</f>
        <v>EOC Ch.4</v>
      </c>
      <c r="L66" s="50"/>
    </row>
    <row r="67" customFormat="false" ht="43.25" hidden="false" customHeight="false" outlineLevel="0" collapsed="false">
      <c r="A67" s="47" t="str">
        <f aca="false">A_CDRRMO!A76</f>
        <v>A8.5</v>
      </c>
      <c r="B67" s="48" t="str">
        <f aca="false">A_CDRRMO!C76</f>
        <v>Response clusters organized at city level mirroring national cluster approach (Food &amp; NFI, Health, WASH, CCCM, Logistics, Search Rescue &amp; Retrieval, Law &amp; Order, Education, Protection, ETC, MDM)</v>
      </c>
      <c r="C67" s="47" t="str">
        <f aca="false">A_CDRRMO!E76</f>
        <v>M</v>
      </c>
      <c r="D67" s="47" t="str">
        <f aca="false">IF(A_CDRRMO!I76="","",A_CDRRMO!I76)</f>
        <v/>
      </c>
      <c r="E67" s="47" t="str">
        <f aca="false">A_CDRRMO!N76</f>
        <v/>
      </c>
      <c r="F67" s="48" t="str">
        <f aca="false">A_CDRRMO!O76</f>
        <v>Not scored</v>
      </c>
      <c r="G67" s="48" t="str">
        <f aca="false">IF(A_CDRRMO!L76="","",A_CDRRMO!L76)</f>
        <v/>
      </c>
      <c r="H67" s="49"/>
      <c r="I67" s="50"/>
      <c r="J67" s="49"/>
      <c r="K67" s="48" t="str">
        <f aca="false">A_CDRRMO!P76</f>
        <v>EOC Ch.4</v>
      </c>
      <c r="L67" s="50"/>
    </row>
    <row r="68" customFormat="false" ht="22.35" hidden="false" customHeight="false" outlineLevel="0" collapsed="false">
      <c r="A68" s="47" t="str">
        <f aca="false">A_CDRRMO!A77</f>
        <v>A8.6</v>
      </c>
      <c r="B68" s="48" t="str">
        <f aca="false">A_CDRRMO!C77</f>
        <v>Pre-Disaster Risk Assessment (PDRA) conducted before forecast hazards, with anticipatory actions recorded</v>
      </c>
      <c r="C68" s="47" t="str">
        <f aca="false">A_CDRRMO!E77</f>
        <v>M</v>
      </c>
      <c r="D68" s="47" t="str">
        <f aca="false">IF(A_CDRRMO!I77="","",A_CDRRMO!I77)</f>
        <v/>
      </c>
      <c r="E68" s="47" t="str">
        <f aca="false">A_CDRRMO!N77</f>
        <v/>
      </c>
      <c r="F68" s="48" t="str">
        <f aca="false">A_CDRRMO!O77</f>
        <v>Not scored</v>
      </c>
      <c r="G68" s="48" t="str">
        <f aca="false">IF(A_CDRRMO!L77="","",A_CDRRMO!L77)</f>
        <v/>
      </c>
      <c r="H68" s="49"/>
      <c r="I68" s="50"/>
      <c r="J68" s="49"/>
      <c r="K68" s="48" t="str">
        <f aca="false">A_CDRRMO!P77</f>
        <v>EOC Ch.2</v>
      </c>
      <c r="L68" s="50"/>
    </row>
    <row r="69" customFormat="false" ht="32.8" hidden="false" customHeight="false" outlineLevel="0" collapsed="false">
      <c r="A69" s="47" t="str">
        <f aca="false">A_CDRRMO!A78</f>
        <v>A8.7</v>
      </c>
      <c r="B69" s="48" t="str">
        <f aca="false">A_CDRRMO!C78</f>
        <v>Management of the Dead and Missing (MDM) and Rapid Damage Assessment &amp; Needs Analysis (RDANA) teams designated and trained</v>
      </c>
      <c r="C69" s="47" t="str">
        <f aca="false">A_CDRRMO!E78</f>
        <v>M</v>
      </c>
      <c r="D69" s="47" t="str">
        <f aca="false">IF(A_CDRRMO!I78="","",A_CDRRMO!I78)</f>
        <v/>
      </c>
      <c r="E69" s="47" t="str">
        <f aca="false">A_CDRRMO!N78</f>
        <v/>
      </c>
      <c r="F69" s="48" t="str">
        <f aca="false">A_CDRRMO!O78</f>
        <v>Not scored</v>
      </c>
      <c r="G69" s="48" t="str">
        <f aca="false">IF(A_CDRRMO!L78="","",A_CDRRMO!L78)</f>
        <v/>
      </c>
      <c r="H69" s="49"/>
      <c r="I69" s="50"/>
      <c r="J69" s="49"/>
      <c r="K69" s="48" t="str">
        <f aca="false">A_CDRRMO!P78</f>
        <v>MOO Ch.4</v>
      </c>
      <c r="L69" s="50"/>
    </row>
    <row r="70" customFormat="false" ht="74.6" hidden="false" customHeight="false" outlineLevel="0" collapsed="false">
      <c r="A70" s="47" t="str">
        <f aca="false">A_CDRRMO!A79</f>
        <v>A8.8</v>
      </c>
      <c r="B70" s="48" t="str">
        <f aca="false">A_CDRRMO!C79</f>
        <v>Anticipatory action protocols by hazard and lead time: office-order templates for prepositioning (relief, medical supplies, animal feed, water and power for evacuation centers), deployment of heavy equipment, transport and personnel, pre-emptive evacuation incl. livestock and pets, CCCM, and safeguarding of critical infrastructure; aligned with CPs, Oplan L!sto and evacuation plans</v>
      </c>
      <c r="C70" s="47" t="str">
        <f aca="false">A_CDRRMO!E79</f>
        <v>M</v>
      </c>
      <c r="D70" s="47" t="str">
        <f aca="false">IF(A_CDRRMO!I79="","",A_CDRRMO!I79)</f>
        <v/>
      </c>
      <c r="E70" s="47" t="str">
        <f aca="false">A_CDRRMO!N79</f>
        <v/>
      </c>
      <c r="F70" s="48" t="str">
        <f aca="false">A_CDRRMO!O79</f>
        <v>Not scored</v>
      </c>
      <c r="G70" s="48" t="str">
        <f aca="false">IF(A_CDRRMO!L79="","",A_CDRRMO!L79)</f>
        <v/>
      </c>
      <c r="H70" s="49"/>
      <c r="I70" s="50"/>
      <c r="J70" s="49"/>
      <c r="K70" s="48" t="str">
        <f aca="false">A_CDRRMO!P79</f>
        <v>EOC Ch.2 / MOO Ch.4</v>
      </c>
      <c r="L70" s="50"/>
    </row>
    <row r="71" customFormat="false" ht="43.25" hidden="false" customHeight="false" outlineLevel="0" collapsed="false">
      <c r="A71" s="47" t="str">
        <f aca="false">A_CDRRMO!A80</f>
        <v>A8.9</v>
      </c>
      <c r="B71" s="48" t="str">
        <f aca="false">A_CDRRMO!C80</f>
        <v>Anticipatory social amelioration: families identified and prioritized using CBMS or the prevailing registry; data-sharing agreements compliant with RA 10173; local guidelines for anticipatory cash or vouchers issued with the CSWDO</v>
      </c>
      <c r="C71" s="47" t="str">
        <f aca="false">A_CDRRMO!E80</f>
        <v>M</v>
      </c>
      <c r="D71" s="47" t="str">
        <f aca="false">IF(A_CDRRMO!I80="","",A_CDRRMO!I80)</f>
        <v/>
      </c>
      <c r="E71" s="47" t="str">
        <f aca="false">A_CDRRMO!N80</f>
        <v/>
      </c>
      <c r="F71" s="48" t="str">
        <f aca="false">A_CDRRMO!O80</f>
        <v>Not scored</v>
      </c>
      <c r="G71" s="48" t="str">
        <f aca="false">IF(A_CDRRMO!L80="","",A_CDRRMO!L80)</f>
        <v/>
      </c>
      <c r="H71" s="49"/>
      <c r="I71" s="50"/>
      <c r="J71" s="49"/>
      <c r="K71" s="48" t="str">
        <f aca="false">A_CDRRMO!P80</f>
        <v>MOO Ch.4</v>
      </c>
      <c r="L71" s="50"/>
    </row>
    <row r="72" customFormat="false" ht="22.35" hidden="false" customHeight="false" outlineLevel="0" collapsed="false">
      <c r="A72" s="47" t="str">
        <f aca="false">A_CDRRMO!A82</f>
        <v>A9.1</v>
      </c>
      <c r="B72" s="48" t="str">
        <f aca="false">A_CDRRMO!C82</f>
        <v>Post-Disaster Needs Assessment (PDNA) capacity: trained team and templates ready</v>
      </c>
      <c r="C72" s="47" t="str">
        <f aca="false">A_CDRRMO!E82</f>
        <v>GP</v>
      </c>
      <c r="D72" s="47" t="str">
        <f aca="false">IF(A_CDRRMO!I82="","",A_CDRRMO!I82)</f>
        <v/>
      </c>
      <c r="E72" s="47" t="str">
        <f aca="false">A_CDRRMO!N82</f>
        <v/>
      </c>
      <c r="F72" s="48" t="str">
        <f aca="false">A_CDRRMO!O82</f>
        <v>Not scored</v>
      </c>
      <c r="G72" s="48" t="str">
        <f aca="false">IF(A_CDRRMO!L82="","",A_CDRRMO!L82)</f>
        <v/>
      </c>
      <c r="H72" s="49"/>
      <c r="I72" s="50"/>
      <c r="J72" s="49"/>
      <c r="K72" s="48" t="str">
        <f aca="false">A_CDRRMO!P82</f>
        <v>MOO Ch.8 Recovery</v>
      </c>
      <c r="L72" s="50"/>
    </row>
    <row r="73" customFormat="false" ht="22.35" hidden="false" customHeight="false" outlineLevel="0" collapsed="false">
      <c r="A73" s="47" t="str">
        <f aca="false">A_CDRRMO!A83</f>
        <v>A9.2</v>
      </c>
      <c r="B73" s="48" t="str">
        <f aca="false">A_CDRRMO!C83</f>
        <v>Rehabilitation &amp; recovery plan prepared after major events, with build-back-better and resettlement provisions</v>
      </c>
      <c r="C73" s="47" t="str">
        <f aca="false">A_CDRRMO!E83</f>
        <v>M</v>
      </c>
      <c r="D73" s="47" t="str">
        <f aca="false">IF(A_CDRRMO!I83="","",A_CDRRMO!I83)</f>
        <v/>
      </c>
      <c r="E73" s="47" t="str">
        <f aca="false">A_CDRRMO!N83</f>
        <v/>
      </c>
      <c r="F73" s="48" t="str">
        <f aca="false">A_CDRRMO!O83</f>
        <v>Not scored</v>
      </c>
      <c r="G73" s="48" t="str">
        <f aca="false">IF(A_CDRRMO!L83="","",A_CDRRMO!L83)</f>
        <v/>
      </c>
      <c r="H73" s="49"/>
      <c r="I73" s="50"/>
      <c r="J73" s="49"/>
      <c r="K73" s="48" t="str">
        <f aca="false">A_CDRRMO!P83</f>
        <v>MOO Ch.8</v>
      </c>
      <c r="L73" s="50"/>
    </row>
    <row r="74" customFormat="false" ht="22.35" hidden="false" customHeight="false" outlineLevel="0" collapsed="false">
      <c r="A74" s="47" t="str">
        <f aca="false">A_CDRRMO!A84</f>
        <v>A9.3</v>
      </c>
      <c r="B74" s="48" t="str">
        <f aca="false">A_CDRRMO!C84</f>
        <v>Recovery data (damage, losses, livelihood, housing) tracked to completion</v>
      </c>
      <c r="C74" s="47" t="str">
        <f aca="false">A_CDRRMO!E84</f>
        <v>GP</v>
      </c>
      <c r="D74" s="47" t="str">
        <f aca="false">IF(A_CDRRMO!I84="","",A_CDRRMO!I84)</f>
        <v/>
      </c>
      <c r="E74" s="47" t="str">
        <f aca="false">A_CDRRMO!N84</f>
        <v/>
      </c>
      <c r="F74" s="48" t="str">
        <f aca="false">A_CDRRMO!O84</f>
        <v>Not scored</v>
      </c>
      <c r="G74" s="48" t="str">
        <f aca="false">IF(A_CDRRMO!L84="","",A_CDRRMO!L84)</f>
        <v/>
      </c>
      <c r="H74" s="49"/>
      <c r="I74" s="50"/>
      <c r="J74" s="49"/>
      <c r="K74" s="48" t="str">
        <f aca="false">A_CDRRMO!P84</f>
        <v>MOO Ch.8</v>
      </c>
      <c r="L74" s="50"/>
    </row>
    <row r="75" customFormat="false" ht="22.35" hidden="false" customHeight="false" outlineLevel="0" collapsed="false">
      <c r="A75" s="47" t="str">
        <f aca="false">A_CDRRMO!A85</f>
        <v>A9.4</v>
      </c>
      <c r="B75" s="48" t="str">
        <f aca="false">A_CDRRMO!C85</f>
        <v>Psychosocial and livelihood recovery services coordinated with CSWDO, CHO, PESO</v>
      </c>
      <c r="C75" s="47" t="str">
        <f aca="false">A_CDRRMO!E85</f>
        <v>GP</v>
      </c>
      <c r="D75" s="47" t="str">
        <f aca="false">IF(A_CDRRMO!I85="","",A_CDRRMO!I85)</f>
        <v/>
      </c>
      <c r="E75" s="47" t="str">
        <f aca="false">A_CDRRMO!N85</f>
        <v/>
      </c>
      <c r="F75" s="48" t="str">
        <f aca="false">A_CDRRMO!O85</f>
        <v>Not scored</v>
      </c>
      <c r="G75" s="48" t="str">
        <f aca="false">IF(A_CDRRMO!L85="","",A_CDRRMO!L85)</f>
        <v/>
      </c>
      <c r="H75" s="49"/>
      <c r="I75" s="50"/>
      <c r="J75" s="49"/>
      <c r="K75" s="48" t="str">
        <f aca="false">A_CDRRMO!P85</f>
        <v>MOO Ch.8</v>
      </c>
      <c r="L75" s="50"/>
    </row>
    <row r="76" customFormat="false" ht="32.8" hidden="false" customHeight="false" outlineLevel="0" collapsed="false">
      <c r="A76" s="47" t="str">
        <f aca="false">A_CDRRMO!A86</f>
        <v>A9.5</v>
      </c>
      <c r="B76" s="48" t="str">
        <f aca="false">A_CDRRMO!C86</f>
        <v>Pre-disaster recovery framework: roles, PDNA activation, temporary shelter, debris management and recovery fund sources agreed before an event</v>
      </c>
      <c r="C76" s="47" t="str">
        <f aca="false">A_CDRRMO!E86</f>
        <v>GP</v>
      </c>
      <c r="D76" s="47" t="str">
        <f aca="false">IF(A_CDRRMO!I86="","",A_CDRRMO!I86)</f>
        <v/>
      </c>
      <c r="E76" s="47" t="str">
        <f aca="false">A_CDRRMO!N86</f>
        <v/>
      </c>
      <c r="F76" s="48" t="str">
        <f aca="false">A_CDRRMO!O86</f>
        <v>Not scored</v>
      </c>
      <c r="G76" s="48" t="str">
        <f aca="false">IF(A_CDRRMO!L86="","",A_CDRRMO!L86)</f>
        <v/>
      </c>
      <c r="H76" s="49"/>
      <c r="I76" s="50"/>
      <c r="J76" s="49"/>
      <c r="K76" s="48" t="str">
        <f aca="false">A_CDRRMO!P86</f>
        <v>MOO Ch.8</v>
      </c>
      <c r="L76" s="50"/>
    </row>
    <row r="77" customFormat="false" ht="22.35" hidden="false" customHeight="false" outlineLevel="0" collapsed="false">
      <c r="A77" s="47" t="str">
        <f aca="false">A_CDRRMO!A88</f>
        <v>A10.1</v>
      </c>
      <c r="B77" s="48" t="str">
        <f aca="false">A_CDRRMO!C88</f>
        <v>MOAs/ mutual aid agreements with neighbouring LGUs (Kananga, Albuera, Merida, Isabel etc.) and Province of Leyte</v>
      </c>
      <c r="C77" s="47" t="str">
        <f aca="false">A_CDRRMO!E88</f>
        <v>GP</v>
      </c>
      <c r="D77" s="47" t="str">
        <f aca="false">IF(A_CDRRMO!I88="","",A_CDRRMO!I88)</f>
        <v/>
      </c>
      <c r="E77" s="47" t="str">
        <f aca="false">A_CDRRMO!N88</f>
        <v/>
      </c>
      <c r="F77" s="48" t="str">
        <f aca="false">A_CDRRMO!O88</f>
        <v>Not scored</v>
      </c>
      <c r="G77" s="48" t="str">
        <f aca="false">IF(A_CDRRMO!L88="","",A_CDRRMO!L88)</f>
        <v/>
      </c>
      <c r="H77" s="49"/>
      <c r="I77" s="50"/>
      <c r="J77" s="49"/>
      <c r="K77" s="48" t="str">
        <f aca="false">A_CDRRMO!P88</f>
        <v>MOO Ch.9 Partnerships / EOC Ch.6</v>
      </c>
      <c r="L77" s="50"/>
    </row>
    <row r="78" customFormat="false" ht="43.25" hidden="false" customHeight="false" outlineLevel="0" collapsed="false">
      <c r="A78" s="47" t="str">
        <f aca="false">A_CDRRMO!A89</f>
        <v>A10.2</v>
      </c>
      <c r="B78" s="48" t="str">
        <f aca="false">A_CDRRMO!C89</f>
        <v>Partnerships with CSOs, private sector (incl. energy/geothermal operators), academe and faith-based groups documented, with pre- and post-event roles defined and at least annual coordination meetings</v>
      </c>
      <c r="C78" s="47" t="str">
        <f aca="false">A_CDRRMO!E89</f>
        <v>GP</v>
      </c>
      <c r="D78" s="47" t="str">
        <f aca="false">IF(A_CDRRMO!I89="","",A_CDRRMO!I89)</f>
        <v/>
      </c>
      <c r="E78" s="47" t="str">
        <f aca="false">A_CDRRMO!N89</f>
        <v/>
      </c>
      <c r="F78" s="48" t="str">
        <f aca="false">A_CDRRMO!O89</f>
        <v>Not scored</v>
      </c>
      <c r="G78" s="48" t="str">
        <f aca="false">IF(A_CDRRMO!L89="","",A_CDRRMO!L89)</f>
        <v/>
      </c>
      <c r="H78" s="49"/>
      <c r="I78" s="50"/>
      <c r="J78" s="49"/>
      <c r="K78" s="48" t="str">
        <f aca="false">A_CDRRMO!P89</f>
        <v>MOO Ch.9</v>
      </c>
      <c r="L78" s="50"/>
    </row>
    <row r="79" customFormat="false" ht="22.35" hidden="false" customHeight="false" outlineLevel="0" collapsed="false">
      <c r="A79" s="47" t="str">
        <f aca="false">A_CDRRMO!A90</f>
        <v>A10.3</v>
      </c>
      <c r="B79" s="48" t="str">
        <f aca="false">A_CDRRMO!C90</f>
        <v>Regular reporting to OCD Region VIII/RDRRMC and DILG (SitReps, LDRRMF reports, Operation L!sto)</v>
      </c>
      <c r="C79" s="47" t="str">
        <f aca="false">A_CDRRMO!E90</f>
        <v>M</v>
      </c>
      <c r="D79" s="47" t="str">
        <f aca="false">IF(A_CDRRMO!I90="","",A_CDRRMO!I90)</f>
        <v/>
      </c>
      <c r="E79" s="47" t="str">
        <f aca="false">A_CDRRMO!N90</f>
        <v/>
      </c>
      <c r="F79" s="48" t="str">
        <f aca="false">A_CDRRMO!O90</f>
        <v>Not scored</v>
      </c>
      <c r="G79" s="48" t="str">
        <f aca="false">IF(A_CDRRMO!L90="","",A_CDRRMO!L90)</f>
        <v/>
      </c>
      <c r="H79" s="49"/>
      <c r="I79" s="50"/>
      <c r="J79" s="49"/>
      <c r="K79" s="48" t="str">
        <f aca="false">A_CDRRMO!P90</f>
        <v>MOO Ch.7 / EOC Ch.5</v>
      </c>
      <c r="L79" s="50"/>
    </row>
    <row r="80" customFormat="false" ht="22.35" hidden="false" customHeight="false" outlineLevel="0" collapsed="false">
      <c r="A80" s="47" t="str">
        <f aca="false">A_CDRRMO!A91</f>
        <v>A10.4</v>
      </c>
      <c r="B80" s="48" t="str">
        <f aca="false">A_CDRRMO!C91</f>
        <v>Monitoring &amp; evaluation framework for LDRRMP with indicators and annual review</v>
      </c>
      <c r="C80" s="47" t="str">
        <f aca="false">A_CDRRMO!E91</f>
        <v>M</v>
      </c>
      <c r="D80" s="47" t="str">
        <f aca="false">IF(A_CDRRMO!I91="","",A_CDRRMO!I91)</f>
        <v/>
      </c>
      <c r="E80" s="47" t="str">
        <f aca="false">A_CDRRMO!N91</f>
        <v/>
      </c>
      <c r="F80" s="48" t="str">
        <f aca="false">A_CDRRMO!O91</f>
        <v>Not scored</v>
      </c>
      <c r="G80" s="48" t="str">
        <f aca="false">IF(A_CDRRMO!L91="","",A_CDRRMO!L91)</f>
        <v/>
      </c>
      <c r="H80" s="49"/>
      <c r="I80" s="50"/>
      <c r="J80" s="49"/>
      <c r="K80" s="48" t="str">
        <f aca="false">A_CDRRMO!P91</f>
        <v>MOO Ch.7</v>
      </c>
      <c r="L80" s="50"/>
    </row>
    <row r="81" customFormat="false" ht="15" hidden="false" customHeight="false" outlineLevel="0" collapsed="false">
      <c r="A81" s="47" t="str">
        <f aca="false">A_CDRRMO!A92</f>
        <v>A10.5</v>
      </c>
      <c r="B81" s="48" t="str">
        <f aca="false">A_CDRRMO!C92</f>
        <v>Full Disclosure Policy: LDRRMF and utilization posted publicly</v>
      </c>
      <c r="C81" s="47" t="str">
        <f aca="false">A_CDRRMO!E92</f>
        <v>M</v>
      </c>
      <c r="D81" s="47" t="str">
        <f aca="false">IF(A_CDRRMO!I92="","",A_CDRRMO!I92)</f>
        <v/>
      </c>
      <c r="E81" s="47" t="str">
        <f aca="false">A_CDRRMO!N92</f>
        <v/>
      </c>
      <c r="F81" s="48" t="str">
        <f aca="false">A_CDRRMO!O92</f>
        <v>Not scored</v>
      </c>
      <c r="G81" s="48" t="str">
        <f aca="false">IF(A_CDRRMO!L92="","",A_CDRRMO!L92)</f>
        <v/>
      </c>
      <c r="H81" s="49"/>
      <c r="I81" s="50"/>
      <c r="J81" s="49"/>
      <c r="K81" s="48" t="str">
        <f aca="false">A_CDRRMO!P92</f>
        <v>MOO Ch.5</v>
      </c>
      <c r="L81" s="50"/>
    </row>
    <row r="82" customFormat="false" ht="22.35" hidden="false" customHeight="false" outlineLevel="0" collapsed="false">
      <c r="A82" s="47" t="str">
        <f aca="false">A_CDRRMO!A93</f>
        <v>A10.6</v>
      </c>
      <c r="B82" s="48" t="str">
        <f aca="false">A_CDRRMO!C93</f>
        <v>After-action reviews conducted after significant events and lessons integrated into plans</v>
      </c>
      <c r="C82" s="47" t="str">
        <f aca="false">A_CDRRMO!E93</f>
        <v>GP</v>
      </c>
      <c r="D82" s="47" t="str">
        <f aca="false">IF(A_CDRRMO!I93="","",A_CDRRMO!I93)</f>
        <v/>
      </c>
      <c r="E82" s="47" t="str">
        <f aca="false">A_CDRRMO!N93</f>
        <v/>
      </c>
      <c r="F82" s="48" t="str">
        <f aca="false">A_CDRRMO!O93</f>
        <v>Not scored</v>
      </c>
      <c r="G82" s="48" t="str">
        <f aca="false">IF(A_CDRRMO!L93="","",A_CDRRMO!L93)</f>
        <v/>
      </c>
      <c r="H82" s="49"/>
      <c r="I82" s="50"/>
      <c r="J82" s="49"/>
      <c r="K82" s="48" t="str">
        <f aca="false">A_CDRRMO!P93</f>
        <v>MOO Ch.7</v>
      </c>
      <c r="L82" s="50"/>
    </row>
    <row r="83" customFormat="false" ht="32.8" hidden="false" customHeight="false" outlineLevel="0" collapsed="false">
      <c r="A83" s="47" t="str">
        <f aca="false">A_CDRRMO!A94</f>
        <v>A10.7</v>
      </c>
      <c r="B83" s="48" t="str">
        <f aca="false">A_CDRRMO!C94</f>
        <v>Participation in performance recognition/assessment systems (Gawad KALASAG Seal, SGLG Disaster Preparedness) and gaps acted upon</v>
      </c>
      <c r="C83" s="47" t="str">
        <f aca="false">A_CDRRMO!E94</f>
        <v>GP</v>
      </c>
      <c r="D83" s="47" t="str">
        <f aca="false">IF(A_CDRRMO!I94="","",A_CDRRMO!I94)</f>
        <v/>
      </c>
      <c r="E83" s="47" t="str">
        <f aca="false">A_CDRRMO!N94</f>
        <v/>
      </c>
      <c r="F83" s="48" t="str">
        <f aca="false">A_CDRRMO!O94</f>
        <v>Not scored</v>
      </c>
      <c r="G83" s="48" t="str">
        <f aca="false">IF(A_CDRRMO!L94="","",A_CDRRMO!L94)</f>
        <v/>
      </c>
      <c r="H83" s="49"/>
      <c r="I83" s="50"/>
      <c r="J83" s="49"/>
      <c r="K83" s="48" t="str">
        <f aca="false">A_CDRRMO!P94</f>
        <v>MOO Ch.7</v>
      </c>
      <c r="L83" s="50"/>
    </row>
    <row r="84" customFormat="false" ht="43.25" hidden="false" customHeight="false" outlineLevel="0" collapsed="false">
      <c r="A84" s="47" t="str">
        <f aca="false">A_CDRRMO!A95</f>
        <v>A10.8</v>
      </c>
      <c r="B84" s="48" t="str">
        <f aca="false">A_CDRRMO!C95</f>
        <v>Post-declaration report within 45 days of lifting a State of Imminent Disaster (declaration status, AA fund utilization, estimated economic and social costs minimized); reporting route confirmed with OCD VIII</v>
      </c>
      <c r="C84" s="47" t="str">
        <f aca="false">A_CDRRMO!E95</f>
        <v>M</v>
      </c>
      <c r="D84" s="47" t="str">
        <f aca="false">IF(A_CDRRMO!I95="","",A_CDRRMO!I95)</f>
        <v/>
      </c>
      <c r="E84" s="47" t="str">
        <f aca="false">A_CDRRMO!N95</f>
        <v/>
      </c>
      <c r="F84" s="48" t="str">
        <f aca="false">A_CDRRMO!O95</f>
        <v>Not scored</v>
      </c>
      <c r="G84" s="48" t="str">
        <f aca="false">IF(A_CDRRMO!L95="","",A_CDRRMO!L95)</f>
        <v/>
      </c>
      <c r="H84" s="49"/>
      <c r="I84" s="50"/>
      <c r="J84" s="49"/>
      <c r="K84" s="48" t="str">
        <f aca="false">A_CDRRMO!P95</f>
        <v>MOO Ch.7 / EOC Ch.5</v>
      </c>
      <c r="L84" s="50"/>
    </row>
    <row r="85" customFormat="false" ht="22.35" hidden="false" customHeight="false" outlineLevel="0" collapsed="false">
      <c r="A85" s="47" t="str">
        <f aca="false">A_CDRRMO!A96</f>
        <v>A10.9</v>
      </c>
      <c r="B85" s="48" t="str">
        <f aca="false">A_CDRRMO!C96</f>
        <v>Structured learning from other LGUs and networks (exchanges, OCD forums, MCR2030), with resulting changes documented</v>
      </c>
      <c r="C85" s="47" t="str">
        <f aca="false">A_CDRRMO!E96</f>
        <v>GP</v>
      </c>
      <c r="D85" s="47" t="str">
        <f aca="false">IF(A_CDRRMO!I96="","",A_CDRRMO!I96)</f>
        <v/>
      </c>
      <c r="E85" s="47" t="str">
        <f aca="false">A_CDRRMO!N96</f>
        <v/>
      </c>
      <c r="F85" s="48" t="str">
        <f aca="false">A_CDRRMO!O96</f>
        <v>Not scored</v>
      </c>
      <c r="G85" s="48" t="str">
        <f aca="false">IF(A_CDRRMO!L96="","",A_CDRRMO!L96)</f>
        <v/>
      </c>
      <c r="H85" s="49"/>
      <c r="I85" s="50"/>
      <c r="J85" s="49"/>
      <c r="K85" s="48" t="str">
        <f aca="false">A_CDRRMO!P96</f>
        <v>MOO Ch.7</v>
      </c>
      <c r="L85" s="50"/>
    </row>
    <row r="86" customFormat="false" ht="22.35" hidden="false" customHeight="false" outlineLevel="0" collapsed="false">
      <c r="A86" s="47" t="str">
        <f aca="false">B_EOC!A6</f>
        <v>B1.1</v>
      </c>
      <c r="B86" s="48" t="str">
        <f aca="false">B_EOC!C6</f>
        <v>EOC established by EO/ordinance with defined mandate, authority and relationship to CDRRMC and ICS</v>
      </c>
      <c r="C86" s="47" t="str">
        <f aca="false">B_EOC!E6</f>
        <v>M</v>
      </c>
      <c r="D86" s="47" t="str">
        <f aca="false">IF(B_EOC!I6="","",B_EOC!I6)</f>
        <v/>
      </c>
      <c r="E86" s="47" t="str">
        <f aca="false">B_EOC!N6</f>
        <v/>
      </c>
      <c r="F86" s="48" t="str">
        <f aca="false">B_EOC!O6</f>
        <v>Not scored</v>
      </c>
      <c r="G86" s="48" t="str">
        <f aca="false">IF(B_EOC!L6="","",B_EOC!L6)</f>
        <v/>
      </c>
      <c r="H86" s="49"/>
      <c r="I86" s="50"/>
      <c r="J86" s="49"/>
      <c r="K86" s="48" t="str">
        <f aca="false">B_EOC!P6</f>
        <v>EOC Ch.1 Legal Basis</v>
      </c>
      <c r="L86" s="50"/>
    </row>
    <row r="87" customFormat="false" ht="32.8" hidden="false" customHeight="false" outlineLevel="0" collapsed="false">
      <c r="A87" s="47" t="str">
        <f aca="false">B_EOC!A7</f>
        <v>B1.2</v>
      </c>
      <c r="B87" s="48" t="str">
        <f aca="false">B_EOC!C7</f>
        <v>Alert/activation levels defined (e.g., White-normal, Blue-alert, Red-full activation) with hazard-based triggers and a defined EOC posture when a State of Imminent Disaster is declared</v>
      </c>
      <c r="C87" s="47" t="str">
        <f aca="false">B_EOC!E7</f>
        <v>M</v>
      </c>
      <c r="D87" s="47" t="str">
        <f aca="false">IF(B_EOC!I7="","",B_EOC!I7)</f>
        <v/>
      </c>
      <c r="E87" s="47" t="str">
        <f aca="false">B_EOC!N7</f>
        <v/>
      </c>
      <c r="F87" s="48" t="str">
        <f aca="false">B_EOC!O7</f>
        <v>Not scored</v>
      </c>
      <c r="G87" s="48" t="str">
        <f aca="false">IF(B_EOC!L7="","",B_EOC!L7)</f>
        <v/>
      </c>
      <c r="H87" s="49"/>
      <c r="I87" s="50"/>
      <c r="J87" s="49"/>
      <c r="K87" s="48" t="str">
        <f aca="false">B_EOC!P7</f>
        <v>EOC Ch.2 Concept of Operations</v>
      </c>
      <c r="L87" s="50"/>
    </row>
    <row r="88" customFormat="false" ht="22.35" hidden="false" customHeight="false" outlineLevel="0" collapsed="false">
      <c r="A88" s="47" t="str">
        <f aca="false">B_EOC!A8</f>
        <v>B1.3</v>
      </c>
      <c r="B88" s="48" t="str">
        <f aca="false">B_EOC!C8</f>
        <v>Activation, escalation, de-escalation and deactivation procedures with designated authority</v>
      </c>
      <c r="C88" s="47" t="str">
        <f aca="false">B_EOC!E8</f>
        <v>M</v>
      </c>
      <c r="D88" s="47" t="str">
        <f aca="false">IF(B_EOC!I8="","",B_EOC!I8)</f>
        <v/>
      </c>
      <c r="E88" s="47" t="str">
        <f aca="false">B_EOC!N8</f>
        <v/>
      </c>
      <c r="F88" s="48" t="str">
        <f aca="false">B_EOC!O8</f>
        <v>Not scored</v>
      </c>
      <c r="G88" s="48" t="str">
        <f aca="false">IF(B_EOC!L8="","",B_EOC!L8)</f>
        <v/>
      </c>
      <c r="H88" s="49"/>
      <c r="I88" s="50"/>
      <c r="J88" s="49"/>
      <c r="K88" s="48" t="str">
        <f aca="false">B_EOC!P8</f>
        <v>EOC Ch.2</v>
      </c>
      <c r="L88" s="50"/>
    </row>
    <row r="89" customFormat="false" ht="22.35" hidden="false" customHeight="false" outlineLevel="0" collapsed="false">
      <c r="A89" s="47" t="str">
        <f aca="false">B_EOC!A9</f>
        <v>B1.4</v>
      </c>
      <c r="B89" s="48" t="str">
        <f aca="false">B_EOC!C9</f>
        <v>Concept of operations documents EOC functions: coordination, information management, resource management, policy support</v>
      </c>
      <c r="C89" s="47" t="str">
        <f aca="false">B_EOC!E9</f>
        <v>M</v>
      </c>
      <c r="D89" s="47" t="str">
        <f aca="false">IF(B_EOC!I9="","",B_EOC!I9)</f>
        <v/>
      </c>
      <c r="E89" s="47" t="str">
        <f aca="false">B_EOC!N9</f>
        <v/>
      </c>
      <c r="F89" s="48" t="str">
        <f aca="false">B_EOC!O9</f>
        <v>Not scored</v>
      </c>
      <c r="G89" s="48" t="str">
        <f aca="false">IF(B_EOC!L9="","",B_EOC!L9)</f>
        <v/>
      </c>
      <c r="H89" s="49"/>
      <c r="I89" s="50"/>
      <c r="J89" s="49"/>
      <c r="K89" s="48" t="str">
        <f aca="false">B_EOC!P9</f>
        <v>EOC Ch.2</v>
      </c>
      <c r="L89" s="50"/>
    </row>
    <row r="90" customFormat="false" ht="22.35" hidden="false" customHeight="false" outlineLevel="0" collapsed="false">
      <c r="A90" s="47" t="str">
        <f aca="false">B_EOC!A10</f>
        <v>B1.5</v>
      </c>
      <c r="B90" s="48" t="str">
        <f aca="false">B_EOC!C10</f>
        <v>EOC linkage to Provincial (Leyte) and Regional (OCD VIII) EOCs defined</v>
      </c>
      <c r="C90" s="47" t="str">
        <f aca="false">B_EOC!E10</f>
        <v>M</v>
      </c>
      <c r="D90" s="47" t="str">
        <f aca="false">IF(B_EOC!I10="","",B_EOC!I10)</f>
        <v/>
      </c>
      <c r="E90" s="47" t="str">
        <f aca="false">B_EOC!N10</f>
        <v/>
      </c>
      <c r="F90" s="48" t="str">
        <f aca="false">B_EOC!O10</f>
        <v>Not scored</v>
      </c>
      <c r="G90" s="48" t="str">
        <f aca="false">IF(B_EOC!L10="","",B_EOC!L10)</f>
        <v/>
      </c>
      <c r="H90" s="49"/>
      <c r="I90" s="50"/>
      <c r="J90" s="49"/>
      <c r="K90" s="48" t="str">
        <f aca="false">B_EOC!P10</f>
        <v>EOC Ch.2</v>
      </c>
      <c r="L90" s="50"/>
    </row>
    <row r="91" customFormat="false" ht="22.35" hidden="false" customHeight="false" outlineLevel="0" collapsed="false">
      <c r="A91" s="47" t="str">
        <f aca="false">B_EOC!A12</f>
        <v>B2.1</v>
      </c>
      <c r="B91" s="48" t="str">
        <f aca="false">B_EOC!C12</f>
        <v>EOC site located outside high flood, landslide, tsunami and liquefaction zones (checked vs hazard maps)</v>
      </c>
      <c r="C91" s="47" t="str">
        <f aca="false">B_EOC!E12</f>
        <v>M</v>
      </c>
      <c r="D91" s="47" t="str">
        <f aca="false">IF(B_EOC!I12="","",B_EOC!I12)</f>
        <v/>
      </c>
      <c r="E91" s="47" t="str">
        <f aca="false">B_EOC!N12</f>
        <v/>
      </c>
      <c r="F91" s="48" t="str">
        <f aca="false">B_EOC!O12</f>
        <v>Not scored</v>
      </c>
      <c r="G91" s="48" t="str">
        <f aca="false">IF(B_EOC!L12="","",B_EOC!L12)</f>
        <v/>
      </c>
      <c r="H91" s="49"/>
      <c r="I91" s="50"/>
      <c r="J91" s="49"/>
      <c r="K91" s="48" t="str">
        <f aca="false">B_EOC!P12</f>
        <v>EOC Ch.3 Facility</v>
      </c>
      <c r="L91" s="50"/>
    </row>
    <row r="92" customFormat="false" ht="22.35" hidden="false" customHeight="false" outlineLevel="0" collapsed="false">
      <c r="A92" s="47" t="str">
        <f aca="false">B_EOC!A13</f>
        <v>B2.2</v>
      </c>
      <c r="B92" s="48" t="str">
        <f aca="false">B_EOC!C13</f>
        <v>Building structural integrity assessed (seismic - Philippine Fault proximity) and certified</v>
      </c>
      <c r="C92" s="47" t="str">
        <f aca="false">B_EOC!E13</f>
        <v>M</v>
      </c>
      <c r="D92" s="47" t="str">
        <f aca="false">IF(B_EOC!I13="","",B_EOC!I13)</f>
        <v/>
      </c>
      <c r="E92" s="47" t="str">
        <f aca="false">B_EOC!N13</f>
        <v/>
      </c>
      <c r="F92" s="48" t="str">
        <f aca="false">B_EOC!O13</f>
        <v>Not scored</v>
      </c>
      <c r="G92" s="48" t="str">
        <f aca="false">IF(B_EOC!L13="","",B_EOC!L13)</f>
        <v/>
      </c>
      <c r="H92" s="49"/>
      <c r="I92" s="50"/>
      <c r="J92" s="49"/>
      <c r="K92" s="48" t="str">
        <f aca="false">B_EOC!P13</f>
        <v>EOC Ch.3</v>
      </c>
      <c r="L92" s="50"/>
    </row>
    <row r="93" customFormat="false" ht="22.35" hidden="false" customHeight="false" outlineLevel="0" collapsed="false">
      <c r="A93" s="47" t="str">
        <f aca="false">B_EOC!A14</f>
        <v>B2.3</v>
      </c>
      <c r="B93" s="48" t="str">
        <f aca="false">B_EOC!C14</f>
        <v>Backup power (generator + fuel for &gt;=72 hours, UPS) tested regularly</v>
      </c>
      <c r="C93" s="47" t="str">
        <f aca="false">B_EOC!E14</f>
        <v>M</v>
      </c>
      <c r="D93" s="47" t="str">
        <f aca="false">IF(B_EOC!I14="","",B_EOC!I14)</f>
        <v/>
      </c>
      <c r="E93" s="47" t="str">
        <f aca="false">B_EOC!N14</f>
        <v/>
      </c>
      <c r="F93" s="48" t="str">
        <f aca="false">B_EOC!O14</f>
        <v>Not scored</v>
      </c>
      <c r="G93" s="48" t="str">
        <f aca="false">IF(B_EOC!L14="","",B_EOC!L14)</f>
        <v/>
      </c>
      <c r="H93" s="49"/>
      <c r="I93" s="50"/>
      <c r="J93" s="49"/>
      <c r="K93" s="48" t="str">
        <f aca="false">B_EOC!P14</f>
        <v>EOC Ch.3</v>
      </c>
      <c r="L93" s="50"/>
    </row>
    <row r="94" customFormat="false" ht="22.35" hidden="false" customHeight="false" outlineLevel="0" collapsed="false">
      <c r="A94" s="47" t="str">
        <f aca="false">B_EOC!A15</f>
        <v>B2.4</v>
      </c>
      <c r="B94" s="48" t="str">
        <f aca="false">B_EOC!C15</f>
        <v>Functional layout: operations floor, briefing/decision room, comms room, rest area, sanitation, kitchen</v>
      </c>
      <c r="C94" s="47" t="str">
        <f aca="false">B_EOC!E15</f>
        <v>GP</v>
      </c>
      <c r="D94" s="47" t="str">
        <f aca="false">IF(B_EOC!I15="","",B_EOC!I15)</f>
        <v/>
      </c>
      <c r="E94" s="47" t="str">
        <f aca="false">B_EOC!N15</f>
        <v/>
      </c>
      <c r="F94" s="48" t="str">
        <f aca="false">B_EOC!O15</f>
        <v>Not scored</v>
      </c>
      <c r="G94" s="48" t="str">
        <f aca="false">IF(B_EOC!L15="","",B_EOC!L15)</f>
        <v/>
      </c>
      <c r="H94" s="49"/>
      <c r="I94" s="50"/>
      <c r="J94" s="49"/>
      <c r="K94" s="48" t="str">
        <f aca="false">B_EOC!P15</f>
        <v>EOC Ch.3</v>
      </c>
      <c r="L94" s="50"/>
    </row>
    <row r="95" customFormat="false" ht="15" hidden="false" customHeight="false" outlineLevel="0" collapsed="false">
      <c r="A95" s="47" t="str">
        <f aca="false">B_EOC!A16</f>
        <v>B2.5</v>
      </c>
      <c r="B95" s="48" t="str">
        <f aca="false">B_EOC!C16</f>
        <v>Water, food and sanitation supplies for EOC staff for &gt;=72 hours</v>
      </c>
      <c r="C95" s="47" t="str">
        <f aca="false">B_EOC!E16</f>
        <v>GP</v>
      </c>
      <c r="D95" s="47" t="str">
        <f aca="false">IF(B_EOC!I16="","",B_EOC!I16)</f>
        <v/>
      </c>
      <c r="E95" s="47" t="str">
        <f aca="false">B_EOC!N16</f>
        <v/>
      </c>
      <c r="F95" s="48" t="str">
        <f aca="false">B_EOC!O16</f>
        <v>Not scored</v>
      </c>
      <c r="G95" s="48" t="str">
        <f aca="false">IF(B_EOC!L16="","",B_EOC!L16)</f>
        <v/>
      </c>
      <c r="H95" s="49"/>
      <c r="I95" s="50"/>
      <c r="J95" s="49"/>
      <c r="K95" s="48" t="str">
        <f aca="false">B_EOC!P16</f>
        <v>EOC Ch.3</v>
      </c>
      <c r="L95" s="50"/>
    </row>
    <row r="96" customFormat="false" ht="15" hidden="false" customHeight="false" outlineLevel="0" collapsed="false">
      <c r="A96" s="47" t="str">
        <f aca="false">B_EOC!A17</f>
        <v>B2.6</v>
      </c>
      <c r="B96" s="48" t="str">
        <f aca="false">B_EOC!C17</f>
        <v>Physical security and access control (ID, visitor log, CCTV)</v>
      </c>
      <c r="C96" s="47" t="str">
        <f aca="false">B_EOC!E17</f>
        <v>GP</v>
      </c>
      <c r="D96" s="47" t="str">
        <f aca="false">IF(B_EOC!I17="","",B_EOC!I17)</f>
        <v/>
      </c>
      <c r="E96" s="47" t="str">
        <f aca="false">B_EOC!N17</f>
        <v/>
      </c>
      <c r="F96" s="48" t="str">
        <f aca="false">B_EOC!O17</f>
        <v>Not scored</v>
      </c>
      <c r="G96" s="48" t="str">
        <f aca="false">IF(B_EOC!L17="","",B_EOC!L17)</f>
        <v/>
      </c>
      <c r="H96" s="49"/>
      <c r="I96" s="50"/>
      <c r="J96" s="49"/>
      <c r="K96" s="48" t="str">
        <f aca="false">B_EOC!P17</f>
        <v>EOC Ch.3</v>
      </c>
      <c r="L96" s="50"/>
    </row>
    <row r="97" customFormat="false" ht="22.35" hidden="false" customHeight="false" outlineLevel="0" collapsed="false">
      <c r="A97" s="47" t="str">
        <f aca="false">B_EOC!A18</f>
        <v>B2.7</v>
      </c>
      <c r="B97" s="48" t="str">
        <f aca="false">B_EOC!C18</f>
        <v>Designated and equipped alternate EOC with relocation procedure</v>
      </c>
      <c r="C97" s="47" t="str">
        <f aca="false">B_EOC!E18</f>
        <v>M</v>
      </c>
      <c r="D97" s="47" t="str">
        <f aca="false">IF(B_EOC!I18="","",B_EOC!I18)</f>
        <v/>
      </c>
      <c r="E97" s="47" t="str">
        <f aca="false">B_EOC!N18</f>
        <v/>
      </c>
      <c r="F97" s="48" t="str">
        <f aca="false">B_EOC!O18</f>
        <v>Not scored</v>
      </c>
      <c r="G97" s="48" t="str">
        <f aca="false">IF(B_EOC!L18="","",B_EOC!L18)</f>
        <v/>
      </c>
      <c r="H97" s="49"/>
      <c r="I97" s="50"/>
      <c r="J97" s="49"/>
      <c r="K97" s="48" t="str">
        <f aca="false">B_EOC!P18</f>
        <v>EOC Ch.3 / Ch.7</v>
      </c>
      <c r="L97" s="50"/>
    </row>
    <row r="98" customFormat="false" ht="22.35" hidden="false" customHeight="false" outlineLevel="0" collapsed="false">
      <c r="A98" s="47" t="str">
        <f aca="false">B_EOC!A20</f>
        <v>B3.1</v>
      </c>
      <c r="B98" s="48" t="str">
        <f aca="false">B_EOC!C20</f>
        <v>Redundant communications: VHF/UHF radio, HF, satellite phone, landline, mobile, internet (min. 3 independent channels)</v>
      </c>
      <c r="C98" s="47" t="str">
        <f aca="false">B_EOC!E20</f>
        <v>M</v>
      </c>
      <c r="D98" s="47" t="str">
        <f aca="false">IF(B_EOC!I20="","",B_EOC!I20)</f>
        <v/>
      </c>
      <c r="E98" s="47" t="str">
        <f aca="false">B_EOC!N20</f>
        <v/>
      </c>
      <c r="F98" s="48" t="str">
        <f aca="false">B_EOC!O20</f>
        <v>Not scored</v>
      </c>
      <c r="G98" s="48" t="str">
        <f aca="false">IF(B_EOC!L20="","",B_EOC!L20)</f>
        <v/>
      </c>
      <c r="H98" s="49"/>
      <c r="I98" s="50"/>
      <c r="J98" s="49"/>
      <c r="K98" s="48" t="str">
        <f aca="false">B_EOC!P20</f>
        <v>EOC Ch.4 Communications</v>
      </c>
      <c r="L98" s="50"/>
    </row>
    <row r="99" customFormat="false" ht="22.35" hidden="false" customHeight="false" outlineLevel="0" collapsed="false">
      <c r="A99" s="47" t="str">
        <f aca="false">B_EOC!A21</f>
        <v>B3.2</v>
      </c>
      <c r="B99" s="48" t="str">
        <f aca="false">B_EOC!C21</f>
        <v>Radio network covering all 85 barangays and responders, with call signs and net-control procedure</v>
      </c>
      <c r="C99" s="47" t="str">
        <f aca="false">B_EOC!E21</f>
        <v>M</v>
      </c>
      <c r="D99" s="47" t="str">
        <f aca="false">IF(B_EOC!I21="","",B_EOC!I21)</f>
        <v/>
      </c>
      <c r="E99" s="47" t="str">
        <f aca="false">B_EOC!N21</f>
        <v/>
      </c>
      <c r="F99" s="48" t="str">
        <f aca="false">B_EOC!O21</f>
        <v>Not scored</v>
      </c>
      <c r="G99" s="48" t="str">
        <f aca="false">IF(B_EOC!L21="","",B_EOC!L21)</f>
        <v/>
      </c>
      <c r="H99" s="49"/>
      <c r="I99" s="50"/>
      <c r="J99" s="49"/>
      <c r="K99" s="48" t="str">
        <f aca="false">B_EOC!P21</f>
        <v>EOC Ch.4</v>
      </c>
      <c r="L99" s="50"/>
    </row>
    <row r="100" customFormat="false" ht="22.35" hidden="false" customHeight="false" outlineLevel="0" collapsed="false">
      <c r="A100" s="47" t="str">
        <f aca="false">B_EOC!A22</f>
        <v>B3.3</v>
      </c>
      <c r="B100" s="48" t="str">
        <f aca="false">B_EOC!C22</f>
        <v>Backup internet (secondary ISP/satellite) and continuity of digital systems</v>
      </c>
      <c r="C100" s="47" t="str">
        <f aca="false">B_EOC!E22</f>
        <v>GP</v>
      </c>
      <c r="D100" s="47" t="str">
        <f aca="false">IF(B_EOC!I22="","",B_EOC!I22)</f>
        <v/>
      </c>
      <c r="E100" s="47" t="str">
        <f aca="false">B_EOC!N22</f>
        <v/>
      </c>
      <c r="F100" s="48" t="str">
        <f aca="false">B_EOC!O22</f>
        <v>Not scored</v>
      </c>
      <c r="G100" s="48" t="str">
        <f aca="false">IF(B_EOC!L22="","",B_EOC!L22)</f>
        <v/>
      </c>
      <c r="H100" s="49"/>
      <c r="I100" s="50"/>
      <c r="J100" s="49"/>
      <c r="K100" s="48" t="str">
        <f aca="false">B_EOC!P22</f>
        <v>EOC Ch.4</v>
      </c>
      <c r="L100" s="50"/>
    </row>
    <row r="101" customFormat="false" ht="22.35" hidden="false" customHeight="false" outlineLevel="0" collapsed="false">
      <c r="A101" s="47" t="str">
        <f aca="false">B_EOC!A23</f>
        <v>B3.4</v>
      </c>
      <c r="B101" s="48" t="str">
        <f aca="false">B_EOC!C23</f>
        <v>Communications plan/ directory (agencies, barangays, clusters) updated within last 6 months</v>
      </c>
      <c r="C101" s="47" t="str">
        <f aca="false">B_EOC!E23</f>
        <v>M</v>
      </c>
      <c r="D101" s="47" t="str">
        <f aca="false">IF(B_EOC!I23="","",B_EOC!I23)</f>
        <v/>
      </c>
      <c r="E101" s="47" t="str">
        <f aca="false">B_EOC!N23</f>
        <v/>
      </c>
      <c r="F101" s="48" t="str">
        <f aca="false">B_EOC!O23</f>
        <v>Not scored</v>
      </c>
      <c r="G101" s="48" t="str">
        <f aca="false">IF(B_EOC!L23="","",B_EOC!L23)</f>
        <v/>
      </c>
      <c r="H101" s="49"/>
      <c r="I101" s="50"/>
      <c r="J101" s="49"/>
      <c r="K101" s="48" t="str">
        <f aca="false">B_EOC!P23</f>
        <v>EOC Ch.4</v>
      </c>
      <c r="L101" s="50"/>
    </row>
    <row r="102" customFormat="false" ht="22.35" hidden="false" customHeight="false" outlineLevel="0" collapsed="false">
      <c r="A102" s="47" t="str">
        <f aca="false">B_EOC!A24</f>
        <v>B3.5</v>
      </c>
      <c r="B102" s="48" t="str">
        <f aca="false">B_EOC!C24</f>
        <v>Cybersecurity and information security measures for EOC systems</v>
      </c>
      <c r="C102" s="47" t="str">
        <f aca="false">B_EOC!E24</f>
        <v>GP</v>
      </c>
      <c r="D102" s="47" t="str">
        <f aca="false">IF(B_EOC!I24="","",B_EOC!I24)</f>
        <v/>
      </c>
      <c r="E102" s="47" t="str">
        <f aca="false">B_EOC!N24</f>
        <v/>
      </c>
      <c r="F102" s="48" t="str">
        <f aca="false">B_EOC!O24</f>
        <v>Not scored</v>
      </c>
      <c r="G102" s="48" t="str">
        <f aca="false">IF(B_EOC!L24="","",B_EOC!L24)</f>
        <v/>
      </c>
      <c r="H102" s="49"/>
      <c r="I102" s="50"/>
      <c r="J102" s="49"/>
      <c r="K102" s="48" t="str">
        <f aca="false">B_EOC!P24</f>
        <v>EOC Ch.4</v>
      </c>
      <c r="L102" s="50"/>
    </row>
    <row r="103" customFormat="false" ht="22.35" hidden="false" customHeight="false" outlineLevel="0" collapsed="false">
      <c r="A103" s="47" t="str">
        <f aca="false">B_EOC!A25</f>
        <v>B3.6</v>
      </c>
      <c r="B103" s="48" t="str">
        <f aca="false">B_EOC!C25</f>
        <v>Display and monitoring equipment (video wall/monitors, weather feeds, CCTV feeds)</v>
      </c>
      <c r="C103" s="47" t="str">
        <f aca="false">B_EOC!E25</f>
        <v>GP</v>
      </c>
      <c r="D103" s="47" t="str">
        <f aca="false">IF(B_EOC!I25="","",B_EOC!I25)</f>
        <v/>
      </c>
      <c r="E103" s="47" t="str">
        <f aca="false">B_EOC!N25</f>
        <v/>
      </c>
      <c r="F103" s="48" t="str">
        <f aca="false">B_EOC!O25</f>
        <v>Not scored</v>
      </c>
      <c r="G103" s="48" t="str">
        <f aca="false">IF(B_EOC!L25="","",B_EOC!L25)</f>
        <v/>
      </c>
      <c r="H103" s="49"/>
      <c r="I103" s="50"/>
      <c r="J103" s="49"/>
      <c r="K103" s="48" t="str">
        <f aca="false">B_EOC!P25</f>
        <v>EOC Ch.4</v>
      </c>
      <c r="L103" s="50"/>
    </row>
    <row r="104" customFormat="false" ht="32.8" hidden="false" customHeight="false" outlineLevel="0" collapsed="false">
      <c r="A104" s="47" t="str">
        <f aca="false">B_EOC!A27</f>
        <v>B4.1</v>
      </c>
      <c r="B104" s="48" t="str">
        <f aca="false">B_EOC!C27</f>
        <v>EOC organizational structure defined (EOC Manager, Operations, Planning/Information, Logistics, Admin/Finance, liaison desks)</v>
      </c>
      <c r="C104" s="47" t="str">
        <f aca="false">B_EOC!E27</f>
        <v>M</v>
      </c>
      <c r="D104" s="47" t="str">
        <f aca="false">IF(B_EOC!I27="","",B_EOC!I27)</f>
        <v/>
      </c>
      <c r="E104" s="47" t="str">
        <f aca="false">B_EOC!N27</f>
        <v/>
      </c>
      <c r="F104" s="48" t="str">
        <f aca="false">B_EOC!O27</f>
        <v>Not scored</v>
      </c>
      <c r="G104" s="48" t="str">
        <f aca="false">IF(B_EOC!L27="","",B_EOC!L27)</f>
        <v/>
      </c>
      <c r="H104" s="49"/>
      <c r="I104" s="50"/>
      <c r="J104" s="49"/>
      <c r="K104" s="48" t="str">
        <f aca="false">B_EOC!P27</f>
        <v>EOC Ch.5 Organization</v>
      </c>
      <c r="L104" s="50"/>
    </row>
    <row r="105" customFormat="false" ht="22.35" hidden="false" customHeight="false" outlineLevel="0" collapsed="false">
      <c r="A105" s="47" t="str">
        <f aca="false">B_EOC!A28</f>
        <v>B4.2</v>
      </c>
      <c r="B105" s="48" t="str">
        <f aca="false">B_EOC!C28</f>
        <v>Pre-designated EOC staff with alternates (at least 2 deep per key position)</v>
      </c>
      <c r="C105" s="47" t="str">
        <f aca="false">B_EOC!E28</f>
        <v>M</v>
      </c>
      <c r="D105" s="47" t="str">
        <f aca="false">IF(B_EOC!I28="","",B_EOC!I28)</f>
        <v/>
      </c>
      <c r="E105" s="47" t="str">
        <f aca="false">B_EOC!N28</f>
        <v/>
      </c>
      <c r="F105" s="48" t="str">
        <f aca="false">B_EOC!O28</f>
        <v>Not scored</v>
      </c>
      <c r="G105" s="48" t="str">
        <f aca="false">IF(B_EOC!L28="","",B_EOC!L28)</f>
        <v/>
      </c>
      <c r="H105" s="49"/>
      <c r="I105" s="50"/>
      <c r="J105" s="49"/>
      <c r="K105" s="48" t="str">
        <f aca="false">B_EOC!P28</f>
        <v>EOC Ch.5</v>
      </c>
      <c r="L105" s="50"/>
    </row>
    <row r="106" customFormat="false" ht="22.35" hidden="false" customHeight="false" outlineLevel="0" collapsed="false">
      <c r="A106" s="47" t="str">
        <f aca="false">B_EOC!A29</f>
        <v>B4.3</v>
      </c>
      <c r="B106" s="48" t="str">
        <f aca="false">B_EOC!C29</f>
        <v>Duty roster for sustained 24/7 operations with shift handover protocol</v>
      </c>
      <c r="C106" s="47" t="str">
        <f aca="false">B_EOC!E29</f>
        <v>M</v>
      </c>
      <c r="D106" s="47" t="str">
        <f aca="false">IF(B_EOC!I29="","",B_EOC!I29)</f>
        <v/>
      </c>
      <c r="E106" s="47" t="str">
        <f aca="false">B_EOC!N29</f>
        <v/>
      </c>
      <c r="F106" s="48" t="str">
        <f aca="false">B_EOC!O29</f>
        <v>Not scored</v>
      </c>
      <c r="G106" s="48" t="str">
        <f aca="false">IF(B_EOC!L29="","",B_EOC!L29)</f>
        <v/>
      </c>
      <c r="H106" s="49"/>
      <c r="I106" s="50"/>
      <c r="J106" s="49"/>
      <c r="K106" s="48" t="str">
        <f aca="false">B_EOC!P29</f>
        <v>EOC Ch.5</v>
      </c>
      <c r="L106" s="50"/>
    </row>
    <row r="107" customFormat="false" ht="22.35" hidden="false" customHeight="false" outlineLevel="0" collapsed="false">
      <c r="A107" s="47" t="str">
        <f aca="false">B_EOC!A30</f>
        <v>B4.4</v>
      </c>
      <c r="B107" s="48" t="str">
        <f aca="false">B_EOC!C30</f>
        <v>Agency/cluster liaison desks identified (CSWDO, CHO, CEO, PNP, BFP, AFP, DepEd, utilities, Red Cross)</v>
      </c>
      <c r="C107" s="47" t="str">
        <f aca="false">B_EOC!E30</f>
        <v>M</v>
      </c>
      <c r="D107" s="47" t="str">
        <f aca="false">IF(B_EOC!I30="","",B_EOC!I30)</f>
        <v/>
      </c>
      <c r="E107" s="47" t="str">
        <f aca="false">B_EOC!N30</f>
        <v/>
      </c>
      <c r="F107" s="48" t="str">
        <f aca="false">B_EOC!O30</f>
        <v>Not scored</v>
      </c>
      <c r="G107" s="48" t="str">
        <f aca="false">IF(B_EOC!L30="","",B_EOC!L30)</f>
        <v/>
      </c>
      <c r="H107" s="49"/>
      <c r="I107" s="50"/>
      <c r="J107" s="49"/>
      <c r="K107" s="48" t="str">
        <f aca="false">B_EOC!P30</f>
        <v>EOC Ch.5</v>
      </c>
      <c r="L107" s="50"/>
    </row>
    <row r="108" customFormat="false" ht="15" hidden="false" customHeight="false" outlineLevel="0" collapsed="false">
      <c r="A108" s="47" t="str">
        <f aca="false">B_EOC!A31</f>
        <v>B4.5</v>
      </c>
      <c r="B108" s="48" t="str">
        <f aca="false">B_EOC!C31</f>
        <v>Position checklists/job action sheets for each EOC role</v>
      </c>
      <c r="C108" s="47" t="str">
        <f aca="false">B_EOC!E31</f>
        <v>GP</v>
      </c>
      <c r="D108" s="47" t="str">
        <f aca="false">IF(B_EOC!I31="","",B_EOC!I31)</f>
        <v/>
      </c>
      <c r="E108" s="47" t="str">
        <f aca="false">B_EOC!N31</f>
        <v/>
      </c>
      <c r="F108" s="48" t="str">
        <f aca="false">B_EOC!O31</f>
        <v>Not scored</v>
      </c>
      <c r="G108" s="48" t="str">
        <f aca="false">IF(B_EOC!L31="","",B_EOC!L31)</f>
        <v/>
      </c>
      <c r="H108" s="49"/>
      <c r="I108" s="50"/>
      <c r="J108" s="49"/>
      <c r="K108" s="48" t="str">
        <f aca="false">B_EOC!P31</f>
        <v>EOC Ch.5</v>
      </c>
      <c r="L108" s="50"/>
    </row>
    <row r="109" customFormat="false" ht="22.35" hidden="false" customHeight="false" outlineLevel="0" collapsed="false">
      <c r="A109" s="47" t="str">
        <f aca="false">B_EOC!A32</f>
        <v>B4.6</v>
      </c>
      <c r="B109" s="48" t="str">
        <f aca="false">B_EOC!C32</f>
        <v>Responder welfare in EOC: rest cycles, meals, MHPSS, family support</v>
      </c>
      <c r="C109" s="47" t="str">
        <f aca="false">B_EOC!E32</f>
        <v>GP</v>
      </c>
      <c r="D109" s="47" t="str">
        <f aca="false">IF(B_EOC!I32="","",B_EOC!I32)</f>
        <v/>
      </c>
      <c r="E109" s="47" t="str">
        <f aca="false">B_EOC!N32</f>
        <v/>
      </c>
      <c r="F109" s="48" t="str">
        <f aca="false">B_EOC!O32</f>
        <v>Not scored</v>
      </c>
      <c r="G109" s="48" t="str">
        <f aca="false">IF(B_EOC!L32="","",B_EOC!L32)</f>
        <v/>
      </c>
      <c r="H109" s="49"/>
      <c r="I109" s="50"/>
      <c r="J109" s="49"/>
      <c r="K109" s="48" t="str">
        <f aca="false">B_EOC!P32</f>
        <v>EOC Ch.5</v>
      </c>
      <c r="L109" s="50"/>
    </row>
    <row r="110" customFormat="false" ht="22.35" hidden="false" customHeight="false" outlineLevel="0" collapsed="false">
      <c r="A110" s="47" t="str">
        <f aca="false">B_EOC!A34</f>
        <v>B5.1</v>
      </c>
      <c r="B110" s="48" t="str">
        <f aca="false">B_EOC!C34</f>
        <v>Standard SitRep/ Report templates aligned with NDRRMC/OCD formats and fixed reporting schedule</v>
      </c>
      <c r="C110" s="47" t="str">
        <f aca="false">B_EOC!E34</f>
        <v>M</v>
      </c>
      <c r="D110" s="47" t="str">
        <f aca="false">IF(B_EOC!I34="","",B_EOC!I34)</f>
        <v/>
      </c>
      <c r="E110" s="47" t="str">
        <f aca="false">B_EOC!N34</f>
        <v/>
      </c>
      <c r="F110" s="48" t="str">
        <f aca="false">B_EOC!O34</f>
        <v>Not scored</v>
      </c>
      <c r="G110" s="48" t="str">
        <f aca="false">IF(B_EOC!L34="","",B_EOC!L34)</f>
        <v/>
      </c>
      <c r="H110" s="49"/>
      <c r="I110" s="50"/>
      <c r="J110" s="49"/>
      <c r="K110" s="48" t="str">
        <f aca="false">B_EOC!P34</f>
        <v>EOC Ch.6 Information Mgmt</v>
      </c>
      <c r="L110" s="50"/>
    </row>
    <row r="111" customFormat="false" ht="22.35" hidden="false" customHeight="false" outlineLevel="0" collapsed="false">
      <c r="A111" s="47" t="str">
        <f aca="false">B_EOC!A35</f>
        <v>B5.2</v>
      </c>
      <c r="B111" s="48" t="str">
        <f aca="false">B_EOC!C35</f>
        <v>Barangay-to-city reporting flow (BDRRMC -&gt; EOC) with defined timelines and formats</v>
      </c>
      <c r="C111" s="47" t="str">
        <f aca="false">B_EOC!E35</f>
        <v>M</v>
      </c>
      <c r="D111" s="47" t="str">
        <f aca="false">IF(B_EOC!I35="","",B_EOC!I35)</f>
        <v/>
      </c>
      <c r="E111" s="47" t="str">
        <f aca="false">B_EOC!N35</f>
        <v/>
      </c>
      <c r="F111" s="48" t="str">
        <f aca="false">B_EOC!O35</f>
        <v>Not scored</v>
      </c>
      <c r="G111" s="48" t="str">
        <f aca="false">IF(B_EOC!L35="","",B_EOC!L35)</f>
        <v/>
      </c>
      <c r="H111" s="49"/>
      <c r="I111" s="50"/>
      <c r="J111" s="49"/>
      <c r="K111" s="48" t="str">
        <f aca="false">B_EOC!P35</f>
        <v>EOC Ch.6</v>
      </c>
      <c r="L111" s="50"/>
    </row>
    <row r="112" customFormat="false" ht="22.35" hidden="false" customHeight="false" outlineLevel="0" collapsed="false">
      <c r="A112" s="47" t="str">
        <f aca="false">B_EOC!A36</f>
        <v>B5.3</v>
      </c>
      <c r="B112" s="48" t="str">
        <f aca="false">B_EOC!C36</f>
        <v>Common Operating Picture maintained (dashboard/ GIS map of incidents, evacuees, resources)</v>
      </c>
      <c r="C112" s="47" t="str">
        <f aca="false">B_EOC!E36</f>
        <v>GP</v>
      </c>
      <c r="D112" s="47" t="str">
        <f aca="false">IF(B_EOC!I36="","",B_EOC!I36)</f>
        <v/>
      </c>
      <c r="E112" s="47" t="str">
        <f aca="false">B_EOC!N36</f>
        <v/>
      </c>
      <c r="F112" s="48" t="str">
        <f aca="false">B_EOC!O36</f>
        <v>Not scored</v>
      </c>
      <c r="G112" s="48" t="str">
        <f aca="false">IF(B_EOC!L36="","",B_EOC!L36)</f>
        <v/>
      </c>
      <c r="H112" s="49"/>
      <c r="I112" s="50"/>
      <c r="J112" s="49"/>
      <c r="K112" s="48" t="str">
        <f aca="false">B_EOC!P36</f>
        <v>EOC Ch.6</v>
      </c>
      <c r="L112" s="50"/>
    </row>
    <row r="113" customFormat="false" ht="22.35" hidden="false" customHeight="false" outlineLevel="0" collapsed="false">
      <c r="A113" s="47" t="str">
        <f aca="false">B_EOC!A37</f>
        <v>B5.4</v>
      </c>
      <c r="B113" s="48" t="str">
        <f aca="false">B_EOC!C37</f>
        <v>Evacuation center and affected-family tracking (DAFAC/ registration) feeds EOC data</v>
      </c>
      <c r="C113" s="47" t="str">
        <f aca="false">B_EOC!E37</f>
        <v>M</v>
      </c>
      <c r="D113" s="47" t="str">
        <f aca="false">IF(B_EOC!I37="","",B_EOC!I37)</f>
        <v/>
      </c>
      <c r="E113" s="47" t="str">
        <f aca="false">B_EOC!N37</f>
        <v/>
      </c>
      <c r="F113" s="48" t="str">
        <f aca="false">B_EOC!O37</f>
        <v>Not scored</v>
      </c>
      <c r="G113" s="48" t="str">
        <f aca="false">IF(B_EOC!L37="","",B_EOC!L37)</f>
        <v/>
      </c>
      <c r="H113" s="49"/>
      <c r="I113" s="50"/>
      <c r="J113" s="49"/>
      <c r="K113" s="48" t="str">
        <f aca="false">B_EOC!P37</f>
        <v>EOC Ch.6</v>
      </c>
      <c r="L113" s="50"/>
    </row>
    <row r="114" customFormat="false" ht="15" hidden="false" customHeight="false" outlineLevel="0" collapsed="false">
      <c r="A114" s="47" t="str">
        <f aca="false">B_EOC!A38</f>
        <v>B5.5</v>
      </c>
      <c r="B114" s="48" t="str">
        <f aca="false">B_EOC!C38</f>
        <v>EOC logbook/ significant events log and document retention</v>
      </c>
      <c r="C114" s="47" t="str">
        <f aca="false">B_EOC!E38</f>
        <v>M</v>
      </c>
      <c r="D114" s="47" t="str">
        <f aca="false">IF(B_EOC!I38="","",B_EOC!I38)</f>
        <v/>
      </c>
      <c r="E114" s="47" t="str">
        <f aca="false">B_EOC!N38</f>
        <v/>
      </c>
      <c r="F114" s="48" t="str">
        <f aca="false">B_EOC!O38</f>
        <v>Not scored</v>
      </c>
      <c r="G114" s="48" t="str">
        <f aca="false">IF(B_EOC!L38="","",B_EOC!L38)</f>
        <v/>
      </c>
      <c r="H114" s="49"/>
      <c r="I114" s="50"/>
      <c r="J114" s="49"/>
      <c r="K114" s="48" t="str">
        <f aca="false">B_EOC!P38</f>
        <v>EOC Ch.6</v>
      </c>
      <c r="L114" s="50"/>
    </row>
    <row r="115" customFormat="false" ht="22.35" hidden="false" customHeight="false" outlineLevel="0" collapsed="false">
      <c r="A115" s="47" t="str">
        <f aca="false">B_EOC!A39</f>
        <v>B5.6</v>
      </c>
      <c r="B115" s="48" t="str">
        <f aca="false">B_EOC!C39</f>
        <v>Weather/hazard monitoring routine (PAGASA, PHIVOLCS feeds) with bulletins logged and disseminated</v>
      </c>
      <c r="C115" s="47" t="str">
        <f aca="false">B_EOC!E39</f>
        <v>M</v>
      </c>
      <c r="D115" s="47" t="str">
        <f aca="false">IF(B_EOC!I39="","",B_EOC!I39)</f>
        <v/>
      </c>
      <c r="E115" s="47" t="str">
        <f aca="false">B_EOC!N39</f>
        <v/>
      </c>
      <c r="F115" s="48" t="str">
        <f aca="false">B_EOC!O39</f>
        <v>Not scored</v>
      </c>
      <c r="G115" s="48" t="str">
        <f aca="false">IF(B_EOC!L39="","",B_EOC!L39)</f>
        <v/>
      </c>
      <c r="H115" s="49"/>
      <c r="I115" s="50"/>
      <c r="J115" s="49"/>
      <c r="K115" s="48" t="str">
        <f aca="false">B_EOC!P39</f>
        <v>EOC Ch.6</v>
      </c>
      <c r="L115" s="50"/>
    </row>
    <row r="116" customFormat="false" ht="22.35" hidden="false" customHeight="false" outlineLevel="0" collapsed="false">
      <c r="A116" s="47" t="str">
        <f aca="false">B_EOC!A40</f>
        <v>B5.7</v>
      </c>
      <c r="B116" s="48" t="str">
        <f aca="false">B_EOC!C40</f>
        <v>Inbound citizen reporting (hotline, SMS, social media) feeds the common operating picture after a verification step</v>
      </c>
      <c r="C116" s="47" t="str">
        <f aca="false">B_EOC!E40</f>
        <v>GP</v>
      </c>
      <c r="D116" s="47" t="str">
        <f aca="false">IF(B_EOC!I40="","",B_EOC!I40)</f>
        <v/>
      </c>
      <c r="E116" s="47" t="str">
        <f aca="false">B_EOC!N40</f>
        <v/>
      </c>
      <c r="F116" s="48" t="str">
        <f aca="false">B_EOC!O40</f>
        <v>Not scored</v>
      </c>
      <c r="G116" s="48" t="str">
        <f aca="false">IF(B_EOC!L40="","",B_EOC!L40)</f>
        <v/>
      </c>
      <c r="H116" s="49"/>
      <c r="I116" s="50"/>
      <c r="J116" s="49"/>
      <c r="K116" s="48" t="str">
        <f aca="false">B_EOC!P40</f>
        <v>EOC Ch.6</v>
      </c>
      <c r="L116" s="50"/>
    </row>
    <row r="117" customFormat="false" ht="22.35" hidden="false" customHeight="false" outlineLevel="0" collapsed="false">
      <c r="A117" s="47" t="str">
        <f aca="false">B_EOC!A42</f>
        <v>B6.1</v>
      </c>
      <c r="B117" s="48" t="str">
        <f aca="false">B_EOC!C42</f>
        <v>ICS-EOC interface defined: EOC supports Incident Commander(s); no duplication of command</v>
      </c>
      <c r="C117" s="47" t="str">
        <f aca="false">B_EOC!E42</f>
        <v>M</v>
      </c>
      <c r="D117" s="47" t="str">
        <f aca="false">IF(B_EOC!I42="","",B_EOC!I42)</f>
        <v/>
      </c>
      <c r="E117" s="47" t="str">
        <f aca="false">B_EOC!N42</f>
        <v/>
      </c>
      <c r="F117" s="48" t="str">
        <f aca="false">B_EOC!O42</f>
        <v>Not scored</v>
      </c>
      <c r="G117" s="48" t="str">
        <f aca="false">IF(B_EOC!L42="","",B_EOC!L42)</f>
        <v/>
      </c>
      <c r="H117" s="49"/>
      <c r="I117" s="50"/>
      <c r="J117" s="49"/>
      <c r="K117" s="48" t="str">
        <f aca="false">B_EOC!P42</f>
        <v>EOC Ch.7 Coordination</v>
      </c>
      <c r="L117" s="50"/>
    </row>
    <row r="118" customFormat="false" ht="22.35" hidden="false" customHeight="false" outlineLevel="0" collapsed="false">
      <c r="A118" s="47" t="str">
        <f aca="false">B_EOC!A43</f>
        <v>B6.2</v>
      </c>
      <c r="B118" s="48" t="str">
        <f aca="false">B_EOC!C43</f>
        <v>Resource management system: request, tracking, mobilization and demobilization of resources</v>
      </c>
      <c r="C118" s="47" t="str">
        <f aca="false">B_EOC!E43</f>
        <v>M</v>
      </c>
      <c r="D118" s="47" t="str">
        <f aca="false">IF(B_EOC!I43="","",B_EOC!I43)</f>
        <v/>
      </c>
      <c r="E118" s="47" t="str">
        <f aca="false">B_EOC!N43</f>
        <v/>
      </c>
      <c r="F118" s="48" t="str">
        <f aca="false">B_EOC!O43</f>
        <v>Not scored</v>
      </c>
      <c r="G118" s="48" t="str">
        <f aca="false">IF(B_EOC!L43="","",B_EOC!L43)</f>
        <v/>
      </c>
      <c r="H118" s="49"/>
      <c r="I118" s="50"/>
      <c r="J118" s="49"/>
      <c r="K118" s="48" t="str">
        <f aca="false">B_EOC!P43</f>
        <v>EOC Ch.7</v>
      </c>
      <c r="L118" s="50"/>
    </row>
    <row r="119" customFormat="false" ht="22.35" hidden="false" customHeight="false" outlineLevel="0" collapsed="false">
      <c r="A119" s="47" t="str">
        <f aca="false">B_EOC!A44</f>
        <v>B6.3</v>
      </c>
      <c r="B119" s="48" t="str">
        <f aca="false">B_EOC!C44</f>
        <v>Resource inventory (city, barangays, partners, private sector) accessible from EOC</v>
      </c>
      <c r="C119" s="47" t="str">
        <f aca="false">B_EOC!E44</f>
        <v>M</v>
      </c>
      <c r="D119" s="47" t="str">
        <f aca="false">IF(B_EOC!I44="","",B_EOC!I44)</f>
        <v/>
      </c>
      <c r="E119" s="47" t="str">
        <f aca="false">B_EOC!N44</f>
        <v/>
      </c>
      <c r="F119" s="48" t="str">
        <f aca="false">B_EOC!O44</f>
        <v>Not scored</v>
      </c>
      <c r="G119" s="48" t="str">
        <f aca="false">IF(B_EOC!L44="","",B_EOC!L44)</f>
        <v/>
      </c>
      <c r="H119" s="49"/>
      <c r="I119" s="50"/>
      <c r="J119" s="49"/>
      <c r="K119" s="48" t="str">
        <f aca="false">B_EOC!P44</f>
        <v>EOC Ch.7</v>
      </c>
      <c r="L119" s="50"/>
    </row>
    <row r="120" customFormat="false" ht="22.35" hidden="false" customHeight="false" outlineLevel="0" collapsed="false">
      <c r="A120" s="47" t="str">
        <f aca="false">B_EOC!A45</f>
        <v>B6.4</v>
      </c>
      <c r="B120" s="48" t="str">
        <f aca="false">B_EOC!C45</f>
        <v>Procedures for receiving and managing external assistance/ donations and volunteers</v>
      </c>
      <c r="C120" s="47" t="str">
        <f aca="false">B_EOC!E45</f>
        <v>GP</v>
      </c>
      <c r="D120" s="47" t="str">
        <f aca="false">IF(B_EOC!I45="","",B_EOC!I45)</f>
        <v/>
      </c>
      <c r="E120" s="47" t="str">
        <f aca="false">B_EOC!N45</f>
        <v/>
      </c>
      <c r="F120" s="48" t="str">
        <f aca="false">B_EOC!O45</f>
        <v>Not scored</v>
      </c>
      <c r="G120" s="48" t="str">
        <f aca="false">IF(B_EOC!L45="","",B_EOC!L45)</f>
        <v/>
      </c>
      <c r="H120" s="49"/>
      <c r="I120" s="50"/>
      <c r="J120" s="49"/>
      <c r="K120" s="48" t="str">
        <f aca="false">B_EOC!P45</f>
        <v>EOC Ch.7</v>
      </c>
      <c r="L120" s="50"/>
    </row>
    <row r="121" customFormat="false" ht="22.35" hidden="false" customHeight="false" outlineLevel="0" collapsed="false">
      <c r="A121" s="47" t="str">
        <f aca="false">B_EOC!A46</f>
        <v>B6.5</v>
      </c>
      <c r="B121" s="48" t="str">
        <f aca="false">B_EOC!C46</f>
        <v>Decision-support briefings to CDRRMC/Mayor at fixed intervals during activation</v>
      </c>
      <c r="C121" s="47" t="str">
        <f aca="false">B_EOC!E46</f>
        <v>GP</v>
      </c>
      <c r="D121" s="47" t="str">
        <f aca="false">IF(B_EOC!I46="","",B_EOC!I46)</f>
        <v/>
      </c>
      <c r="E121" s="47" t="str">
        <f aca="false">B_EOC!N46</f>
        <v/>
      </c>
      <c r="F121" s="48" t="str">
        <f aca="false">B_EOC!O46</f>
        <v>Not scored</v>
      </c>
      <c r="G121" s="48" t="str">
        <f aca="false">IF(B_EOC!L46="","",B_EOC!L46)</f>
        <v/>
      </c>
      <c r="H121" s="49"/>
      <c r="I121" s="50"/>
      <c r="J121" s="49"/>
      <c r="K121" s="48" t="str">
        <f aca="false">B_EOC!P46</f>
        <v>EOC Ch.7</v>
      </c>
      <c r="L121" s="50"/>
    </row>
    <row r="122" customFormat="false" ht="43.25" hidden="false" customHeight="false" outlineLevel="0" collapsed="false">
      <c r="A122" s="47" t="str">
        <f aca="false">B_EOC!A47</f>
        <v>B6.6</v>
      </c>
      <c r="B122" s="48" t="str">
        <f aca="false">B_EOC!C47</f>
        <v>Pre-arranged resource commitments from partners and suppliers set out by item, quantity, activation trigger and contact in signed agreements (incl. supplier agreements tapped for anticipatory action)</v>
      </c>
      <c r="C122" s="47" t="str">
        <f aca="false">B_EOC!E47</f>
        <v>GP</v>
      </c>
      <c r="D122" s="47" t="str">
        <f aca="false">IF(B_EOC!I47="","",B_EOC!I47)</f>
        <v/>
      </c>
      <c r="E122" s="47" t="str">
        <f aca="false">B_EOC!N47</f>
        <v/>
      </c>
      <c r="F122" s="48" t="str">
        <f aca="false">B_EOC!O47</f>
        <v>Not scored</v>
      </c>
      <c r="G122" s="48" t="str">
        <f aca="false">IF(B_EOC!L47="","",B_EOC!L47)</f>
        <v/>
      </c>
      <c r="H122" s="49"/>
      <c r="I122" s="50"/>
      <c r="J122" s="49"/>
      <c r="K122" s="48" t="str">
        <f aca="false">B_EOC!P47</f>
        <v>EOC Ch.7</v>
      </c>
      <c r="L122" s="50"/>
    </row>
    <row r="123" customFormat="false" ht="22.35" hidden="false" customHeight="false" outlineLevel="0" collapsed="false">
      <c r="A123" s="47" t="str">
        <f aca="false">B_EOC!A49</f>
        <v>B7.1</v>
      </c>
      <c r="B123" s="48" t="str">
        <f aca="false">B_EOC!C49</f>
        <v>Written EOC SOPs/ Manual approved and disseminated to all EOC staff</v>
      </c>
      <c r="C123" s="47" t="str">
        <f aca="false">B_EOC!E49</f>
        <v>M</v>
      </c>
      <c r="D123" s="47" t="str">
        <f aca="false">IF(B_EOC!I49="","",B_EOC!I49)</f>
        <v/>
      </c>
      <c r="E123" s="47" t="str">
        <f aca="false">B_EOC!N49</f>
        <v/>
      </c>
      <c r="F123" s="48" t="str">
        <f aca="false">B_EOC!O49</f>
        <v>Not scored</v>
      </c>
      <c r="G123" s="48" t="str">
        <f aca="false">IF(B_EOC!L49="","",B_EOC!L49)</f>
        <v/>
      </c>
      <c r="H123" s="49"/>
      <c r="I123" s="50"/>
      <c r="J123" s="49"/>
      <c r="K123" s="48" t="str">
        <f aca="false">B_EOC!P49</f>
        <v>EOC Manual (whole)</v>
      </c>
      <c r="L123" s="50"/>
    </row>
    <row r="124" customFormat="false" ht="22.35" hidden="false" customHeight="false" outlineLevel="0" collapsed="false">
      <c r="A124" s="47" t="str">
        <f aca="false">B_EOC!A50</f>
        <v>B7.2</v>
      </c>
      <c r="B124" s="48" t="str">
        <f aca="false">B_EOC!C50</f>
        <v>EOC staff trained (EOC operations course, ICS, IM) with records</v>
      </c>
      <c r="C124" s="47" t="str">
        <f aca="false">B_EOC!E50</f>
        <v>M</v>
      </c>
      <c r="D124" s="47" t="str">
        <f aca="false">IF(B_EOC!I50="","",B_EOC!I50)</f>
        <v/>
      </c>
      <c r="E124" s="47" t="str">
        <f aca="false">B_EOC!N50</f>
        <v/>
      </c>
      <c r="F124" s="48" t="str">
        <f aca="false">B_EOC!O50</f>
        <v>Not scored</v>
      </c>
      <c r="G124" s="48" t="str">
        <f aca="false">IF(B_EOC!L50="","",B_EOC!L50)</f>
        <v/>
      </c>
      <c r="H124" s="49"/>
      <c r="I124" s="50"/>
      <c r="J124" s="49"/>
      <c r="K124" s="48" t="str">
        <f aca="false">B_EOC!P50</f>
        <v>EOC Ch.8 Training &amp; Exercises</v>
      </c>
      <c r="L124" s="50"/>
    </row>
    <row r="125" customFormat="false" ht="22.35" hidden="false" customHeight="false" outlineLevel="0" collapsed="false">
      <c r="A125" s="47" t="str">
        <f aca="false">B_EOC!A51</f>
        <v>B7.3</v>
      </c>
      <c r="B125" s="48" t="str">
        <f aca="false">B_EOC!C51</f>
        <v>Annual exercise program (tabletop, functional, full-scale) testing EOC activation</v>
      </c>
      <c r="C125" s="47" t="str">
        <f aca="false">B_EOC!E51</f>
        <v>M</v>
      </c>
      <c r="D125" s="47" t="str">
        <f aca="false">IF(B_EOC!I51="","",B_EOC!I51)</f>
        <v/>
      </c>
      <c r="E125" s="47" t="str">
        <f aca="false">B_EOC!N51</f>
        <v/>
      </c>
      <c r="F125" s="48" t="str">
        <f aca="false">B_EOC!O51</f>
        <v>Not scored</v>
      </c>
      <c r="G125" s="48" t="str">
        <f aca="false">IF(B_EOC!L51="","",B_EOC!L51)</f>
        <v/>
      </c>
      <c r="H125" s="49"/>
      <c r="I125" s="50"/>
      <c r="J125" s="49"/>
      <c r="K125" s="48" t="str">
        <f aca="false">B_EOC!P51</f>
        <v>EOC Ch.8</v>
      </c>
      <c r="L125" s="50"/>
    </row>
    <row r="126" customFormat="false" ht="22.35" hidden="false" customHeight="false" outlineLevel="0" collapsed="false">
      <c r="A126" s="47" t="str">
        <f aca="false">B_EOC!A52</f>
        <v>B7.4</v>
      </c>
      <c r="B126" s="48" t="str">
        <f aca="false">B_EOC!C52</f>
        <v>After-action review after each activation with improvement plan tracked</v>
      </c>
      <c r="C126" s="47" t="str">
        <f aca="false">B_EOC!E52</f>
        <v>GP</v>
      </c>
      <c r="D126" s="47" t="str">
        <f aca="false">IF(B_EOC!I52="","",B_EOC!I52)</f>
        <v/>
      </c>
      <c r="E126" s="47" t="str">
        <f aca="false">B_EOC!N52</f>
        <v/>
      </c>
      <c r="F126" s="48" t="str">
        <f aca="false">B_EOC!O52</f>
        <v>Not scored</v>
      </c>
      <c r="G126" s="48" t="str">
        <f aca="false">IF(B_EOC!L52="","",B_EOC!L52)</f>
        <v/>
      </c>
      <c r="H126" s="49"/>
      <c r="I126" s="50"/>
      <c r="J126" s="49"/>
      <c r="K126" s="48" t="str">
        <f aca="false">B_EOC!P52</f>
        <v>EOC Ch.8</v>
      </c>
      <c r="L126" s="50"/>
    </row>
    <row r="127" customFormat="false" ht="22.35" hidden="false" customHeight="false" outlineLevel="0" collapsed="false">
      <c r="A127" s="47" t="str">
        <f aca="false">B_EOC!A53</f>
        <v>B7.5</v>
      </c>
      <c r="B127" s="48" t="str">
        <f aca="false">B_EOC!C53</f>
        <v>Dedicated EOC budget for operations, maintenance and upgrades in LDRRMFIP</v>
      </c>
      <c r="C127" s="47" t="str">
        <f aca="false">B_EOC!E53</f>
        <v>M</v>
      </c>
      <c r="D127" s="47" t="str">
        <f aca="false">IF(B_EOC!I53="","",B_EOC!I53)</f>
        <v/>
      </c>
      <c r="E127" s="47" t="str">
        <f aca="false">B_EOC!N53</f>
        <v/>
      </c>
      <c r="F127" s="48" t="str">
        <f aca="false">B_EOC!O53</f>
        <v>Not scored</v>
      </c>
      <c r="G127" s="48" t="str">
        <f aca="false">IF(B_EOC!L53="","",B_EOC!L53)</f>
        <v/>
      </c>
      <c r="H127" s="49"/>
      <c r="I127" s="50"/>
      <c r="J127" s="49"/>
      <c r="K127" s="48" t="str">
        <f aca="false">B_EOC!P53</f>
        <v>EOC Ch.9 Sustainability</v>
      </c>
      <c r="L127" s="50"/>
    </row>
    <row r="128" customFormat="false" ht="22.35" hidden="false" customHeight="false" outlineLevel="0" collapsed="false">
      <c r="A128" s="47" t="str">
        <f aca="false">B_EOC!A54</f>
        <v>B7.6</v>
      </c>
      <c r="B128" s="48" t="str">
        <f aca="false">B_EOC!C54</f>
        <v>Equipment maintenance schedule and annual EOC readiness self-check</v>
      </c>
      <c r="C128" s="47" t="str">
        <f aca="false">B_EOC!E54</f>
        <v>GP</v>
      </c>
      <c r="D128" s="47" t="str">
        <f aca="false">IF(B_EOC!I54="","",B_EOC!I54)</f>
        <v/>
      </c>
      <c r="E128" s="47" t="str">
        <f aca="false">B_EOC!N54</f>
        <v/>
      </c>
      <c r="F128" s="48" t="str">
        <f aca="false">B_EOC!O54</f>
        <v>Not scored</v>
      </c>
      <c r="G128" s="48" t="str">
        <f aca="false">IF(B_EOC!L54="","",B_EOC!L54)</f>
        <v/>
      </c>
      <c r="H128" s="49"/>
      <c r="I128" s="50"/>
      <c r="J128" s="49"/>
      <c r="K128" s="48" t="str">
        <f aca="false">B_EOC!P54</f>
        <v>EOC Ch.9</v>
      </c>
      <c r="L128" s="50"/>
    </row>
    <row r="129" customFormat="false" ht="22.35" hidden="false" customHeight="false" outlineLevel="0" collapsed="false">
      <c r="A129" s="47" t="str">
        <f aca="false">C_Interface!A6</f>
        <v>C1.1</v>
      </c>
      <c r="B129" s="48" t="str">
        <f aca="false">C_Interface!C6</f>
        <v>Most-probable and most-severe risk scenarios inform CDP/CLUP priorities and the location of major investments</v>
      </c>
      <c r="C129" s="47" t="s">
        <v>834</v>
      </c>
      <c r="D129" s="47" t="str">
        <f aca="false">IF(C_Interface!I6="","",C_Interface!I6)</f>
        <v/>
      </c>
      <c r="E129" s="47" t="str">
        <f aca="false">C_Interface!N6</f>
        <v/>
      </c>
      <c r="F129" s="48" t="str">
        <f aca="false">C_Interface!O6</f>
        <v>Not scored</v>
      </c>
      <c r="G129" s="48" t="str">
        <f aca="false">IF(C_Interface!L6="","",C_Interface!L6)</f>
        <v/>
      </c>
      <c r="H129" s="49" t="str">
        <f aca="false">C_Interface!E6</f>
        <v>CPDO</v>
      </c>
      <c r="I129" s="50"/>
      <c r="J129" s="49"/>
      <c r="K129" s="48" t="str">
        <f aca="false">C_Interface!P6</f>
        <v>MOO Ch.3</v>
      </c>
      <c r="L129" s="50"/>
    </row>
    <row r="130" customFormat="false" ht="22.35" hidden="false" customHeight="false" outlineLevel="0" collapsed="false">
      <c r="A130" s="47" t="str">
        <f aca="false">C_Interface!A7</f>
        <v>C1.2</v>
      </c>
      <c r="B130" s="48" t="str">
        <f aca="false">C_Interface!C7</f>
        <v>DRR/CCA screening step in project and budget approval (LDC, LFC)</v>
      </c>
      <c r="C130" s="47" t="s">
        <v>834</v>
      </c>
      <c r="D130" s="47" t="str">
        <f aca="false">IF(C_Interface!I7="","",C_Interface!I7)</f>
        <v/>
      </c>
      <c r="E130" s="47" t="str">
        <f aca="false">C_Interface!N7</f>
        <v/>
      </c>
      <c r="F130" s="48" t="str">
        <f aca="false">C_Interface!O7</f>
        <v>Not scored</v>
      </c>
      <c r="G130" s="48" t="str">
        <f aca="false">IF(C_Interface!L7="","",C_Interface!L7)</f>
        <v/>
      </c>
      <c r="H130" s="49" t="str">
        <f aca="false">C_Interface!E7</f>
        <v>CPDO; City Budget Office</v>
      </c>
      <c r="I130" s="50"/>
      <c r="J130" s="49"/>
      <c r="K130" s="48" t="str">
        <f aca="false">C_Interface!P7</f>
        <v>MOO Ch.3 / Ch.5</v>
      </c>
      <c r="L130" s="50"/>
    </row>
    <row r="131" customFormat="false" ht="32.8" hidden="false" customHeight="false" outlineLevel="0" collapsed="false">
      <c r="A131" s="47" t="str">
        <f aca="false">C_Interface!A8</f>
        <v>C1.3</v>
      </c>
      <c r="B131" s="48" t="str">
        <f aca="false">C_Interface!C8</f>
        <v>CDRA estimates losses beyond physical assets: livelihoods and jobs, housing and displacement, agriculture, ecosystems, cultural heritage</v>
      </c>
      <c r="C131" s="47" t="s">
        <v>834</v>
      </c>
      <c r="D131" s="47" t="str">
        <f aca="false">IF(C_Interface!I8="","",C_Interface!I8)</f>
        <v/>
      </c>
      <c r="E131" s="47" t="str">
        <f aca="false">C_Interface!N8</f>
        <v/>
      </c>
      <c r="F131" s="48" t="str">
        <f aca="false">C_Interface!O8</f>
        <v>Not scored</v>
      </c>
      <c r="G131" s="48" t="str">
        <f aca="false">IF(C_Interface!L8="","",C_Interface!L8)</f>
        <v/>
      </c>
      <c r="H131" s="49" t="str">
        <f aca="false">C_Interface!E8</f>
        <v>CPDO</v>
      </c>
      <c r="I131" s="50"/>
      <c r="J131" s="49"/>
      <c r="K131" s="48" t="str">
        <f aca="false">C_Interface!P8</f>
        <v>MOO Ch.3</v>
      </c>
      <c r="L131" s="50"/>
    </row>
    <row r="132" customFormat="false" ht="22.35" hidden="false" customHeight="false" outlineLevel="0" collapsed="false">
      <c r="A132" s="47" t="str">
        <f aca="false">C_Interface!A9</f>
        <v>C1.4</v>
      </c>
      <c r="B132" s="48" t="str">
        <f aca="false">C_Interface!C9</f>
        <v>Risk-sensitive development guidelines applied in zoning and building permits, based on hazard maps</v>
      </c>
      <c r="C132" s="47" t="s">
        <v>834</v>
      </c>
      <c r="D132" s="47" t="str">
        <f aca="false">IF(C_Interface!I9="","",C_Interface!I9)</f>
        <v/>
      </c>
      <c r="E132" s="47" t="str">
        <f aca="false">C_Interface!N9</f>
        <v/>
      </c>
      <c r="F132" s="48" t="str">
        <f aca="false">C_Interface!O9</f>
        <v>Not scored</v>
      </c>
      <c r="G132" s="48" t="str">
        <f aca="false">IF(C_Interface!L9="","",C_Interface!L9)</f>
        <v/>
      </c>
      <c r="H132" s="49" t="str">
        <f aca="false">C_Interface!E9</f>
        <v>CPDO; Zoning Administrator</v>
      </c>
      <c r="I132" s="50"/>
      <c r="J132" s="49"/>
      <c r="K132" s="48" t="str">
        <f aca="false">C_Interface!P9</f>
        <v>MOO Ch.3</v>
      </c>
      <c r="L132" s="50"/>
    </row>
    <row r="133" customFormat="false" ht="32.8" hidden="false" customHeight="false" outlineLevel="0" collapsed="false">
      <c r="A133" s="47" t="str">
        <f aca="false">C_Interface!A11</f>
        <v>C2.1</v>
      </c>
      <c r="B133" s="48" t="str">
        <f aca="false">C_Interface!C11</f>
        <v>Structural safety of the EOC, evacuation centers and critical public facilities assessed by the Building Official, with a rapid safety inspection procedure before forecast impact</v>
      </c>
      <c r="C133" s="47" t="s">
        <v>834</v>
      </c>
      <c r="D133" s="47" t="str">
        <f aca="false">IF(C_Interface!I11="","",C_Interface!I11)</f>
        <v/>
      </c>
      <c r="E133" s="47" t="str">
        <f aca="false">C_Interface!N11</f>
        <v/>
      </c>
      <c r="F133" s="48" t="str">
        <f aca="false">C_Interface!O11</f>
        <v>Not scored</v>
      </c>
      <c r="G133" s="48" t="str">
        <f aca="false">IF(C_Interface!L11="","",C_Interface!L11)</f>
        <v/>
      </c>
      <c r="H133" s="49" t="str">
        <f aca="false">C_Interface!E11</f>
        <v>City Engineer / Building Official</v>
      </c>
      <c r="I133" s="50"/>
      <c r="J133" s="49"/>
      <c r="K133" s="48" t="str">
        <f aca="false">C_Interface!P11</f>
        <v>EOC Ch.3 / MOO Ch.4</v>
      </c>
      <c r="L133" s="50"/>
    </row>
    <row r="134" customFormat="false" ht="32.8" hidden="false" customHeight="false" outlineLevel="0" collapsed="false">
      <c r="A134" s="47" t="str">
        <f aca="false">C_Interface!A12</f>
        <v>C2.2</v>
      </c>
      <c r="B134" s="48" t="str">
        <f aca="false">C_Interface!C12</f>
        <v>Pre-crisis and priority-restoration arrangements with power, water and telecom providers (load-shedding and water-rationing plans, cell-on-wheels, restoration priority list)</v>
      </c>
      <c r="C134" s="47" t="s">
        <v>834</v>
      </c>
      <c r="D134" s="47" t="str">
        <f aca="false">IF(C_Interface!I12="","",C_Interface!I12)</f>
        <v/>
      </c>
      <c r="E134" s="47" t="str">
        <f aca="false">C_Interface!N12</f>
        <v/>
      </c>
      <c r="F134" s="48" t="str">
        <f aca="false">C_Interface!O12</f>
        <v>Not scored</v>
      </c>
      <c r="G134" s="48" t="str">
        <f aca="false">IF(C_Interface!L12="","",C_Interface!L12)</f>
        <v/>
      </c>
      <c r="H134" s="49" t="str">
        <f aca="false">C_Interface!E12</f>
        <v>CDRRMO with utility providers</v>
      </c>
      <c r="I134" s="50"/>
      <c r="J134" s="49"/>
      <c r="K134" s="48" t="str">
        <f aca="false">C_Interface!P12</f>
        <v>MOO Ch.9 / EOC Ch.7</v>
      </c>
      <c r="L134" s="50"/>
    </row>
    <row r="135" customFormat="false" ht="32.8" hidden="false" customHeight="false" outlineLevel="0" collapsed="false">
      <c r="A135" s="47" t="str">
        <f aca="false">C_Interface!A13</f>
        <v>C2.3</v>
      </c>
      <c r="B135" s="48" t="str">
        <f aca="false">C_Interface!C13</f>
        <v>Transport anticipatory actions: pre-inspection of bridges, alternate routes and traffic teams, coordination with seaport and terminal operators</v>
      </c>
      <c r="C135" s="47" t="s">
        <v>834</v>
      </c>
      <c r="D135" s="47" t="str">
        <f aca="false">IF(C_Interface!I13="","",C_Interface!I13)</f>
        <v/>
      </c>
      <c r="E135" s="47" t="str">
        <f aca="false">C_Interface!N13</f>
        <v/>
      </c>
      <c r="F135" s="48" t="str">
        <f aca="false">C_Interface!O13</f>
        <v>Not scored</v>
      </c>
      <c r="G135" s="48" t="str">
        <f aca="false">IF(C_Interface!L13="","",C_Interface!L13)</f>
        <v/>
      </c>
      <c r="H135" s="49" t="str">
        <f aca="false">C_Interface!E13</f>
        <v>City Engineer; traffic office; DPWH; port operator</v>
      </c>
      <c r="I135" s="50"/>
      <c r="J135" s="49"/>
      <c r="K135" s="48" t="str">
        <f aca="false">C_Interface!P13</f>
        <v>EOC Ch.7</v>
      </c>
      <c r="L135" s="50"/>
    </row>
    <row r="136" customFormat="false" ht="32.8" hidden="false" customHeight="false" outlineLevel="0" collapsed="false">
      <c r="A136" s="47" t="str">
        <f aca="false">C_Interface!A15</f>
        <v>C3.1</v>
      </c>
      <c r="B136" s="48" t="str">
        <f aca="false">C_Interface!C15</f>
        <v>Critical protective ecosystems (upper Anilao-Malbasag watershed, upland forest cover, coastal mangroves) identified and monitored as risk-reduction assets</v>
      </c>
      <c r="C136" s="47" t="s">
        <v>834</v>
      </c>
      <c r="D136" s="47" t="str">
        <f aca="false">IF(C_Interface!I15="","",C_Interface!I15)</f>
        <v/>
      </c>
      <c r="E136" s="47" t="str">
        <f aca="false">C_Interface!N15</f>
        <v/>
      </c>
      <c r="F136" s="48" t="str">
        <f aca="false">C_Interface!O15</f>
        <v>Not scored</v>
      </c>
      <c r="G136" s="48" t="str">
        <f aca="false">IF(C_Interface!L15="","",C_Interface!L15)</f>
        <v/>
      </c>
      <c r="H136" s="49" t="str">
        <f aca="false">C_Interface!E15</f>
        <v>CENRO; DENR CENRO</v>
      </c>
      <c r="I136" s="50"/>
      <c r="J136" s="49"/>
      <c r="K136" s="48" t="str">
        <f aca="false">C_Interface!P15</f>
        <v>MOO Ch.3</v>
      </c>
      <c r="L136" s="50"/>
    </row>
    <row r="137" customFormat="false" ht="22.35" hidden="false" customHeight="false" outlineLevel="0" collapsed="false">
      <c r="A137" s="47" t="str">
        <f aca="false">C_Interface!A16</f>
        <v>C3.2</v>
      </c>
      <c r="B137" s="48" t="str">
        <f aca="false">C_Interface!C16</f>
        <v>Arrangements with neighbouring LGUs and DENR where watersheds or protective ecosystems extend beyond city limits</v>
      </c>
      <c r="C137" s="47" t="s">
        <v>834</v>
      </c>
      <c r="D137" s="47" t="str">
        <f aca="false">IF(C_Interface!I16="","",C_Interface!I16)</f>
        <v/>
      </c>
      <c r="E137" s="47" t="str">
        <f aca="false">C_Interface!N16</f>
        <v/>
      </c>
      <c r="F137" s="48" t="str">
        <f aca="false">C_Interface!O16</f>
        <v>Not scored</v>
      </c>
      <c r="G137" s="48" t="str">
        <f aca="false">IF(C_Interface!L16="","",C_Interface!L16)</f>
        <v/>
      </c>
      <c r="H137" s="49" t="str">
        <f aca="false">C_Interface!E16</f>
        <v>CENRO</v>
      </c>
      <c r="I137" s="50"/>
      <c r="J137" s="49"/>
      <c r="K137" s="48" t="str">
        <f aca="false">C_Interface!P16</f>
        <v>MOO Ch.9</v>
      </c>
      <c r="L137" s="50"/>
    </row>
    <row r="138" customFormat="false" ht="22.35" hidden="false" customHeight="false" outlineLevel="0" collapsed="false">
      <c r="A138" s="47" t="str">
        <f aca="false">C_Interface!A17</f>
        <v>C3.3</v>
      </c>
      <c r="B138" s="48" t="str">
        <f aca="false">C_Interface!C17</f>
        <v>Environmental anticipatory actions: declogging of waterways and drainage, slope stabilization, safe debris and carcass disposal</v>
      </c>
      <c r="C138" s="47" t="s">
        <v>834</v>
      </c>
      <c r="D138" s="47" t="str">
        <f aca="false">IF(C_Interface!I17="","",C_Interface!I17)</f>
        <v/>
      </c>
      <c r="E138" s="47" t="str">
        <f aca="false">C_Interface!N17</f>
        <v/>
      </c>
      <c r="F138" s="48" t="str">
        <f aca="false">C_Interface!O17</f>
        <v>Not scored</v>
      </c>
      <c r="G138" s="48" t="str">
        <f aca="false">IF(C_Interface!L17="","",C_Interface!L17)</f>
        <v/>
      </c>
      <c r="H138" s="49" t="str">
        <f aca="false">C_Interface!E17</f>
        <v>CENRO; City Engineer; GSO</v>
      </c>
      <c r="I138" s="50"/>
      <c r="J138" s="49"/>
      <c r="K138" s="48" t="str">
        <f aca="false">C_Interface!P17</f>
        <v>EOC Ch.2</v>
      </c>
      <c r="L138" s="50"/>
    </row>
    <row r="139" customFormat="false" ht="32.8" hidden="false" customHeight="false" outlineLevel="0" collapsed="false">
      <c r="A139" s="47" t="str">
        <f aca="false">C_Interface!A19</f>
        <v>C4.1</v>
      </c>
      <c r="B139" s="48" t="str">
        <f aca="false">C_Interface!C19</f>
        <v>Health anticipatory action: Health Cluster activation, facility service-continuity and surge plans, prepositioned commodities, health emergency response teams on standby</v>
      </c>
      <c r="C139" s="47" t="s">
        <v>834</v>
      </c>
      <c r="D139" s="47" t="str">
        <f aca="false">IF(C_Interface!I19="","",C_Interface!I19)</f>
        <v/>
      </c>
      <c r="E139" s="47" t="str">
        <f aca="false">C_Interface!N19</f>
        <v/>
      </c>
      <c r="F139" s="48" t="str">
        <f aca="false">C_Interface!O19</f>
        <v>Not scored</v>
      </c>
      <c r="G139" s="48" t="str">
        <f aca="false">IF(C_Interface!L19="","",C_Interface!L19)</f>
        <v/>
      </c>
      <c r="H139" s="49" t="str">
        <f aca="false">C_Interface!E19</f>
        <v>City Health Office; hospitals</v>
      </c>
      <c r="I139" s="50"/>
      <c r="J139" s="49"/>
      <c r="K139" s="48" t="str">
        <f aca="false">C_Interface!P19</f>
        <v>EOC Ch.4</v>
      </c>
      <c r="L139" s="50"/>
    </row>
    <row r="140" customFormat="false" ht="22.35" hidden="false" customHeight="false" outlineLevel="0" collapsed="false">
      <c r="A140" s="47" t="str">
        <f aca="false">C_Interface!A20</f>
        <v>C4.2</v>
      </c>
      <c r="B140" s="48" t="str">
        <f aca="false">C_Interface!C20</f>
        <v>Education anticipatory action: schools' AA plans and learning-continuity modalities</v>
      </c>
      <c r="C140" s="47" t="s">
        <v>834</v>
      </c>
      <c r="D140" s="47" t="str">
        <f aca="false">IF(C_Interface!I20="","",C_Interface!I20)</f>
        <v/>
      </c>
      <c r="E140" s="47" t="str">
        <f aca="false">C_Interface!N20</f>
        <v/>
      </c>
      <c r="F140" s="48" t="str">
        <f aca="false">C_Interface!O20</f>
        <v>Not scored</v>
      </c>
      <c r="G140" s="48" t="str">
        <f aca="false">IF(C_Interface!L20="","",C_Interface!L20)</f>
        <v/>
      </c>
      <c r="H140" s="49" t="str">
        <f aca="false">C_Interface!E20</f>
        <v>DepEd Schools Division of Ormoc City</v>
      </c>
      <c r="I140" s="50"/>
      <c r="J140" s="49"/>
      <c r="K140" s="48" t="str">
        <f aca="false">C_Interface!P20</f>
        <v>EOC Ch.4</v>
      </c>
      <c r="L140" s="50"/>
    </row>
    <row r="141" customFormat="false" ht="32.8" hidden="false" customHeight="false" outlineLevel="0" collapsed="false">
      <c r="A141" s="47" t="str">
        <f aca="false">C_Interface!A21</f>
        <v>C4.3</v>
      </c>
      <c r="B141" s="48" t="str">
        <f aca="false">C_Interface!C21</f>
        <v>Agri-fisheries anticipatory action using RSBSA, FishR and livestock registries; early action guidelines on storage, inputs and animal health</v>
      </c>
      <c r="C141" s="47" t="s">
        <v>834</v>
      </c>
      <c r="D141" s="47" t="str">
        <f aca="false">IF(C_Interface!I21="","",C_Interface!I21)</f>
        <v/>
      </c>
      <c r="E141" s="47" t="str">
        <f aca="false">C_Interface!N21</f>
        <v/>
      </c>
      <c r="F141" s="48" t="str">
        <f aca="false">C_Interface!O21</f>
        <v>Not scored</v>
      </c>
      <c r="G141" s="48" t="str">
        <f aca="false">IF(C_Interface!L21="","",C_Interface!L21)</f>
        <v/>
      </c>
      <c r="H141" s="49" t="str">
        <f aca="false">C_Interface!E21</f>
        <v>City Agriculture Office; City Veterinary Office</v>
      </c>
      <c r="I141" s="50"/>
      <c r="J141" s="49"/>
      <c r="K141" s="48" t="str">
        <f aca="false">C_Interface!P21</f>
        <v>EOC Ch.4</v>
      </c>
      <c r="L141" s="50"/>
    </row>
    <row r="142" customFormat="false" ht="22.35" hidden="false" customHeight="false" outlineLevel="0" collapsed="false">
      <c r="A142" s="47" t="str">
        <f aca="false">C_Interface!A22</f>
        <v>C4.4</v>
      </c>
      <c r="B142" s="48" t="str">
        <f aca="false">C_Interface!C22</f>
        <v>Pre-impact price monitoring and anti-profiteering of basic goods</v>
      </c>
      <c r="C142" s="47" t="s">
        <v>834</v>
      </c>
      <c r="D142" s="47" t="str">
        <f aca="false">IF(C_Interface!I22="","",C_Interface!I22)</f>
        <v/>
      </c>
      <c r="E142" s="47" t="str">
        <f aca="false">C_Interface!N22</f>
        <v/>
      </c>
      <c r="F142" s="48" t="str">
        <f aca="false">C_Interface!O22</f>
        <v>Not scored</v>
      </c>
      <c r="G142" s="48" t="str">
        <f aca="false">IF(C_Interface!L22="","",C_Interface!L22)</f>
        <v/>
      </c>
      <c r="H142" s="49" t="str">
        <f aca="false">C_Interface!E22</f>
        <v>DTI Leyte; city market office</v>
      </c>
      <c r="I142" s="50"/>
      <c r="J142" s="49"/>
      <c r="K142" s="48" t="str">
        <f aca="false">C_Interface!P22</f>
        <v>EOC Ch.4</v>
      </c>
      <c r="L142" s="50"/>
    </row>
    <row r="143" customFormat="false" ht="22.35" hidden="false" customHeight="false" outlineLevel="0" collapsed="false">
      <c r="A143" s="47" t="str">
        <f aca="false">C_Interface!A24</f>
        <v>C5.1</v>
      </c>
      <c r="B143" s="48" t="str">
        <f aca="false">C_Interface!C24</f>
        <v>Business continuity outreach to local businesses based on shared hazard scenarios (outreach only; no mandate implied)</v>
      </c>
      <c r="C143" s="47" t="s">
        <v>834</v>
      </c>
      <c r="D143" s="47" t="str">
        <f aca="false">IF(C_Interface!I24="","",C_Interface!I24)</f>
        <v/>
      </c>
      <c r="E143" s="47" t="str">
        <f aca="false">C_Interface!N24</f>
        <v/>
      </c>
      <c r="F143" s="48" t="str">
        <f aca="false">C_Interface!O24</f>
        <v>Not scored</v>
      </c>
      <c r="G143" s="48" t="str">
        <f aca="false">IF(C_Interface!L24="","",C_Interface!L24)</f>
        <v/>
      </c>
      <c r="H143" s="49" t="str">
        <f aca="false">C_Interface!E24</f>
        <v>CDRRMO with Chamber of Commerce</v>
      </c>
      <c r="I143" s="50"/>
      <c r="J143" s="49"/>
      <c r="K143" s="48" t="str">
        <f aca="false">C_Interface!P24</f>
        <v>MOO Ch.9</v>
      </c>
      <c r="L143" s="50"/>
    </row>
    <row r="144" customFormat="false" ht="15" hidden="false" customHeight="false" outlineLevel="0" collapsed="false"/>
    <row r="145" customFormat="false" ht="15" hidden="false" customHeight="false" outlineLevel="0" collapsed="false"/>
    <row r="146" customFormat="false" ht="15" hidden="false" customHeight="false" outlineLevel="0" collapsed="false"/>
    <row r="147" customFormat="false" ht="15" hidden="false" customHeight="false" outlineLevel="0" collapsed="false"/>
    <row r="148" customFormat="false" ht="15" hidden="false" customHeight="false" outlineLevel="0" collapsed="false"/>
    <row r="149" customFormat="false" ht="15" hidden="false" customHeight="false" outlineLevel="0" collapsed="false"/>
    <row r="150" customFormat="false" ht="15" hidden="false" customHeight="false" outlineLevel="0" collapsed="false"/>
    <row r="151" customFormat="false" ht="15" hidden="false" customHeight="false" outlineLevel="0" collapsed="false"/>
    <row r="152" customFormat="false" ht="15" hidden="false" customHeight="false" outlineLevel="0" collapsed="false"/>
    <row r="153" customFormat="false" ht="15" hidden="false" customHeight="false" outlineLevel="0" collapsed="false"/>
    <row r="154" customFormat="false" ht="15" hidden="false" customHeight="false" outlineLevel="0" collapsed="false"/>
    <row r="155" customFormat="false" ht="15" hidden="false" customHeight="false" outlineLevel="0" collapsed="false"/>
    <row r="156" customFormat="false" ht="15" hidden="false" customHeight="false" outlineLevel="0" collapsed="false"/>
    <row r="157" customFormat="false" ht="15" hidden="false" customHeight="false" outlineLevel="0" collapsed="false"/>
    <row r="158" customFormat="false" ht="15" hidden="false" customHeight="false" outlineLevel="0" collapsed="false"/>
    <row r="159" customFormat="false" ht="15" hidden="false" customHeight="false" outlineLevel="0" collapsed="false"/>
    <row r="160" customFormat="false" ht="15" hidden="false" customHeight="false" outlineLevel="0" collapsed="false"/>
    <row r="161" customFormat="false" ht="15" hidden="false" customHeight="false" outlineLevel="0" collapsed="false"/>
    <row r="162" customFormat="false" ht="15" hidden="false" customHeight="false" outlineLevel="0" collapsed="false"/>
    <row r="163" customFormat="false" ht="15" hidden="false" customHeight="false" outlineLevel="0" collapsed="false"/>
    <row r="164" customFormat="false" ht="15" hidden="false" customHeight="false" outlineLevel="0" collapsed="false"/>
    <row r="165" customFormat="false" ht="15" hidden="false" customHeight="false" outlineLevel="0" collapsed="false"/>
    <row r="166" customFormat="false" ht="15" hidden="false" customHeight="false" outlineLevel="0" collapsed="false"/>
    <row r="167" customFormat="false" ht="15" hidden="false" customHeight="false" outlineLevel="0" collapsed="false"/>
    <row r="168" customFormat="false" ht="15" hidden="false" customHeight="false" outlineLevel="0" collapsed="false"/>
    <row r="169" customFormat="false" ht="15" hidden="false" customHeight="false" outlineLevel="0" collapsed="false"/>
    <row r="170" customFormat="false" ht="15" hidden="false" customHeight="false" outlineLevel="0" collapsed="false"/>
    <row r="171" customFormat="false" ht="15" hidden="false" customHeight="false" outlineLevel="0" collapsed="false"/>
    <row r="172" customFormat="false" ht="15" hidden="false" customHeight="false" outlineLevel="0" collapsed="false"/>
    <row r="173" customFormat="false" ht="15" hidden="false" customHeight="false" outlineLevel="0" collapsed="false"/>
    <row r="174" customFormat="false" ht="15" hidden="false" customHeight="false" outlineLevel="0" collapsed="false"/>
    <row r="175" customFormat="false" ht="15" hidden="false" customHeight="false" outlineLevel="0" collapsed="false"/>
    <row r="176" customFormat="false" ht="15" hidden="false" customHeight="false" outlineLevel="0" collapsed="false"/>
    <row r="177" customFormat="false" ht="15" hidden="false" customHeight="false" outlineLevel="0" collapsed="false"/>
    <row r="178" customFormat="false" ht="15" hidden="false" customHeight="false" outlineLevel="0" collapsed="false"/>
    <row r="179" customFormat="false" ht="15" hidden="false" customHeight="false" outlineLevel="0" collapsed="false"/>
    <row r="180" customFormat="false" ht="15" hidden="false" customHeight="false" outlineLevel="0" collapsed="false"/>
    <row r="181" customFormat="false" ht="15" hidden="false" customHeight="false" outlineLevel="0" collapsed="false"/>
    <row r="182" customFormat="false" ht="15" hidden="false" customHeight="false" outlineLevel="0" collapsed="false"/>
    <row r="183" customFormat="false" ht="15" hidden="false" customHeight="false" outlineLevel="0" collapsed="false"/>
    <row r="184" customFormat="false" ht="15" hidden="false" customHeight="false" outlineLevel="0" collapsed="false"/>
    <row r="185" customFormat="false" ht="15" hidden="false" customHeight="false" outlineLevel="0" collapsed="false"/>
    <row r="186" customFormat="false" ht="15" hidden="false" customHeight="false" outlineLevel="0" collapsed="false"/>
    <row r="187" customFormat="false" ht="15" hidden="false" customHeight="false" outlineLevel="0" collapsed="false"/>
    <row r="188" customFormat="false" ht="15" hidden="false" customHeight="false" outlineLevel="0" collapsed="false"/>
    <row r="189" customFormat="false" ht="15" hidden="false" customHeight="false" outlineLevel="0" collapsed="false"/>
    <row r="190" customFormat="false" ht="15" hidden="false" customHeight="false" outlineLevel="0" collapsed="false"/>
    <row r="191" customFormat="false" ht="15" hidden="false" customHeight="false" outlineLevel="0" collapsed="false"/>
    <row r="192" customFormat="false" ht="15" hidden="false" customHeight="false" outlineLevel="0" collapsed="false"/>
    <row r="193" customFormat="false" ht="15" hidden="false" customHeight="false" outlineLevel="0" collapsed="false"/>
    <row r="194" customFormat="false" ht="15" hidden="false" customHeight="false" outlineLevel="0" collapsed="false"/>
    <row r="195" customFormat="false" ht="15" hidden="false" customHeight="false" outlineLevel="0" collapsed="false"/>
    <row r="196" customFormat="false" ht="15" hidden="false" customHeight="false" outlineLevel="0" collapsed="false"/>
    <row r="197" customFormat="false" ht="15" hidden="false" customHeight="false" outlineLevel="0" collapsed="false"/>
    <row r="198" customFormat="false" ht="15" hidden="false" customHeight="false" outlineLevel="0" collapsed="false"/>
    <row r="199" customFormat="false" ht="15" hidden="false" customHeight="false" outlineLevel="0" collapsed="false"/>
    <row r="200" customFormat="false" ht="15" hidden="false" customHeight="false" outlineLevel="0" collapsed="false"/>
    <row r="201" customFormat="false" ht="15" hidden="false" customHeight="false" outlineLevel="0" collapsed="false"/>
    <row r="202" customFormat="false" ht="15" hidden="false" customHeight="false" outlineLevel="0" collapsed="false"/>
    <row r="203" customFormat="false" ht="15" hidden="false" customHeight="false" outlineLevel="0" collapsed="false"/>
    <row r="204" customFormat="false" ht="15" hidden="false" customHeight="false" outlineLevel="0" collapsed="false"/>
    <row r="205" customFormat="false" ht="15" hidden="false" customHeight="false" outlineLevel="0" collapsed="false"/>
    <row r="206" customFormat="false" ht="15" hidden="false" customHeight="false" outlineLevel="0" collapsed="false"/>
    <row r="207" customFormat="false" ht="15" hidden="false" customHeight="false" outlineLevel="0" collapsed="false"/>
    <row r="208" customFormat="false" ht="15" hidden="false" customHeight="false" outlineLevel="0" collapsed="false"/>
    <row r="209" customFormat="false" ht="15" hidden="false" customHeight="false" outlineLevel="0" collapsed="false"/>
    <row r="210" customFormat="false" ht="15" hidden="false" customHeight="false" outlineLevel="0" collapsed="false"/>
    <row r="211" customFormat="false" ht="15" hidden="false" customHeight="false" outlineLevel="0" collapsed="false"/>
    <row r="212" customFormat="false" ht="15" hidden="false" customHeight="false" outlineLevel="0" collapsed="false"/>
    <row r="213" customFormat="false" ht="15" hidden="false" customHeight="false" outlineLevel="0" collapsed="false"/>
    <row r="214" customFormat="false" ht="15" hidden="false" customHeight="false" outlineLevel="0" collapsed="false"/>
    <row r="215" customFormat="false" ht="15" hidden="false" customHeight="false" outlineLevel="0" collapsed="false"/>
    <row r="216" customFormat="false" ht="15" hidden="false" customHeight="false" outlineLevel="0" collapsed="false"/>
    <row r="217" customFormat="false" ht="15" hidden="false" customHeight="false" outlineLevel="0" collapsed="false"/>
    <row r="218" customFormat="false" ht="15" hidden="false" customHeight="false" outlineLevel="0" collapsed="false"/>
    <row r="219" customFormat="false" ht="15" hidden="false" customHeight="false" outlineLevel="0" collapsed="false"/>
    <row r="220" customFormat="false" ht="15" hidden="false" customHeight="false" outlineLevel="0" collapsed="false"/>
    <row r="221" customFormat="false" ht="15" hidden="false" customHeight="false" outlineLevel="0" collapsed="false"/>
    <row r="222" customFormat="false" ht="15" hidden="false" customHeight="false" outlineLevel="0" collapsed="false"/>
    <row r="223" customFormat="false" ht="15" hidden="false" customHeight="false" outlineLevel="0" collapsed="false"/>
    <row r="224" customFormat="false" ht="15" hidden="false" customHeight="false" outlineLevel="0" collapsed="false"/>
    <row r="225" customFormat="false" ht="15" hidden="false" customHeight="false" outlineLevel="0" collapsed="false"/>
    <row r="226" customFormat="false" ht="15" hidden="false" customHeight="false" outlineLevel="0" collapsed="false"/>
    <row r="227" customFormat="false" ht="15" hidden="false" customHeight="false" outlineLevel="0" collapsed="false"/>
    <row r="228" customFormat="false" ht="15" hidden="false" customHeight="false" outlineLevel="0" collapsed="false"/>
    <row r="229" customFormat="false" ht="15" hidden="false" customHeight="false" outlineLevel="0" collapsed="false"/>
    <row r="230" customFormat="false" ht="15" hidden="false" customHeight="false" outlineLevel="0" collapsed="false"/>
    <row r="231" customFormat="false" ht="15" hidden="false" customHeight="false" outlineLevel="0" collapsed="false"/>
    <row r="232" customFormat="false" ht="15" hidden="false" customHeight="false" outlineLevel="0" collapsed="false"/>
    <row r="233" customFormat="false" ht="15" hidden="false" customHeight="false" outlineLevel="0" collapsed="false"/>
    <row r="234" customFormat="false" ht="15" hidden="false" customHeight="false" outlineLevel="0" collapsed="false"/>
    <row r="235" customFormat="false" ht="15" hidden="false" customHeight="false" outlineLevel="0" collapsed="false"/>
    <row r="236" customFormat="false" ht="15" hidden="false" customHeight="false" outlineLevel="0" collapsed="false"/>
    <row r="237" customFormat="false" ht="15" hidden="false" customHeight="false" outlineLevel="0" collapsed="false"/>
    <row r="238" customFormat="false" ht="15" hidden="false" customHeight="false" outlineLevel="0" collapsed="false"/>
    <row r="239" customFormat="false" ht="15" hidden="false" customHeight="false" outlineLevel="0" collapsed="false"/>
    <row r="240" customFormat="false" ht="15" hidden="false" customHeight="false" outlineLevel="0" collapsed="false"/>
    <row r="241" customFormat="false" ht="15" hidden="false" customHeight="false" outlineLevel="0" collapsed="false"/>
    <row r="242" customFormat="false" ht="15" hidden="false" customHeight="false" outlineLevel="0" collapsed="false"/>
    <row r="243" customFormat="false" ht="15" hidden="false" customHeight="false" outlineLevel="0" collapsed="false"/>
    <row r="244" customFormat="false" ht="15" hidden="false" customHeight="false" outlineLevel="0" collapsed="false"/>
    <row r="245" customFormat="false" ht="15" hidden="false" customHeight="false" outlineLevel="0" collapsed="false"/>
    <row r="246" customFormat="false" ht="15" hidden="false" customHeight="false" outlineLevel="0" collapsed="false"/>
    <row r="247" customFormat="false" ht="15" hidden="false" customHeight="false" outlineLevel="0" collapsed="false"/>
    <row r="248" customFormat="false" ht="15" hidden="false" customHeight="false" outlineLevel="0" collapsed="false"/>
    <row r="249" customFormat="false" ht="15" hidden="false" customHeight="false" outlineLevel="0" collapsed="false"/>
    <row r="250" customFormat="false" ht="15" hidden="false" customHeight="false" outlineLevel="0" collapsed="false"/>
    <row r="251" customFormat="false" ht="15" hidden="false" customHeight="false" outlineLevel="0" collapsed="false"/>
    <row r="252" customFormat="false" ht="15" hidden="false" customHeight="false" outlineLevel="0" collapsed="false"/>
    <row r="253" customFormat="false" ht="15" hidden="false" customHeight="false" outlineLevel="0" collapsed="false"/>
    <row r="254" customFormat="false" ht="15" hidden="false" customHeight="false" outlineLevel="0" collapsed="false"/>
    <row r="255" customFormat="false" ht="15" hidden="false" customHeight="false" outlineLevel="0" collapsed="false"/>
    <row r="256" customFormat="false" ht="15" hidden="false" customHeight="false" outlineLevel="0" collapsed="false"/>
    <row r="257" customFormat="false" ht="15" hidden="false" customHeight="false" outlineLevel="0" collapsed="false"/>
    <row r="258" customFormat="false" ht="15" hidden="false" customHeight="false" outlineLevel="0" collapsed="false"/>
    <row r="259" customFormat="false" ht="15" hidden="false" customHeight="fals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3:L143"/>
  <conditionalFormatting sqref="E4:E143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2">
      <formula>"Medium"</formula>
    </cfRule>
  </conditionalFormatting>
  <dataValidations count="1">
    <dataValidation allowBlank="true" errorStyle="stop" operator="between" showDropDown="false" showErrorMessage="false" showInputMessage="false" sqref="L4:L143" type="list">
      <formula1>"Not started,Ongoing,Done,Dropped"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70"/>
    <col collapsed="false" customWidth="true" hidden="false" outlineLevel="0" max="4" min="4" style="0" width="23.57"/>
    <col collapsed="false" customWidth="true" hidden="false" outlineLevel="0" max="26" min="5" style="0" width="8.71"/>
  </cols>
  <sheetData>
    <row r="2" customFormat="false" ht="16.15" hidden="false" customHeight="false" outlineLevel="0" collapsed="false">
      <c r="B2" s="45" t="s">
        <v>835</v>
      </c>
    </row>
    <row r="4" customFormat="false" ht="15" hidden="false" customHeight="false" outlineLevel="0" collapsed="false">
      <c r="B4" s="46" t="s">
        <v>836</v>
      </c>
      <c r="C4" s="46" t="s">
        <v>837</v>
      </c>
      <c r="D4" s="46" t="s">
        <v>838</v>
      </c>
    </row>
    <row r="5" customFormat="false" ht="21" hidden="false" customHeight="true" outlineLevel="0" collapsed="false">
      <c r="B5" s="51" t="s">
        <v>839</v>
      </c>
      <c r="C5" s="51" t="s">
        <v>840</v>
      </c>
      <c r="D5" s="51" t="s">
        <v>841</v>
      </c>
    </row>
    <row r="6" customFormat="false" ht="21" hidden="false" customHeight="true" outlineLevel="0" collapsed="false">
      <c r="B6" s="51" t="s">
        <v>842</v>
      </c>
      <c r="C6" s="51" t="s">
        <v>843</v>
      </c>
      <c r="D6" s="51" t="s">
        <v>844</v>
      </c>
    </row>
    <row r="7" customFormat="false" ht="18.75" hidden="false" customHeight="true" outlineLevel="0" collapsed="false">
      <c r="B7" s="51" t="s">
        <v>845</v>
      </c>
      <c r="C7" s="51" t="s">
        <v>846</v>
      </c>
      <c r="D7" s="51" t="s">
        <v>847</v>
      </c>
    </row>
    <row r="8" customFormat="false" ht="21" hidden="false" customHeight="true" outlineLevel="0" collapsed="false">
      <c r="B8" s="51" t="s">
        <v>848</v>
      </c>
      <c r="C8" s="51" t="s">
        <v>849</v>
      </c>
      <c r="D8" s="51" t="s">
        <v>841</v>
      </c>
    </row>
    <row r="9" customFormat="false" ht="18" hidden="false" customHeight="true" outlineLevel="0" collapsed="false">
      <c r="B9" s="51" t="s">
        <v>850</v>
      </c>
      <c r="C9" s="51" t="s">
        <v>851</v>
      </c>
      <c r="D9" s="51" t="s">
        <v>841</v>
      </c>
    </row>
    <row r="10" customFormat="false" ht="16.5" hidden="false" customHeight="true" outlineLevel="0" collapsed="false">
      <c r="B10" s="51" t="s">
        <v>852</v>
      </c>
      <c r="C10" s="51" t="s">
        <v>853</v>
      </c>
      <c r="D10" s="51" t="s">
        <v>854</v>
      </c>
    </row>
    <row r="11" customFormat="false" ht="24" hidden="false" customHeight="true" outlineLevel="0" collapsed="false">
      <c r="B11" s="51" t="s">
        <v>855</v>
      </c>
      <c r="C11" s="51" t="s">
        <v>856</v>
      </c>
      <c r="D11" s="51" t="s">
        <v>841</v>
      </c>
    </row>
    <row r="12" customFormat="false" ht="18.75" hidden="false" customHeight="true" outlineLevel="0" collapsed="false">
      <c r="B12" s="51" t="s">
        <v>857</v>
      </c>
      <c r="C12" s="51" t="s">
        <v>858</v>
      </c>
      <c r="D12" s="51" t="s">
        <v>841</v>
      </c>
    </row>
    <row r="13" customFormat="false" ht="18.75" hidden="false" customHeight="true" outlineLevel="0" collapsed="false">
      <c r="B13" s="51" t="s">
        <v>859</v>
      </c>
      <c r="C13" s="51" t="s">
        <v>860</v>
      </c>
      <c r="D13" s="51" t="s">
        <v>841</v>
      </c>
    </row>
    <row r="14" customFormat="false" ht="31.5" hidden="false" customHeight="true" outlineLevel="0" collapsed="false">
      <c r="B14" s="51" t="s">
        <v>861</v>
      </c>
      <c r="C14" s="51" t="s">
        <v>862</v>
      </c>
      <c r="D14" s="51" t="s">
        <v>841</v>
      </c>
    </row>
    <row r="15" customFormat="false" ht="17.25" hidden="false" customHeight="true" outlineLevel="0" collapsed="false">
      <c r="B15" s="51" t="s">
        <v>863</v>
      </c>
      <c r="C15" s="51" t="s">
        <v>864</v>
      </c>
      <c r="D15" s="51" t="s">
        <v>841</v>
      </c>
    </row>
    <row r="16" customFormat="false" ht="18" hidden="false" customHeight="true" outlineLevel="0" collapsed="false">
      <c r="B16" s="51" t="s">
        <v>865</v>
      </c>
      <c r="C16" s="51" t="s">
        <v>866</v>
      </c>
      <c r="D16" s="51" t="s">
        <v>841</v>
      </c>
    </row>
    <row r="17" customFormat="false" ht="30" hidden="false" customHeight="true" outlineLevel="0" collapsed="false">
      <c r="B17" s="51" t="s">
        <v>867</v>
      </c>
      <c r="C17" s="51" t="s">
        <v>868</v>
      </c>
      <c r="D17" s="51" t="s">
        <v>869</v>
      </c>
    </row>
    <row r="18" customFormat="false" ht="30" hidden="false" customHeight="true" outlineLevel="0" collapsed="false">
      <c r="B18" s="51" t="s">
        <v>870</v>
      </c>
      <c r="C18" s="51" t="s">
        <v>871</v>
      </c>
      <c r="D18" s="51" t="s">
        <v>869</v>
      </c>
    </row>
    <row r="19" customFormat="false" ht="30" hidden="false" customHeight="true" outlineLevel="0" collapsed="false">
      <c r="B19" s="51" t="s">
        <v>872</v>
      </c>
      <c r="C19" s="51" t="s">
        <v>873</v>
      </c>
      <c r="D19" s="51" t="s">
        <v>841</v>
      </c>
    </row>
    <row r="20" customFormat="false" ht="30" hidden="false" customHeight="true" outlineLevel="0" collapsed="false">
      <c r="B20" s="51" t="s">
        <v>874</v>
      </c>
      <c r="C20" s="51" t="s">
        <v>875</v>
      </c>
      <c r="D20" s="51" t="s">
        <v>841</v>
      </c>
    </row>
    <row r="21" customFormat="false" ht="30" hidden="false" customHeight="true" outlineLevel="0" collapsed="false">
      <c r="B21" s="51" t="s">
        <v>876</v>
      </c>
      <c r="C21" s="51" t="s">
        <v>877</v>
      </c>
      <c r="D21" s="51" t="s">
        <v>878</v>
      </c>
    </row>
    <row r="22" customFormat="false" ht="30" hidden="false" customHeight="true" outlineLevel="0" collapsed="false">
      <c r="B22" s="51" t="s">
        <v>879</v>
      </c>
      <c r="C22" s="51" t="s">
        <v>880</v>
      </c>
      <c r="D22" s="51" t="s">
        <v>841</v>
      </c>
    </row>
    <row r="23" customFormat="false" ht="30" hidden="false" customHeight="true" outlineLevel="0" collapsed="false">
      <c r="B23" s="51" t="s">
        <v>881</v>
      </c>
      <c r="C23" s="51" t="s">
        <v>882</v>
      </c>
      <c r="D23" s="51" t="s">
        <v>841</v>
      </c>
    </row>
    <row r="24" customFormat="false" ht="30" hidden="false" customHeight="true" outlineLevel="0" collapsed="false">
      <c r="B24" s="51" t="s">
        <v>883</v>
      </c>
      <c r="C24" s="51" t="s">
        <v>884</v>
      </c>
      <c r="D24" s="51" t="s">
        <v>885</v>
      </c>
    </row>
    <row r="25" customFormat="false" ht="30" hidden="false" customHeight="true" outlineLevel="0" collapsed="false">
      <c r="B25" s="51" t="s">
        <v>886</v>
      </c>
      <c r="C25" s="51" t="s">
        <v>887</v>
      </c>
      <c r="D25" s="51" t="s">
        <v>888</v>
      </c>
    </row>
    <row r="26" customFormat="false" ht="30" hidden="false" customHeight="true" outlineLevel="0" collapsed="false">
      <c r="B26" s="51" t="s">
        <v>889</v>
      </c>
      <c r="C26" s="51" t="s">
        <v>890</v>
      </c>
      <c r="D26" s="51" t="s">
        <v>891</v>
      </c>
    </row>
    <row r="27" customFormat="false" ht="22.5" hidden="false" customHeight="true" outlineLevel="0" collapsed="false">
      <c r="B27" s="51" t="s">
        <v>892</v>
      </c>
      <c r="C27" s="51" t="s">
        <v>893</v>
      </c>
      <c r="D27" s="51" t="s">
        <v>841</v>
      </c>
    </row>
    <row r="28" customFormat="false" ht="24" hidden="false" customHeight="true" outlineLevel="0" collapsed="false">
      <c r="B28" s="51" t="s">
        <v>894</v>
      </c>
      <c r="C28" s="51" t="s">
        <v>895</v>
      </c>
      <c r="D28" s="51" t="s">
        <v>841</v>
      </c>
    </row>
    <row r="29" customFormat="false" ht="25.5" hidden="false" customHeight="true" outlineLevel="0" collapsed="false">
      <c r="B29" s="51" t="s">
        <v>896</v>
      </c>
      <c r="C29" s="51" t="s">
        <v>897</v>
      </c>
      <c r="D29" s="51" t="s">
        <v>898</v>
      </c>
    </row>
    <row r="30" customFormat="false" ht="15.75" hidden="false" customHeight="true" outlineLevel="0" collapsed="false">
      <c r="B30" s="51" t="s">
        <v>899</v>
      </c>
      <c r="C30" s="51" t="s">
        <v>900</v>
      </c>
      <c r="D30" s="51" t="s">
        <v>898</v>
      </c>
    </row>
    <row r="31" customFormat="false" ht="15.75" hidden="false" customHeight="true" outlineLevel="0" collapsed="false">
      <c r="B31" s="51" t="s">
        <v>901</v>
      </c>
      <c r="C31" s="51" t="s">
        <v>902</v>
      </c>
      <c r="D31" s="51" t="s">
        <v>841</v>
      </c>
    </row>
    <row r="32" customFormat="false" ht="15.75" hidden="false" customHeight="true" outlineLevel="0" collapsed="false">
      <c r="B32" s="51" t="s">
        <v>903</v>
      </c>
      <c r="C32" s="51" t="s">
        <v>904</v>
      </c>
      <c r="D32" s="51" t="s">
        <v>841</v>
      </c>
    </row>
    <row r="33" customFormat="false" ht="15.75" hidden="false" customHeight="true" outlineLevel="0" collapsed="false">
      <c r="B33" s="51" t="s">
        <v>905</v>
      </c>
      <c r="C33" s="51" t="s">
        <v>906</v>
      </c>
      <c r="D33" s="51" t="s">
        <v>907</v>
      </c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52" t="s">
        <v>908</v>
      </c>
    </row>
    <row r="2" customFormat="false" ht="30" hidden="false" customHeight="true" outlineLevel="0" collapsed="false">
      <c r="A2" s="53" t="s">
        <v>909</v>
      </c>
      <c r="B2" s="53"/>
      <c r="C2" s="53"/>
      <c r="D2" s="53"/>
      <c r="E2" s="53"/>
    </row>
    <row r="4" customFormat="false" ht="15" hidden="false" customHeight="false" outlineLevel="0" collapsed="false">
      <c r="A4" s="54" t="s">
        <v>910</v>
      </c>
    </row>
    <row r="5" customFormat="false" ht="15" hidden="false" customHeight="false" outlineLevel="0" collapsed="false">
      <c r="A5" s="55" t="s">
        <v>911</v>
      </c>
      <c r="B5" s="55" t="s">
        <v>912</v>
      </c>
      <c r="C5" s="55" t="s">
        <v>913</v>
      </c>
      <c r="D5" s="55" t="s">
        <v>914</v>
      </c>
      <c r="E5" s="55" t="s">
        <v>915</v>
      </c>
    </row>
    <row r="6" customFormat="false" ht="15" hidden="false" customHeight="false" outlineLevel="0" collapsed="false">
      <c r="A6" s="56" t="s">
        <v>916</v>
      </c>
      <c r="B6" s="56" t="s">
        <v>917</v>
      </c>
      <c r="C6" s="57" t="s">
        <v>918</v>
      </c>
      <c r="D6" s="56" t="s">
        <v>739</v>
      </c>
      <c r="E6" s="56"/>
    </row>
    <row r="7" customFormat="false" ht="15" hidden="false" customHeight="false" outlineLevel="0" collapsed="false">
      <c r="A7" s="56" t="s">
        <v>919</v>
      </c>
      <c r="B7" s="56" t="s">
        <v>920</v>
      </c>
      <c r="C7" s="58" t="s">
        <v>921</v>
      </c>
      <c r="D7" s="56" t="s">
        <v>922</v>
      </c>
      <c r="E7" s="56" t="s">
        <v>923</v>
      </c>
    </row>
    <row r="8" customFormat="false" ht="15" hidden="false" customHeight="false" outlineLevel="0" collapsed="false">
      <c r="A8" s="56" t="s">
        <v>924</v>
      </c>
      <c r="B8" s="56" t="s">
        <v>925</v>
      </c>
      <c r="C8" s="56" t="s">
        <v>926</v>
      </c>
      <c r="D8" s="56" t="s">
        <v>524</v>
      </c>
      <c r="E8" s="56" t="s">
        <v>927</v>
      </c>
    </row>
    <row r="9" customFormat="false" ht="15" hidden="false" customHeight="false" outlineLevel="0" collapsed="false">
      <c r="A9" s="56" t="s">
        <v>928</v>
      </c>
      <c r="B9" s="56" t="s">
        <v>929</v>
      </c>
      <c r="C9" s="56" t="s">
        <v>926</v>
      </c>
      <c r="D9" s="56" t="s">
        <v>930</v>
      </c>
      <c r="E9" s="56"/>
    </row>
    <row r="10" customFormat="false" ht="15" hidden="false" customHeight="false" outlineLevel="0" collapsed="false">
      <c r="A10" s="56" t="s">
        <v>931</v>
      </c>
      <c r="B10" s="56" t="s">
        <v>932</v>
      </c>
      <c r="C10" s="56" t="s">
        <v>926</v>
      </c>
      <c r="D10" s="56" t="s">
        <v>933</v>
      </c>
      <c r="E10" s="56"/>
    </row>
    <row r="11" customFormat="false" ht="15" hidden="false" customHeight="false" outlineLevel="0" collapsed="false">
      <c r="A11" s="56" t="s">
        <v>934</v>
      </c>
      <c r="B11" s="56" t="s">
        <v>935</v>
      </c>
      <c r="C11" s="56" t="s">
        <v>926</v>
      </c>
      <c r="D11" s="56" t="s">
        <v>936</v>
      </c>
      <c r="E11" s="56"/>
    </row>
    <row r="12" customFormat="false" ht="15" hidden="false" customHeight="false" outlineLevel="0" collapsed="false">
      <c r="A12" s="56" t="s">
        <v>937</v>
      </c>
      <c r="B12" s="56" t="s">
        <v>938</v>
      </c>
      <c r="C12" s="59" t="s">
        <v>939</v>
      </c>
      <c r="D12" s="56" t="s">
        <v>704</v>
      </c>
      <c r="E12" s="56"/>
    </row>
    <row r="13" customFormat="false" ht="15" hidden="false" customHeight="false" outlineLevel="0" collapsed="false">
      <c r="A13" s="56" t="s">
        <v>940</v>
      </c>
      <c r="B13" s="56" t="s">
        <v>941</v>
      </c>
      <c r="C13" s="57" t="s">
        <v>918</v>
      </c>
      <c r="D13" s="56" t="s">
        <v>745</v>
      </c>
      <c r="E13" s="56"/>
    </row>
    <row r="14" customFormat="false" ht="15" hidden="false" customHeight="false" outlineLevel="0" collapsed="false">
      <c r="A14" s="56" t="s">
        <v>942</v>
      </c>
      <c r="B14" s="56" t="s">
        <v>943</v>
      </c>
      <c r="C14" s="59" t="s">
        <v>939</v>
      </c>
      <c r="D14" s="56" t="s">
        <v>354</v>
      </c>
      <c r="E14" s="56"/>
    </row>
    <row r="15" customFormat="false" ht="15" hidden="false" customHeight="false" outlineLevel="0" collapsed="false">
      <c r="A15" s="56" t="s">
        <v>944</v>
      </c>
      <c r="B15" s="56" t="s">
        <v>945</v>
      </c>
      <c r="C15" s="56" t="s">
        <v>926</v>
      </c>
      <c r="D15" s="56" t="s">
        <v>326</v>
      </c>
      <c r="E15" s="56"/>
    </row>
    <row r="16" customFormat="false" ht="15" hidden="false" customHeight="false" outlineLevel="0" collapsed="false">
      <c r="A16" s="56" t="s">
        <v>946</v>
      </c>
      <c r="B16" s="56" t="s">
        <v>947</v>
      </c>
      <c r="C16" s="56" t="s">
        <v>926</v>
      </c>
      <c r="D16" s="56" t="s">
        <v>331</v>
      </c>
      <c r="E16" s="56"/>
    </row>
    <row r="17" customFormat="false" ht="15" hidden="false" customHeight="false" outlineLevel="0" collapsed="false">
      <c r="A17" s="56" t="s">
        <v>948</v>
      </c>
      <c r="B17" s="56" t="s">
        <v>949</v>
      </c>
      <c r="C17" s="57" t="s">
        <v>918</v>
      </c>
      <c r="D17" s="56" t="s">
        <v>751</v>
      </c>
      <c r="E17" s="56"/>
    </row>
    <row r="18" customFormat="false" ht="15" hidden="false" customHeight="false" outlineLevel="0" collapsed="false">
      <c r="A18" s="56" t="s">
        <v>950</v>
      </c>
      <c r="B18" s="56" t="s">
        <v>951</v>
      </c>
      <c r="C18" s="59" t="s">
        <v>939</v>
      </c>
      <c r="D18" s="56" t="s">
        <v>358</v>
      </c>
      <c r="E18" s="56"/>
    </row>
    <row r="19" customFormat="false" ht="15" hidden="false" customHeight="false" outlineLevel="0" collapsed="false">
      <c r="A19" s="56" t="s">
        <v>952</v>
      </c>
      <c r="B19" s="56" t="s">
        <v>953</v>
      </c>
      <c r="C19" s="56" t="s">
        <v>954</v>
      </c>
      <c r="D19" s="56" t="s">
        <v>955</v>
      </c>
      <c r="E19" s="56" t="s">
        <v>956</v>
      </c>
    </row>
    <row r="20" customFormat="false" ht="15" hidden="false" customHeight="false" outlineLevel="0" collapsed="false">
      <c r="A20" s="56" t="s">
        <v>957</v>
      </c>
      <c r="B20" s="56" t="s">
        <v>958</v>
      </c>
      <c r="C20" s="59" t="s">
        <v>939</v>
      </c>
      <c r="D20" s="56" t="s">
        <v>362</v>
      </c>
      <c r="E20" s="56"/>
    </row>
    <row r="21" customFormat="false" ht="22.35" hidden="false" customHeight="false" outlineLevel="0" collapsed="false">
      <c r="A21" s="56" t="s">
        <v>959</v>
      </c>
      <c r="B21" s="56" t="s">
        <v>960</v>
      </c>
      <c r="C21" s="58" t="s">
        <v>921</v>
      </c>
      <c r="D21" s="56" t="s">
        <v>922</v>
      </c>
      <c r="E21" s="56" t="s">
        <v>961</v>
      </c>
    </row>
    <row r="22" customFormat="false" ht="15" hidden="false" customHeight="false" outlineLevel="0" collapsed="false">
      <c r="A22" s="56" t="s">
        <v>962</v>
      </c>
      <c r="B22" s="56" t="s">
        <v>963</v>
      </c>
      <c r="C22" s="56" t="s">
        <v>964</v>
      </c>
      <c r="D22" s="56" t="s">
        <v>273</v>
      </c>
      <c r="E22" s="56" t="s">
        <v>965</v>
      </c>
    </row>
    <row r="23" customFormat="false" ht="15" hidden="false" customHeight="false" outlineLevel="0" collapsed="false">
      <c r="A23" s="56" t="s">
        <v>966</v>
      </c>
      <c r="B23" s="56" t="s">
        <v>967</v>
      </c>
      <c r="C23" s="58" t="s">
        <v>921</v>
      </c>
      <c r="D23" s="56" t="s">
        <v>922</v>
      </c>
      <c r="E23" s="56" t="s">
        <v>968</v>
      </c>
    </row>
    <row r="24" customFormat="false" ht="15" hidden="false" customHeight="false" outlineLevel="0" collapsed="false">
      <c r="A24" s="56" t="s">
        <v>969</v>
      </c>
      <c r="B24" s="56" t="s">
        <v>970</v>
      </c>
      <c r="C24" s="56" t="s">
        <v>971</v>
      </c>
      <c r="D24" s="56" t="s">
        <v>972</v>
      </c>
      <c r="E24" s="56"/>
    </row>
    <row r="25" customFormat="false" ht="15" hidden="false" customHeight="false" outlineLevel="0" collapsed="false">
      <c r="A25" s="56" t="s">
        <v>973</v>
      </c>
      <c r="B25" s="56" t="s">
        <v>974</v>
      </c>
      <c r="C25" s="59" t="s">
        <v>939</v>
      </c>
      <c r="D25" s="56" t="s">
        <v>321</v>
      </c>
      <c r="E25" s="56"/>
    </row>
    <row r="26" customFormat="false" ht="15" hidden="false" customHeight="false" outlineLevel="0" collapsed="false">
      <c r="A26" s="56" t="s">
        <v>975</v>
      </c>
      <c r="B26" s="56" t="s">
        <v>976</v>
      </c>
      <c r="C26" s="58" t="s">
        <v>921</v>
      </c>
      <c r="D26" s="56" t="s">
        <v>922</v>
      </c>
      <c r="E26" s="56" t="s">
        <v>977</v>
      </c>
    </row>
    <row r="27" customFormat="false" ht="15" hidden="false" customHeight="false" outlineLevel="0" collapsed="false">
      <c r="A27" s="56" t="s">
        <v>978</v>
      </c>
      <c r="B27" s="56" t="s">
        <v>979</v>
      </c>
      <c r="C27" s="56" t="s">
        <v>926</v>
      </c>
      <c r="D27" s="56" t="s">
        <v>313</v>
      </c>
      <c r="E27" s="56" t="s">
        <v>980</v>
      </c>
    </row>
    <row r="28" customFormat="false" ht="15" hidden="false" customHeight="false" outlineLevel="0" collapsed="false">
      <c r="A28" s="56" t="s">
        <v>981</v>
      </c>
      <c r="B28" s="56" t="s">
        <v>982</v>
      </c>
      <c r="C28" s="58" t="s">
        <v>921</v>
      </c>
      <c r="D28" s="56" t="s">
        <v>922</v>
      </c>
      <c r="E28" s="56" t="s">
        <v>983</v>
      </c>
    </row>
    <row r="29" customFormat="false" ht="15" hidden="false" customHeight="false" outlineLevel="0" collapsed="false">
      <c r="A29" s="56" t="s">
        <v>984</v>
      </c>
      <c r="B29" s="56" t="s">
        <v>985</v>
      </c>
      <c r="C29" s="58" t="s">
        <v>921</v>
      </c>
      <c r="D29" s="56" t="s">
        <v>922</v>
      </c>
      <c r="E29" s="56" t="s">
        <v>986</v>
      </c>
    </row>
    <row r="30" customFormat="false" ht="15" hidden="false" customHeight="false" outlineLevel="0" collapsed="false">
      <c r="A30" s="56" t="s">
        <v>987</v>
      </c>
      <c r="B30" s="56" t="s">
        <v>988</v>
      </c>
      <c r="C30" s="58" t="s">
        <v>921</v>
      </c>
      <c r="D30" s="56" t="s">
        <v>922</v>
      </c>
      <c r="E30" s="56"/>
    </row>
    <row r="31" customFormat="false" ht="15" hidden="false" customHeight="false" outlineLevel="0" collapsed="false">
      <c r="A31" s="56" t="s">
        <v>989</v>
      </c>
      <c r="B31" s="56" t="s">
        <v>990</v>
      </c>
      <c r="C31" s="57" t="s">
        <v>991</v>
      </c>
      <c r="D31" s="56" t="s">
        <v>761</v>
      </c>
      <c r="E31" s="56" t="s">
        <v>992</v>
      </c>
    </row>
    <row r="32" customFormat="false" ht="15" hidden="false" customHeight="false" outlineLevel="0" collapsed="false">
      <c r="A32" s="56" t="s">
        <v>993</v>
      </c>
      <c r="B32" s="56" t="s">
        <v>994</v>
      </c>
      <c r="C32" s="58" t="s">
        <v>921</v>
      </c>
      <c r="D32" s="56" t="s">
        <v>922</v>
      </c>
      <c r="E32" s="56" t="s">
        <v>995</v>
      </c>
    </row>
    <row r="33" customFormat="false" ht="15" hidden="false" customHeight="false" outlineLevel="0" collapsed="false">
      <c r="A33" s="56" t="s">
        <v>996</v>
      </c>
      <c r="B33" s="56" t="s">
        <v>997</v>
      </c>
      <c r="C33" s="58" t="s">
        <v>921</v>
      </c>
      <c r="D33" s="56" t="s">
        <v>922</v>
      </c>
      <c r="E33" s="56"/>
    </row>
    <row r="34" customFormat="false" ht="15" hidden="false" customHeight="false" outlineLevel="0" collapsed="false">
      <c r="A34" s="56" t="s">
        <v>998</v>
      </c>
      <c r="B34" s="56" t="s">
        <v>999</v>
      </c>
      <c r="C34" s="58" t="s">
        <v>921</v>
      </c>
      <c r="D34" s="56" t="s">
        <v>922</v>
      </c>
      <c r="E34" s="56" t="s">
        <v>1000</v>
      </c>
    </row>
    <row r="35" customFormat="false" ht="15" hidden="false" customHeight="false" outlineLevel="0" collapsed="false">
      <c r="A35" s="56" t="s">
        <v>1001</v>
      </c>
      <c r="B35" s="56" t="s">
        <v>1002</v>
      </c>
      <c r="C35" s="57" t="s">
        <v>991</v>
      </c>
      <c r="D35" s="56" t="s">
        <v>761</v>
      </c>
      <c r="E35" s="56" t="s">
        <v>992</v>
      </c>
    </row>
    <row r="36" customFormat="false" ht="15" hidden="false" customHeight="false" outlineLevel="0" collapsed="false">
      <c r="A36" s="56" t="s">
        <v>1003</v>
      </c>
      <c r="B36" s="56" t="s">
        <v>1004</v>
      </c>
      <c r="C36" s="57" t="s">
        <v>918</v>
      </c>
      <c r="D36" s="56" t="s">
        <v>780</v>
      </c>
      <c r="E36" s="56"/>
    </row>
    <row r="37" customFormat="false" ht="15" hidden="false" customHeight="false" outlineLevel="0" collapsed="false">
      <c r="A37" s="56" t="s">
        <v>1005</v>
      </c>
      <c r="B37" s="56" t="s">
        <v>1006</v>
      </c>
      <c r="C37" s="58" t="s">
        <v>921</v>
      </c>
      <c r="D37" s="56" t="s">
        <v>922</v>
      </c>
      <c r="E37" s="56" t="s">
        <v>1007</v>
      </c>
    </row>
    <row r="38" customFormat="false" ht="15" hidden="false" customHeight="false" outlineLevel="0" collapsed="false">
      <c r="A38" s="56" t="s">
        <v>1008</v>
      </c>
      <c r="B38" s="56" t="s">
        <v>1009</v>
      </c>
      <c r="C38" s="58" t="s">
        <v>921</v>
      </c>
      <c r="D38" s="56" t="s">
        <v>922</v>
      </c>
      <c r="E38" s="56"/>
    </row>
    <row r="39" customFormat="false" ht="15" hidden="false" customHeight="false" outlineLevel="0" collapsed="false">
      <c r="A39" s="56" t="s">
        <v>1010</v>
      </c>
      <c r="B39" s="56" t="s">
        <v>1011</v>
      </c>
      <c r="C39" s="58" t="s">
        <v>921</v>
      </c>
      <c r="D39" s="56" t="s">
        <v>922</v>
      </c>
      <c r="E39" s="56"/>
    </row>
    <row r="40" customFormat="false" ht="15" hidden="false" customHeight="false" outlineLevel="0" collapsed="false">
      <c r="A40" s="56" t="s">
        <v>1012</v>
      </c>
      <c r="B40" s="56" t="s">
        <v>1013</v>
      </c>
      <c r="C40" s="57" t="s">
        <v>918</v>
      </c>
      <c r="D40" s="56" t="s">
        <v>786</v>
      </c>
      <c r="E40" s="56"/>
    </row>
    <row r="41" customFormat="false" ht="15" hidden="false" customHeight="false" outlineLevel="0" collapsed="false">
      <c r="A41" s="56" t="s">
        <v>1014</v>
      </c>
      <c r="B41" s="56" t="s">
        <v>1015</v>
      </c>
      <c r="C41" s="59" t="s">
        <v>939</v>
      </c>
      <c r="D41" s="56" t="s">
        <v>248</v>
      </c>
      <c r="E41" s="56"/>
    </row>
    <row r="42" customFormat="false" ht="15" hidden="false" customHeight="false" outlineLevel="0" collapsed="false">
      <c r="A42" s="56" t="s">
        <v>1016</v>
      </c>
      <c r="B42" s="56" t="s">
        <v>1017</v>
      </c>
      <c r="C42" s="60" t="s">
        <v>1018</v>
      </c>
      <c r="D42" s="56" t="s">
        <v>514</v>
      </c>
      <c r="E42" s="56"/>
    </row>
    <row r="43" customFormat="false" ht="15" hidden="false" customHeight="false" outlineLevel="0" collapsed="false">
      <c r="A43" s="56" t="s">
        <v>1019</v>
      </c>
      <c r="B43" s="56" t="s">
        <v>1020</v>
      </c>
      <c r="C43" s="58" t="s">
        <v>921</v>
      </c>
      <c r="D43" s="56" t="s">
        <v>922</v>
      </c>
      <c r="E43" s="56"/>
    </row>
    <row r="44" customFormat="false" ht="15" hidden="false" customHeight="false" outlineLevel="0" collapsed="false">
      <c r="A44" s="56" t="s">
        <v>1021</v>
      </c>
      <c r="B44" s="56" t="s">
        <v>1022</v>
      </c>
      <c r="C44" s="60" t="s">
        <v>1018</v>
      </c>
      <c r="D44" s="56" t="s">
        <v>1023</v>
      </c>
      <c r="E44" s="56"/>
    </row>
    <row r="45" customFormat="false" ht="15" hidden="false" customHeight="false" outlineLevel="0" collapsed="false">
      <c r="A45" s="56" t="s">
        <v>1024</v>
      </c>
      <c r="B45" s="56" t="s">
        <v>1025</v>
      </c>
      <c r="C45" s="56" t="s">
        <v>926</v>
      </c>
      <c r="D45" s="56" t="s">
        <v>392</v>
      </c>
      <c r="E45" s="56"/>
    </row>
    <row r="46" customFormat="false" ht="15" hidden="false" customHeight="false" outlineLevel="0" collapsed="false">
      <c r="A46" s="56" t="s">
        <v>1026</v>
      </c>
      <c r="B46" s="56" t="s">
        <v>1027</v>
      </c>
      <c r="C46" s="58" t="s">
        <v>921</v>
      </c>
      <c r="D46" s="56" t="s">
        <v>922</v>
      </c>
      <c r="E46" s="56" t="s">
        <v>1028</v>
      </c>
    </row>
    <row r="47" customFormat="false" ht="15" hidden="false" customHeight="false" outlineLevel="0" collapsed="false">
      <c r="A47" s="56" t="s">
        <v>1029</v>
      </c>
      <c r="B47" s="56" t="s">
        <v>1030</v>
      </c>
      <c r="C47" s="59" t="s">
        <v>939</v>
      </c>
      <c r="D47" s="56" t="s">
        <v>354</v>
      </c>
      <c r="E47" s="56"/>
    </row>
    <row r="48" customFormat="false" ht="15" hidden="false" customHeight="false" outlineLevel="0" collapsed="false">
      <c r="A48" s="56" t="s">
        <v>1031</v>
      </c>
      <c r="B48" s="56" t="s">
        <v>1032</v>
      </c>
      <c r="C48" s="56" t="s">
        <v>926</v>
      </c>
      <c r="D48" s="56" t="s">
        <v>1033</v>
      </c>
      <c r="E48" s="56"/>
    </row>
    <row r="49" customFormat="false" ht="15" hidden="false" customHeight="false" outlineLevel="0" collapsed="false">
      <c r="A49" s="56" t="s">
        <v>1034</v>
      </c>
      <c r="B49" s="56" t="s">
        <v>1035</v>
      </c>
      <c r="C49" s="58" t="s">
        <v>921</v>
      </c>
      <c r="D49" s="56" t="s">
        <v>922</v>
      </c>
      <c r="E49" s="56" t="s">
        <v>1036</v>
      </c>
    </row>
    <row r="50" customFormat="false" ht="15" hidden="false" customHeight="false" outlineLevel="0" collapsed="false">
      <c r="A50" s="56" t="s">
        <v>1037</v>
      </c>
      <c r="B50" s="56" t="s">
        <v>1038</v>
      </c>
      <c r="C50" s="59" t="s">
        <v>939</v>
      </c>
      <c r="D50" s="56" t="s">
        <v>435</v>
      </c>
      <c r="E50" s="56"/>
    </row>
    <row r="51" customFormat="false" ht="15" hidden="false" customHeight="false" outlineLevel="0" collapsed="false">
      <c r="A51" s="56" t="s">
        <v>1039</v>
      </c>
      <c r="B51" s="56" t="s">
        <v>1040</v>
      </c>
      <c r="C51" s="56" t="s">
        <v>926</v>
      </c>
      <c r="D51" s="56" t="s">
        <v>383</v>
      </c>
      <c r="E51" s="56"/>
    </row>
    <row r="52" customFormat="false" ht="15" hidden="false" customHeight="false" outlineLevel="0" collapsed="false">
      <c r="A52" s="56" t="s">
        <v>1041</v>
      </c>
      <c r="B52" s="56" t="s">
        <v>1042</v>
      </c>
      <c r="C52" s="59" t="s">
        <v>939</v>
      </c>
      <c r="D52" s="56" t="s">
        <v>544</v>
      </c>
      <c r="E52" s="56"/>
    </row>
    <row r="53" customFormat="false" ht="22.35" hidden="false" customHeight="false" outlineLevel="0" collapsed="false">
      <c r="A53" s="56" t="s">
        <v>1043</v>
      </c>
      <c r="B53" s="56" t="s">
        <v>1044</v>
      </c>
      <c r="C53" s="56" t="s">
        <v>926</v>
      </c>
      <c r="D53" s="56" t="s">
        <v>1045</v>
      </c>
      <c r="E53" s="56"/>
    </row>
    <row r="54" customFormat="false" ht="15" hidden="false" customHeight="false" outlineLevel="0" collapsed="false">
      <c r="A54" s="56" t="s">
        <v>1046</v>
      </c>
      <c r="B54" s="56" t="s">
        <v>1047</v>
      </c>
      <c r="C54" s="59" t="s">
        <v>939</v>
      </c>
      <c r="D54" s="56" t="s">
        <v>439</v>
      </c>
      <c r="E54" s="56"/>
    </row>
    <row r="55" customFormat="false" ht="15" hidden="false" customHeight="false" outlineLevel="0" collapsed="false">
      <c r="A55" s="56" t="s">
        <v>1048</v>
      </c>
      <c r="B55" s="56" t="s">
        <v>1049</v>
      </c>
      <c r="C55" s="60" t="s">
        <v>1018</v>
      </c>
      <c r="D55" s="56" t="s">
        <v>426</v>
      </c>
      <c r="E55" s="56"/>
    </row>
    <row r="56" customFormat="false" ht="15" hidden="false" customHeight="false" outlineLevel="0" collapsed="false">
      <c r="A56" s="56" t="s">
        <v>1050</v>
      </c>
      <c r="B56" s="56" t="s">
        <v>1051</v>
      </c>
      <c r="C56" s="58" t="s">
        <v>921</v>
      </c>
      <c r="D56" s="56" t="s">
        <v>922</v>
      </c>
      <c r="E56" s="56" t="s">
        <v>1052</v>
      </c>
    </row>
    <row r="57" customFormat="false" ht="15" hidden="false" customHeight="false" outlineLevel="0" collapsed="false">
      <c r="A57" s="56" t="s">
        <v>1053</v>
      </c>
      <c r="B57" s="56" t="s">
        <v>1054</v>
      </c>
      <c r="C57" s="57" t="s">
        <v>918</v>
      </c>
      <c r="D57" s="56" t="s">
        <v>819</v>
      </c>
      <c r="E57" s="56" t="s">
        <v>1055</v>
      </c>
    </row>
    <row r="58" customFormat="false" ht="15" hidden="false" customHeight="false" outlineLevel="0" collapsed="false">
      <c r="A58" s="56" t="s">
        <v>1056</v>
      </c>
      <c r="B58" s="56" t="s">
        <v>1057</v>
      </c>
      <c r="C58" s="58" t="s">
        <v>921</v>
      </c>
      <c r="D58" s="56" t="s">
        <v>922</v>
      </c>
      <c r="E58" s="56" t="s">
        <v>1028</v>
      </c>
    </row>
    <row r="59" customFormat="false" ht="15" hidden="false" customHeight="false" outlineLevel="0" collapsed="false">
      <c r="A59" s="56" t="s">
        <v>1058</v>
      </c>
      <c r="B59" s="56" t="s">
        <v>1059</v>
      </c>
      <c r="C59" s="59" t="s">
        <v>939</v>
      </c>
      <c r="D59" s="56" t="s">
        <v>677</v>
      </c>
      <c r="E59" s="56"/>
    </row>
    <row r="60" customFormat="false" ht="15" hidden="false" customHeight="false" outlineLevel="0" collapsed="false">
      <c r="A60" s="56" t="s">
        <v>1060</v>
      </c>
      <c r="B60" s="56" t="s">
        <v>1061</v>
      </c>
      <c r="C60" s="56" t="s">
        <v>954</v>
      </c>
      <c r="D60" s="56" t="s">
        <v>1062</v>
      </c>
      <c r="E60" s="56" t="s">
        <v>1063</v>
      </c>
    </row>
    <row r="61" customFormat="false" ht="15" hidden="false" customHeight="false" outlineLevel="0" collapsed="false">
      <c r="A61" s="56" t="s">
        <v>1064</v>
      </c>
      <c r="B61" s="56" t="s">
        <v>1065</v>
      </c>
      <c r="C61" s="56" t="s">
        <v>926</v>
      </c>
      <c r="D61" s="56" t="s">
        <v>1066</v>
      </c>
      <c r="E61" s="56"/>
    </row>
    <row r="62" customFormat="false" ht="15" hidden="false" customHeight="false" outlineLevel="0" collapsed="false">
      <c r="A62" s="56" t="s">
        <v>1067</v>
      </c>
      <c r="B62" s="56" t="s">
        <v>1068</v>
      </c>
      <c r="C62" s="56" t="s">
        <v>971</v>
      </c>
      <c r="D62" s="56" t="s">
        <v>1069</v>
      </c>
      <c r="E62" s="56"/>
    </row>
    <row r="64" customFormat="false" ht="15" hidden="false" customHeight="false" outlineLevel="0" collapsed="false">
      <c r="A64" s="54" t="s">
        <v>1070</v>
      </c>
    </row>
    <row r="65" customFormat="false" ht="15" hidden="false" customHeight="false" outlineLevel="0" collapsed="false">
      <c r="A65" s="55" t="s">
        <v>1071</v>
      </c>
      <c r="B65" s="55" t="s">
        <v>912</v>
      </c>
      <c r="C65" s="55" t="s">
        <v>913</v>
      </c>
      <c r="D65" s="55" t="s">
        <v>914</v>
      </c>
    </row>
    <row r="66" customFormat="false" ht="22.35" hidden="false" customHeight="false" outlineLevel="0" collapsed="false">
      <c r="A66" s="56" t="s">
        <v>1072</v>
      </c>
      <c r="B66" s="56" t="s">
        <v>1073</v>
      </c>
      <c r="C66" s="60" t="s">
        <v>1018</v>
      </c>
      <c r="D66" s="56" t="s">
        <v>372</v>
      </c>
    </row>
    <row r="67" customFormat="false" ht="15" hidden="false" customHeight="false" outlineLevel="0" collapsed="false">
      <c r="A67" s="56" t="s">
        <v>1074</v>
      </c>
      <c r="B67" s="56" t="s">
        <v>1075</v>
      </c>
      <c r="C67" s="60" t="s">
        <v>1018</v>
      </c>
      <c r="D67" s="56" t="s">
        <v>466</v>
      </c>
    </row>
    <row r="68" customFormat="false" ht="32.8" hidden="false" customHeight="false" outlineLevel="0" collapsed="false">
      <c r="A68" s="56" t="s">
        <v>1076</v>
      </c>
      <c r="B68" s="56" t="s">
        <v>1077</v>
      </c>
      <c r="C68" s="59" t="s">
        <v>939</v>
      </c>
      <c r="D68" s="56" t="s">
        <v>198</v>
      </c>
    </row>
    <row r="69" customFormat="false" ht="22.35" hidden="false" customHeight="false" outlineLevel="0" collapsed="false">
      <c r="A69" s="56" t="s">
        <v>1078</v>
      </c>
      <c r="B69" s="56" t="s">
        <v>1079</v>
      </c>
      <c r="C69" s="59" t="s">
        <v>1080</v>
      </c>
      <c r="D69" s="56" t="s">
        <v>1081</v>
      </c>
    </row>
    <row r="70" customFormat="false" ht="15" hidden="false" customHeight="false" outlineLevel="0" collapsed="false">
      <c r="A70" s="56" t="s">
        <v>1082</v>
      </c>
      <c r="B70" s="56" t="s">
        <v>1083</v>
      </c>
      <c r="C70" s="59" t="s">
        <v>939</v>
      </c>
      <c r="D70" s="56" t="s">
        <v>396</v>
      </c>
    </row>
    <row r="71" customFormat="false" ht="22.35" hidden="false" customHeight="false" outlineLevel="0" collapsed="false">
      <c r="A71" s="56" t="s">
        <v>1084</v>
      </c>
      <c r="B71" s="56" t="s">
        <v>1085</v>
      </c>
      <c r="C71" s="59" t="s">
        <v>939</v>
      </c>
      <c r="D71" s="56" t="s">
        <v>1086</v>
      </c>
    </row>
    <row r="72" customFormat="false" ht="15" hidden="false" customHeight="false" outlineLevel="0" collapsed="false">
      <c r="A72" s="56" t="s">
        <v>1087</v>
      </c>
      <c r="B72" s="56" t="s">
        <v>1088</v>
      </c>
      <c r="C72" s="60" t="s">
        <v>1018</v>
      </c>
      <c r="D72" s="56" t="s">
        <v>238</v>
      </c>
    </row>
    <row r="73" customFormat="false" ht="22.35" hidden="false" customHeight="false" outlineLevel="0" collapsed="false">
      <c r="A73" s="56" t="s">
        <v>1089</v>
      </c>
      <c r="B73" s="56" t="s">
        <v>1090</v>
      </c>
      <c r="C73" s="59" t="s">
        <v>939</v>
      </c>
      <c r="D73" s="56" t="s">
        <v>480</v>
      </c>
    </row>
    <row r="74" customFormat="false" ht="15" hidden="false" customHeight="false" outlineLevel="0" collapsed="false">
      <c r="A74" s="56" t="s">
        <v>1091</v>
      </c>
      <c r="B74" s="56" t="s">
        <v>1092</v>
      </c>
      <c r="C74" s="57" t="s">
        <v>918</v>
      </c>
      <c r="D74" s="56" t="s">
        <v>808</v>
      </c>
    </row>
    <row r="75" customFormat="false" ht="15" hidden="false" customHeight="false" outlineLevel="0" collapsed="false">
      <c r="A75" s="56" t="s">
        <v>1093</v>
      </c>
      <c r="B75" s="56" t="s">
        <v>1094</v>
      </c>
      <c r="C75" s="57" t="s">
        <v>918</v>
      </c>
      <c r="D75" s="56" t="s">
        <v>797</v>
      </c>
    </row>
    <row r="76" customFormat="false" ht="15" hidden="false" customHeight="false" outlineLevel="0" collapsed="false">
      <c r="A76" s="56" t="s">
        <v>1095</v>
      </c>
      <c r="B76" s="56" t="s">
        <v>1096</v>
      </c>
      <c r="C76" s="57" t="s">
        <v>918</v>
      </c>
      <c r="D76" s="56" t="s">
        <v>1097</v>
      </c>
    </row>
    <row r="77" customFormat="false" ht="22.35" hidden="false" customHeight="false" outlineLevel="0" collapsed="false">
      <c r="A77" s="56" t="s">
        <v>1098</v>
      </c>
      <c r="B77" s="56" t="s">
        <v>1099</v>
      </c>
      <c r="C77" s="60" t="s">
        <v>1018</v>
      </c>
      <c r="D77" s="56" t="s">
        <v>309</v>
      </c>
    </row>
    <row r="78" customFormat="false" ht="15" hidden="false" customHeight="false" outlineLevel="0" collapsed="false">
      <c r="A78" s="56" t="s">
        <v>1100</v>
      </c>
      <c r="B78" s="56" t="s">
        <v>1101</v>
      </c>
      <c r="C78" s="59" t="s">
        <v>939</v>
      </c>
      <c r="D78" s="56" t="s">
        <v>540</v>
      </c>
    </row>
    <row r="79" customFormat="false" ht="15" hidden="false" customHeight="false" outlineLevel="0" collapsed="false">
      <c r="A79" s="56" t="s">
        <v>1102</v>
      </c>
      <c r="B79" s="56" t="s">
        <v>1103</v>
      </c>
      <c r="C79" s="59" t="s">
        <v>939</v>
      </c>
      <c r="D79" s="56" t="s">
        <v>243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2026-10-04T23:32:50Z</dcterms:created>
  <dc:creator>openpyxl</dc:creator>
  <dc:description/>
  <dc:language>en-US</dc:language>
  <cp:lastModifiedBy/>
  <dcterms:modified xsi:type="dcterms:W3CDTF">2026-10-04T23:32:59Z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