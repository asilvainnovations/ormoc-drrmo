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Requirements" sheetId="1" state="visible" r:id="rId3"/>
    <sheet name="Domain_Traceability" sheetId="2" state="visible" r:id="rId4"/>
    <sheet name="Indicator_Data_Dictionary" sheetId="3" state="visible" r:id="rId5"/>
    <sheet name="Scoring_Lookups" sheetId="4" state="visible" r:id="rId6"/>
    <sheet name="Framework_Crosswalk" sheetId="5" state="visible" r:id="rId7"/>
    <sheet name="Source_Control" sheetId="6" state="visible" r:id="rId8"/>
    <sheet name="Change_Log" sheetId="7" state="visible" r:id="rId9"/>
  </sheets>
  <definedNames>
    <definedName function="false" hidden="true" localSheetId="1" name="_xlnm._FilterDatabase" vbProcedure="false">Domain_Traceability!$A$1:$M$18</definedName>
    <definedName function="false" hidden="true" localSheetId="2" name="_xlnm._FilterDatabase" vbProcedure="false">Indicator_Data_Dictionary!$A$1:$T$109</definedName>
    <definedName function="false" hidden="true" localSheetId="0" name="_xlnm._FilterDatabase" vbProcedure="false">Master_Requirements!$A$1:$L$16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<sst xmlns="http://schemas.openxmlformats.org/spreadsheetml/2006/main" count="4607" uniqueCount="1432">
  <si>
    <t xml:space="preserve">Req ID</t>
  </si>
  <si>
    <t xml:space="preserve">Requirement / Source Objective</t>
  </si>
  <si>
    <t xml:space="preserve">Requirement Statement</t>
  </si>
  <si>
    <t xml:space="preserve">Source Basis</t>
  </si>
  <si>
    <t xml:space="preserve">IAT Coverage</t>
  </si>
  <si>
    <t xml:space="preserve">Evidence / Verification</t>
  </si>
  <si>
    <t xml:space="preserve">Situational Analysis Output</t>
  </si>
  <si>
    <t xml:space="preserve">Draft MOO Output</t>
  </si>
  <si>
    <t xml:space="preserve">Platform Requirement / UX Workflow</t>
  </si>
  <si>
    <t xml:space="preserve">Core Data Entities</t>
  </si>
  <si>
    <t xml:space="preserve">Priority / Escalation Rule</t>
  </si>
  <si>
    <t xml:space="preserve">Priority</t>
  </si>
  <si>
    <t xml:space="preserve">MR-01</t>
  </si>
  <si>
    <t xml:space="preserve">Project objective: validated actionable MOO</t>
  </si>
  <si>
    <t xml:space="preserve">Create one integrated, evidence-based operating framework linking CDRRMO institutional functions and EOC incident coordination.</t>
  </si>
  <si>
    <t xml:space="preserve">Inception Report Objectives 1–5; IAT v1.1 purpose/use</t>
  </si>
  <si>
    <t xml:space="preserve">All 140 indicators (125 core in Parts A–B; 15 interface in Part C)</t>
  </si>
  <si>
    <t xml:space="preserve">Validated evidence register; scored baseline; priority gaps</t>
  </si>
  <si>
    <t xml:space="preserve">Executive Summary; methodology; consolidated findings; priority actions</t>
  </si>
  <si>
    <t xml:space="preserve">Integrated MOO architecture; procedures, standards, roles, forms and update mechanism</t>
  </si>
  <si>
    <t xml:space="preserve">Role-based assessment workflow; evidence-first scoring; traceability view</t>
  </si>
  <si>
    <t xml:space="preserve">Assessment cycle; evidence; scores; gaps; actions; MOO traceability; document versions</t>
  </si>
  <si>
    <t xml:space="preserve">Applies to the whole assessment</t>
  </si>
  <si>
    <t xml:space="preserve">Critical</t>
  </si>
  <si>
    <t xml:space="preserve">MR-02</t>
  </si>
  <si>
    <t xml:space="preserve">Functional Area 1</t>
  </si>
  <si>
    <t xml:space="preserve">Define mandate, organization, authority, delegation, roles, coordination and accountability.</t>
  </si>
  <si>
    <t xml:space="preserve">MOO Functional Area 1; A1, A2, A10</t>
  </si>
  <si>
    <t xml:space="preserve">A1.1–A1.8; A2.1–A2.10; A10.1–A10.3</t>
  </si>
  <si>
    <t xml:space="preserve">Legal instruments, organogram, plantilla, rosters, MOAs, reporting records, skills inventory</t>
  </si>
  <si>
    <t xml:space="preserve">Governance/institutional findings</t>
  </si>
  <si>
    <t xml:space="preserve">Ch.1–2; Ch.9 partnerships; role/JD annexes</t>
  </si>
  <si>
    <t xml:space="preserve">Governance module; role matrix; approval workflow</t>
  </si>
  <si>
    <t xml:space="preserve">organizations; offices; positions; authorities; partnerships; declarations; skills_inventory</t>
  </si>
  <si>
    <t xml:space="preserve">High when mandatory legal/role gaps score below 3</t>
  </si>
  <si>
    <t xml:space="preserve">High</t>
  </si>
  <si>
    <t xml:space="preserve">MR-03</t>
  </si>
  <si>
    <t xml:space="preserve">Functional Area 2</t>
  </si>
  <si>
    <t xml:space="preserve">Maintain current multi-hazard risk intelligence, prevention/mitigation and risk-informed planning.</t>
  </si>
  <si>
    <t xml:space="preserve">MOO Functional Area 2; A3, A5; Part C C1–C3</t>
  </si>
  <si>
    <t xml:space="preserve">A3.1–A3.7; A5.1–A5.9; interface C1.1–C1.4, C2.1–C2.3, C3.1–C3.3</t>
  </si>
  <si>
    <t xml:space="preserve">Plans, hazard maps, CDRA, GIS/data records, critical-facility dependency map, dataset version dates; lead-office records for Part C</t>
  </si>
  <si>
    <t xml:space="preserve">Risk and planning baseline; Part C interface results</t>
  </si>
  <si>
    <t xml:space="preserve">Ch.3 Planning; Ch.7 Knowledge Management</t>
  </si>
  <si>
    <t xml:space="preserve">GIS/risk dashboard; document/version control; failure-chain view</t>
  </si>
  <si>
    <t xml:space="preserve">plans; hazards; risk_scenarios; gis_layers; datasets; critical_facilities; facility_dependencies</t>
  </si>
  <si>
    <t xml:space="preserve">Risk-informed prioritization</t>
  </si>
  <si>
    <t xml:space="preserve">MR-04</t>
  </si>
  <si>
    <t xml:space="preserve">Functional Area 3</t>
  </si>
  <si>
    <t xml:space="preserve">Establish preparedness, contingency planning, capacity development, drills and readiness standards.</t>
  </si>
  <si>
    <t xml:space="preserve">MOO Functional Area 3; A3, A7, B7; Part C C5</t>
  </si>
  <si>
    <t xml:space="preserve">A3.3–A3.6; A7.1–A7.9; B7.2–B7.6; interface C5.1</t>
  </si>
  <si>
    <t xml:space="preserve">CPs, PSCP, training, refresher and drill records, EC audits, stock records, welfare-check drills</t>
  </si>
  <si>
    <t xml:space="preserve">Preparedness capacity and readiness gaps</t>
  </si>
  <si>
    <t xml:space="preserve">Ch.3 Planning; Ch.4; Ch.6 Capacity; EOC Ch.8–9</t>
  </si>
  <si>
    <t xml:space="preserve">Preparedness dashboard; training/exercise calendar; refresher tracking</t>
  </si>
  <si>
    <t xml:space="preserve">plans; training; exercises; evacuation_centers; inventories; welfare_checks</t>
  </si>
  <si>
    <t xml:space="preserve">High for untested mandatory readiness</t>
  </si>
  <si>
    <t xml:space="preserve">MR-05</t>
  </si>
  <si>
    <t xml:space="preserve">Functional Area 4</t>
  </si>
  <si>
    <t xml:space="preserve">Define EOC activation/deactivation, incident management, ICS interface, escalation, transition and anticipatory action.</t>
  </si>
  <si>
    <t xml:space="preserve">MOO Functional Area 4; B1, B4, B7.1, A8; A1.8; Part C C4</t>
  </si>
  <si>
    <t xml:space="preserve">A1.8; A8.1–A8.9; B1.1–B1.5; B4.1–B4.2; B7.1; interface C4.1–C4.4</t>
  </si>
  <si>
    <t xml:space="preserve">ICS EO, IMT roster, activation matrix/logs, EOC organogram and roster with alternates, approved EOC SOPs, PDRA records, AA protocols, sector AA plans</t>
  </si>
  <si>
    <t xml:space="preserve">EOC/response readiness baseline</t>
  </si>
  <si>
    <t xml:space="preserve">Ch.4 Response; EOC Ch.1–2; EOC Ch.7</t>
  </si>
  <si>
    <t xml:space="preserve">Activation wizard; operational-period workflow; ICS/EOC role view; AA protocol checklist</t>
  </si>
  <si>
    <t xml:space="preserve">activation_levels; activation_events; incidents; imt_rosters; aa_protocols</t>
  </si>
  <si>
    <t xml:space="preserve">Immediate escalation for mandatory activation/ICS/AA gaps</t>
  </si>
  <si>
    <t xml:space="preserve">MR-06</t>
  </si>
  <si>
    <t xml:space="preserve">Functional Area 5</t>
  </si>
  <si>
    <t xml:space="preserve">Operate hazard monitoring, warning thresholds, last-mile dissemination, emergency communications and public information.</t>
  </si>
  <si>
    <t xml:space="preserve">MOO Functional Area 5; A6, B3</t>
  </si>
  <si>
    <t xml:space="preserve">A6.1–A6.7; B3.1–B3.6</t>
  </si>
  <si>
    <t xml:space="preserve">EWS logs, warning matrix, test logs, comms inventory, directory, declaration/AA advisory templates</t>
  </si>
  <si>
    <t xml:space="preserve">Warning/communications findings</t>
  </si>
  <si>
    <t xml:space="preserve">Ch.4; EOC Ch.3–4; EOC Ch.5</t>
  </si>
  <si>
    <t xml:space="preserve">Warning composer; dissemination log; channel status</t>
  </si>
  <si>
    <t xml:space="preserve">warning_systems; thresholds; messages; channels; communication_assets; network_tests; advisory_templates</t>
  </si>
  <si>
    <t xml:space="preserve">Life-safety priority; weight-3 mandatory gaps</t>
  </si>
  <si>
    <t xml:space="preserve">MR-07</t>
  </si>
  <si>
    <t xml:space="preserve">Functional Area 6</t>
  </si>
  <si>
    <t xml:space="preserve">Maintain situational awareness, information management, GIS/COP, SitReps and reporting flows.</t>
  </si>
  <si>
    <t xml:space="preserve">MOO Functional Area 6; B5, A5, A10</t>
  </si>
  <si>
    <t xml:space="preserve">A5.1–A5.9; A10.3–A10.8; B5.1–B5.7</t>
  </si>
  <si>
    <t xml:space="preserve">GIS layers, SitReps, logs, monitoring records, reports, 45-day RA 12287 reports, citizen-report intake logs</t>
  </si>
  <si>
    <t xml:space="preserve">Information-system and reporting baseline</t>
  </si>
  <si>
    <t xml:space="preserve">Ch.7; EOC Ch.5–6</t>
  </si>
  <si>
    <t xml:space="preserve">Common Operating Picture; reporting workflow; audit trail; verified citizen-report intake</t>
  </si>
  <si>
    <t xml:space="preserve">sit_reps; cop_layers; event_logs; reports; hazard_feeds; citizen_reports; declaration_reports</t>
  </si>
  <si>
    <t xml:space="preserve">Data quality/completeness and timeliness</t>
  </si>
  <si>
    <t xml:space="preserve">MR-08</t>
  </si>
  <si>
    <t xml:space="preserve">Functional Area 7</t>
  </si>
  <si>
    <t xml:space="preserve">Provide resource, logistics and emergency support management, including procurement, stockpiling, prepositioning and mutual aid.</t>
  </si>
  <si>
    <t xml:space="preserve">MOO Functional Area 7; A4, A7, A8, B6</t>
  </si>
  <si>
    <t xml:space="preserve">A4.1–A4.9; A7.5; A8.3; A8.8; B6.1–B6.6</t>
  </si>
  <si>
    <t xml:space="preserve">Budget/fund records incl. AA line, procurement SOPs, inventories, resource requests, MOAs, supplier agreements</t>
  </si>
  <si>
    <t xml:space="preserve">Resource and financial capacity findings</t>
  </si>
  <si>
    <t xml:space="preserve">Ch.5 Financing; EOC Ch.6–7</t>
  </si>
  <si>
    <t xml:space="preserve">Resource request/approval/tracking; logistics dashboard; AA fund tracker</t>
  </si>
  <si>
    <t xml:space="preserve">budgets; resources; warehouses; resource_requests; mutual_aid; resource_commitments; aa_fund_allocations</t>
  </si>
  <si>
    <t xml:space="preserve">High for legal/fund/resource bottlenecks</t>
  </si>
  <si>
    <t xml:space="preserve">MR-09</t>
  </si>
  <si>
    <t xml:space="preserve">Functional Area 8</t>
  </si>
  <si>
    <t xml:space="preserve">Protect responders and ensure welfare, fatigue management, inclusion and safe emergency operations.</t>
  </si>
  <si>
    <t xml:space="preserve">MOO Functional Area 8; A2, A7, B4</t>
  </si>
  <si>
    <t xml:space="preserve">A2.7; A7.6; B4.3–B4.6</t>
  </si>
  <si>
    <t xml:space="preserve">Insurance/PPE/MHPSS records, inclusion plans, sector representatives' confirmation, rosters, welfare procedures</t>
  </si>
  <si>
    <t xml:space="preserve">Responder safety and inclusion findings</t>
  </si>
  <si>
    <t xml:space="preserve">Ch.2/4; EOC Ch.5</t>
  </si>
  <si>
    <t xml:space="preserve">Duty/welfare alerts; protected role data; inclusion checklist</t>
  </si>
  <si>
    <t xml:space="preserve">responder_profiles; welfare_records; duty_rosters; inclusion_controls</t>
  </si>
  <si>
    <t xml:space="preserve">Life-safety and duty-of-care gaps</t>
  </si>
  <si>
    <t xml:space="preserve">MR-10</t>
  </si>
  <si>
    <t xml:space="preserve">Functional Area 9</t>
  </si>
  <si>
    <t xml:space="preserve">Ensure digital continuity, cybersecurity, alternate EOC capability, backup power/connectivity and protected data.</t>
  </si>
  <si>
    <t xml:space="preserve">MOO Functional Area 9; A3.4, A5.5, B2, B3</t>
  </si>
  <si>
    <t xml:space="preserve">A3.4; A5.5; B2.1–B2.7; B3.3–B3.6</t>
  </si>
  <si>
    <t xml:space="preserve">PSCP, site assessment, generator/failover tests, privacy/security records</t>
  </si>
  <si>
    <t xml:space="preserve">Continuity/cyber resilience baseline</t>
  </si>
  <si>
    <t xml:space="preserve">EOC Ch.3–4; EOC Ch.7</t>
  </si>
  <si>
    <t xml:space="preserve">Continuity status; test history; incident/audit logs</t>
  </si>
  <si>
    <t xml:space="preserve">facilities; alternate_eoc; backups; cybersecurity_controls; continuity_plans</t>
  </si>
  <si>
    <t xml:space="preserve">High/critical for single points of failure</t>
  </si>
  <si>
    <t xml:space="preserve">MR-11</t>
  </si>
  <si>
    <t xml:space="preserve">Functional Area 10</t>
  </si>
  <si>
    <t xml:space="preserve">Institutionalize recovery, learning, M&amp;E, AARs, improvement tracking and annual reassessment.</t>
  </si>
  <si>
    <t xml:space="preserve">MOO Functional Area 10; A9, A10, B7</t>
  </si>
  <si>
    <t xml:space="preserve">A9.1–A9.5; A10.4–A10.9; B7.3–B7.6</t>
  </si>
  <si>
    <t xml:space="preserve">Recovery plans and pre-disaster recovery framework, AARs, M&amp;E reports, recognition results, exercise records, learning exchanges</t>
  </si>
  <si>
    <t xml:space="preserve">Recovery and continuous-improvement findings</t>
  </si>
  <si>
    <t xml:space="preserve">Ch.7–8; EOC Ch.8–9</t>
  </si>
  <si>
    <t xml:space="preserve">Improvement cycle; annual reassessment; change history</t>
  </si>
  <si>
    <t xml:space="preserve">recovery_plans; aar_records; lessons_learned; improvement_actions; assessment_cycles; learning_exchanges</t>
  </si>
  <si>
    <t xml:space="preserve">Trend and closure tracking</t>
  </si>
  <si>
    <t xml:space="preserve">MR-12</t>
  </si>
  <si>
    <t xml:space="preserve">Cross-cutting evidence standard</t>
  </si>
  <si>
    <t xml:space="preserve">Every score must be traceable to evidence; interviews/FGDs alone cannot support scores above 2. Part C evidence comes from the lead office under the same rule.</t>
  </si>
  <si>
    <t xml:space="preserve">IAT v1.1 methodology §§5–6</t>
  </si>
  <si>
    <t xml:space="preserve">All 140</t>
  </si>
  <si>
    <t xml:space="preserve">Evidence records with source, date, verification method and validation status</t>
  </si>
  <si>
    <t xml:space="preserve">Evidence-quality narrative</t>
  </si>
  <si>
    <t xml:space="preserve">Evidence annex; validation notes</t>
  </si>
  <si>
    <t xml:space="preserve">Evidence drawer; score/evidence linkage; immutable history</t>
  </si>
  <si>
    <t xml:space="preserve">evidence_records; validation_records; documents</t>
  </si>
  <si>
    <t xml:space="preserve">Evidence quality gates</t>
  </si>
  <si>
    <t xml:space="preserve">MR-13</t>
  </si>
  <si>
    <t xml:space="preserve">Cross-cutting scoring and priority engine</t>
  </si>
  <si>
    <t xml:space="preserve">Automate maturity, mandatory compliance and gap priority consistently across cycles. The Institutional Maturity Index covers Parts A–B only; Part C produces a separate Interface Index using the Good Practice factor.</t>
  </si>
  <si>
    <t xml:space="preserve">IAT v1.1 methodology §5 (incl. §5.5 Interface Index)</t>
  </si>
  <si>
    <t xml:space="preserve">All scored indicators; IMI = 125 core; Interface Index = 15 Part C</t>
  </si>
  <si>
    <t xml:space="preserve">Score, weight, type, evidence strength, priority calculation</t>
  </si>
  <si>
    <t xml:space="preserve">Dashboard and compliance summary; Interface Index</t>
  </si>
  <si>
    <t xml:space="preserve">Action Plan; priority actions</t>
  </si>
  <si>
    <t xml:space="preserve">Explainable scoring engine; separate index streams</t>
  </si>
  <si>
    <t xml:space="preserve">assessment_responses; score_history; gaps; index_results</t>
  </si>
  <si>
    <t xml:space="preserve">Formula-driven</t>
  </si>
  <si>
    <t xml:space="preserve">MR-14</t>
  </si>
  <si>
    <t xml:space="preserve">Cross-cutting traceability</t>
  </si>
  <si>
    <t xml:space="preserve">Each indicator gap must route to a required improvement, responsible owner (lead office for Part C), MOO chapter/SOP and digital requirement.</t>
  </si>
  <si>
    <t xml:space="preserve">IAT purpose/use; Inception Report; IAT v1.1 Annex G</t>
  </si>
  <si>
    <t xml:space="preserve">Indicator-to-gap-to-action-to-MOO linkage</t>
  </si>
  <si>
    <t xml:space="preserve">MOO implications chapter-by-chapter (§10)</t>
  </si>
  <si>
    <t xml:space="preserve">MOO requirements and SOP/form list</t>
  </si>
  <si>
    <t xml:space="preserve">Traceability explorer</t>
  </si>
  <si>
    <t xml:space="preserve">indicator_moo_links; gaps; actions; moo_chapters; sops; interface_offices</t>
  </si>
  <si>
    <t xml:space="preserve">Closed-loop improvement</t>
  </si>
  <si>
    <t xml:space="preserve">MR-15</t>
  </si>
  <si>
    <t xml:space="preserve">Cross-cutting governance, privacy and annual reuse</t>
  </si>
  <si>
    <t xml:space="preserve">Protect assessment information, limit personal data (no beneficiary or CBMS personal data copied into the assessment), maintain City-controlled storage, audit changes and support annual self-assessment.</t>
  </si>
  <si>
    <t xml:space="preserve">IAT QA/Ethics/Data Privacy; RA 10173; annual self-assessment objective</t>
  </si>
  <si>
    <t xml:space="preserve">Access controls, audit logs, privacy controls, versioned records</t>
  </si>
  <si>
    <t xml:space="preserve">Method limitations/privacy statement</t>
  </si>
  <si>
    <t xml:space="preserve">MOO governance/update mechanism</t>
  </si>
  <si>
    <t xml:space="preserve">RBAC/RLS; audit trail; versioning; annual cycle cloning</t>
  </si>
  <si>
    <t xml:space="preserve">users; roles; audit_logs; document_versions; assessment_cycles</t>
  </si>
  <si>
    <t xml:space="preserve">Privacy breach risk is always High</t>
  </si>
  <si>
    <t xml:space="preserve">MR-16</t>
  </si>
  <si>
    <t xml:space="preserve">Statutory: RA 12287 and IRR (anticipatory action)</t>
  </si>
  <si>
    <t xml:space="preserve">Be ready to request, declare, implement, fund, lift and report a State of Imminent Disaster, and to take anticipatory action within the lead time, including city-level early action for short-lead-time hazards (flash floods, landslides).</t>
  </si>
  <si>
    <t xml:space="preserve">RA 12287; IRR signed 14 Sep 2026 (Rules II–VII); IAT v1.1 Annex G §5</t>
  </si>
  <si>
    <t xml:space="preserve">A1.8; A2.8; A2.9; A4.6; A5.8; A6.2; A6.7; A7.6; A8.6; A8.8; A8.9; A10.8; B1.2; B6.6; C2.1; C2.2; C2.3; C3.3; C4.1; C4.2; C4.3; C4.4</t>
  </si>
  <si>
    <t xml:space="preserve">SOP and EO templates; RDRRMC request records; AA protocols; LDRRMFIP AA line; advisory templates; targeting guidelines; 45-day reports</t>
  </si>
  <si>
    <t xml:space="preserve">§5 Readiness under RA 12287</t>
  </si>
  <si>
    <t xml:space="preserve">MOO Ch.1 declaration procedure; MOO Ch.4 AA protocols; MOO Ch.5 AA funding; MOO Ch.7 reporting; EOC Ch.2 anticipatory posture</t>
  </si>
  <si>
    <t xml:space="preserve">Declaration workflow (PDRA → CDRRMC → RDRRMC 24-hour reply → Mayor's EO → lifting); AA checklist by hazard and lead time; AA fund tracker with 30%/70% tranche rule; 45-day report generator</t>
  </si>
  <si>
    <t xml:space="preserve">declarations; pdras; aa_protocols; aa_triggers; prepositioning_orders; aa_fund_allocations; beneficiary_targeting; declaration_reports</t>
  </si>
  <si>
    <t xml:space="preserve">Escalate weight-3 Mandatory AA gaps to the Mayor and CDRRMC before typhoon season</t>
  </si>
  <si>
    <t xml:space="preserve">MR-17</t>
  </si>
  <si>
    <t xml:space="preserve">Interface indicators (Part C)</t>
  </si>
  <si>
    <t xml:space="preserve">Assess, separately from the CDRRMO's own index, city systems owned by other offices that the CDRRMO depends on, and route each gap to the named lead office.</t>
  </si>
  <si>
    <t xml:space="preserve">IAT v1.1 Part C; UNDRR Scorecard; RA 12287 IRR Rule IV Secs. 4, 8–10</t>
  </si>
  <si>
    <t xml:space="preserve">C1.1–C5.1 (15 indicators)</t>
  </si>
  <si>
    <t xml:space="preserve">Lead-office records; short KIIs with lead offices</t>
  </si>
  <si>
    <t xml:space="preserve">§6 Results for Part C, by lead office</t>
  </si>
  <si>
    <t xml:space="preserve">MOO Ch.3 and Ch.9 coordination arrangements; EOC Ch.4 and Ch.7 sector desks</t>
  </si>
  <si>
    <t xml:space="preserve">Lead-office assignment; separate Interface Index; inter-office action tracking</t>
  </si>
  <si>
    <t xml:space="preserve">interface_offices; interface_responses; inter_office_actions</t>
  </si>
  <si>
    <t xml:space="preserve">High only at weight 3 and score ≤1 (Good Practice factor)</t>
  </si>
  <si>
    <t xml:space="preserve">MR-18</t>
  </si>
  <si>
    <t xml:space="preserve">Framework alignment: UNDRR Disaster Resilience Scorecard</t>
  </si>
  <si>
    <t xml:space="preserve">Keep each Scorecard-derived indicator traceable to its DRSC criterion so results can feed MCR2030 and Sendai reporting; Scorecard criteria not adopted stay for a city-wide Scorecard workshop and are not scored.</t>
  </si>
  <si>
    <t xml:space="preserve">UNDRR DRSC Detailed Level Assessment (2017); IAT v1.1 Crosswalk</t>
  </si>
  <si>
    <t xml:space="preserve">A2.10; A4.9; A5.7; A5.8; A5.9; A7.6; A7.8; A7.9; A9.5; A10.2; A10.9; B5.7; B6.6; C1.1; C1.2; C1.3; C1.4; C2.1; C2.2; C2.3; C3.1; C3.2; C5.1</t>
  </si>
  <si>
    <t xml:space="preserve">DRSC reference in each indicator; Framework_Crosswalk sheet</t>
  </si>
  <si>
    <t xml:space="preserve">§2 Background and method; Crosswalk annex</t>
  </si>
  <si>
    <t xml:space="preserve">MOO Ch.7 M&amp;E and reporting</t>
  </si>
  <si>
    <t xml:space="preserve">Framework crosswalk view; external framework tags on indicators</t>
  </si>
  <si>
    <t xml:space="preserve">framework_refs; indicator_framework_links</t>
  </si>
  <si>
    <t xml:space="preserve">Deferred criteria are not scored</t>
  </si>
  <si>
    <t xml:space="preserve">Medium</t>
  </si>
  <si>
    <t xml:space="preserve">Domain Code</t>
  </si>
  <si>
    <t xml:space="preserve">Part</t>
  </si>
  <si>
    <t xml:space="preserve">Domain</t>
  </si>
  <si>
    <t xml:space="preserve">Indicators</t>
  </si>
  <si>
    <t xml:space="preserve">Mandatory</t>
  </si>
  <si>
    <t xml:space="preserve">Good Practice</t>
  </si>
  <si>
    <t xml:space="preserve">Primary Functional Area</t>
  </si>
  <si>
    <t xml:space="preserve">Platform Module</t>
  </si>
  <si>
    <t xml:space="preserve">Situational Analysis Section</t>
  </si>
  <si>
    <t xml:space="preserve">MOO Chapter/Area</t>
  </si>
  <si>
    <t xml:space="preserve">Core Platform Entities</t>
  </si>
  <si>
    <t xml:space="preserve">Primary Digital Workflow</t>
  </si>
  <si>
    <t xml:space="preserve">Report / Decision Use</t>
  </si>
  <si>
    <t xml:space="preserve">Index</t>
  </si>
  <si>
    <t xml:space="preserve">Added in v1.1</t>
  </si>
  <si>
    <t xml:space="preserve">A1</t>
  </si>
  <si>
    <t xml:space="preserve">A</t>
  </si>
  <si>
    <t xml:space="preserve">Legal Mandate &amp; DRRM Governance</t>
  </si>
  <si>
    <t xml:space="preserve">1 Governance, Organization &amp; Institutional Arrangements</t>
  </si>
  <si>
    <t xml:space="preserve">Governance &amp; Institutional Management</t>
  </si>
  <si>
    <t xml:space="preserve">3. Results for Part A (CDRRMO), by domain; 5. Readiness under RA 12287 (selected indicators)</t>
  </si>
  <si>
    <t xml:space="preserve">MOO Ch.1; MOO Ch.1 / EOC Ch.2; MOO Ch.1 Legal &amp; Institutional Framework; MOO Ch.2 Office Organization</t>
  </si>
  <si>
    <t xml:space="preserve">organizations; legal_instruments; governance_bodies; policies; declarations</t>
  </si>
  <si>
    <t xml:space="preserve">Governance baseline → gap → institutional action; declaration-readiness check</t>
  </si>
  <si>
    <t xml:space="preserve">Score → evidence → gap → priority → action → MOO</t>
  </si>
  <si>
    <t xml:space="preserve">Institutional Maturity Index</t>
  </si>
  <si>
    <t xml:space="preserve">A2</t>
  </si>
  <si>
    <t xml:space="preserve">Organization, Staffing &amp; Human Resources</t>
  </si>
  <si>
    <t xml:space="preserve">MOO Ch.2; MOO Ch.2 / Annex JDs; MOO Ch.2 / Ch.4; MOO Ch.2 / Ch.6; MOO Ch.2 Office Organization; MOO Ch.4 Operations / EOC Ch.4; MOO Ch.6; MOO Ch.6 Capacity Development</t>
  </si>
  <si>
    <t xml:space="preserve">organizations; offices; positions; staff_assignments; duty_rosters; training_records; skills_inventory; aa_focal_points</t>
  </si>
  <si>
    <t xml:space="preserve">Staffing/roster baseline → capacity action</t>
  </si>
  <si>
    <t xml:space="preserve">A3</t>
  </si>
  <si>
    <t xml:space="preserve">DRRM &amp; Contingency Planning</t>
  </si>
  <si>
    <t xml:space="preserve">3 Preparedness, Planning &amp; Capacity Development</t>
  </si>
  <si>
    <t xml:space="preserve">Preparedness &amp; Capacity</t>
  </si>
  <si>
    <t xml:space="preserve">3. Results for Part A (CDRRMO), by domain</t>
  </si>
  <si>
    <t xml:space="preserve">MOO Ch.3; MOO Ch.3 / EOC Ch.3; MOO Ch.3 / EOC Ch.7; MOO Ch.3 Planning; MOO Ch.4 / EOC Ch.3; MOO Ch.5 Financing</t>
  </si>
  <si>
    <t xml:space="preserve">plans; contingency_plans; continuity_plans; evacuation_plans</t>
  </si>
  <si>
    <t xml:space="preserve">Plan review → preparedness/continuity action</t>
  </si>
  <si>
    <t xml:space="preserve">A4</t>
  </si>
  <si>
    <t xml:space="preserve">DRRM Financing &amp; Fund Management</t>
  </si>
  <si>
    <t xml:space="preserve">MOO Ch.5; MOO Ch.5 / EOC Ch.6; MOO Ch.5 Financing</t>
  </si>
  <si>
    <t xml:space="preserve">budgets; ldrmmf_allocations; fund_transactions; procurement_records; aa_fund_allocations; scenario_costings</t>
  </si>
  <si>
    <t xml:space="preserve">Finance review → funding/procurement action</t>
  </si>
  <si>
    <t xml:space="preserve">A5</t>
  </si>
  <si>
    <t xml:space="preserve">Risk Assessment, Data &amp; Knowledge Management</t>
  </si>
  <si>
    <t xml:space="preserve">2 Risk Intelligence, Prevention &amp; Mitigation</t>
  </si>
  <si>
    <t xml:space="preserve">Risk Intelligence &amp; GIS</t>
  </si>
  <si>
    <t xml:space="preserve">MOO Ch.3; MOO Ch.3 / EOC Ch.3; MOO Ch.3 / EOC Ch.5; MOO Ch.7; MOO Ch.7 Knowledge Mgmt</t>
  </si>
  <si>
    <t xml:space="preserve">hazards; risk_scenarios; exposure_assets; gis_layers; datasets; privacy_controls; critical_facilities; facility_dependencies; dataset_versions; shared_repository</t>
  </si>
  <si>
    <t xml:space="preserve">Risk/data review → GIS/data action</t>
  </si>
  <si>
    <t xml:space="preserve">A6</t>
  </si>
  <si>
    <t xml:space="preserve">Early Warning &amp; Risk Communication</t>
  </si>
  <si>
    <t xml:space="preserve">5 Early Warning, Emergency Communications &amp; Public Information</t>
  </si>
  <si>
    <t xml:space="preserve">Early Warning &amp; Public Information</t>
  </si>
  <si>
    <t xml:space="preserve">EOC Ch.2 Concept of Operations; EOC Ch.5; MOO Ch.4; MOO Ch.4 / EOC Ch.3; MOO Ch.4 / EOC Ch.5; MOO Ch.6</t>
  </si>
  <si>
    <t xml:space="preserve">warning_systems; thresholds; warning_messages; dissemination_events; channels; advisory_templates</t>
  </si>
  <si>
    <t xml:space="preserve">Warning chain test → warning improvement</t>
  </si>
  <si>
    <t xml:space="preserve">A7</t>
  </si>
  <si>
    <t xml:space="preserve">Preparedness &amp; Community Capacity</t>
  </si>
  <si>
    <t xml:space="preserve">EOC Ch.6 Logistics; MOO Ch.3 / Ch.4; MOO Ch.4 / EOC Ch.6; MOO Ch.6; MOO Ch.6 Capacity Development</t>
  </si>
  <si>
    <t xml:space="preserve">training; exercises; barangay_profiles; evacuation_centers; stock_inventories; welfare_checks; refresher_schedules</t>
  </si>
  <si>
    <t xml:space="preserve">Readiness/drill/EC review → capacity action</t>
  </si>
  <si>
    <t xml:space="preserve">A8</t>
  </si>
  <si>
    <t xml:space="preserve">Response Capability</t>
  </si>
  <si>
    <t xml:space="preserve">4 EOC Activation, Incident Management &amp; Coordination</t>
  </si>
  <si>
    <t xml:space="preserve">Incident Management &amp; Response</t>
  </si>
  <si>
    <t xml:space="preserve">EOC Ch.2; EOC Ch.2 / MOO Ch.4; EOC Ch.4; MOO Ch.4; MOO Ch.4 / EOC Ch.6; MOO Ch.4 Response Operations</t>
  </si>
  <si>
    <t xml:space="preserve">incident_types; imt_rosters; response_teams; resources; pdras; rdana_mdm; aa_protocols; prepositioning_orders; beneficiary_targeting</t>
  </si>
  <si>
    <t xml:space="preserve">ICS/response readiness → response action; AA protocol → prepositioning order</t>
  </si>
  <si>
    <t xml:space="preserve">A9</t>
  </si>
  <si>
    <t xml:space="preserve">Rehabilitation &amp; Recovery</t>
  </si>
  <si>
    <t xml:space="preserve">10 Recovery, Learning, Performance &amp; Continuous Improvement</t>
  </si>
  <si>
    <t xml:space="preserve">Recovery &amp; Continuous Improvement</t>
  </si>
  <si>
    <t xml:space="preserve">MOO Ch.8; MOO Ch.8 Recovery</t>
  </si>
  <si>
    <t xml:space="preserve">recovery_assessments; recovery_plans; recovery_actions; service_referrals; recovery_frameworks</t>
  </si>
  <si>
    <t xml:space="preserve">Recovery readiness → recovery action</t>
  </si>
  <si>
    <t xml:space="preserve">A10</t>
  </si>
  <si>
    <t xml:space="preserve">Partnerships, M&amp;E &amp; Accountability</t>
  </si>
  <si>
    <t xml:space="preserve">Governance, Partnerships &amp; Performance</t>
  </si>
  <si>
    <t xml:space="preserve">MOO Ch.5; MOO Ch.7; MOO Ch.7 / EOC Ch.5; MOO Ch.9; MOO Ch.9 Partnerships / EOC Ch.6</t>
  </si>
  <si>
    <t xml:space="preserve">partnerships; reports; performance_reviews; aar_records; lessons_learned; declaration_reports; learning_exchanges</t>
  </si>
  <si>
    <t xml:space="preserve">Partnership/M&amp;E/AAR → improvement action</t>
  </si>
  <si>
    <t xml:space="preserve">B1</t>
  </si>
  <si>
    <t xml:space="preserve">B</t>
  </si>
  <si>
    <t xml:space="preserve">EOC Legal Basis &amp; Concept of Operations</t>
  </si>
  <si>
    <t xml:space="preserve">EOC Activation &amp; Incident Management</t>
  </si>
  <si>
    <t xml:space="preserve">4. Results for Part B (EOC), by domain</t>
  </si>
  <si>
    <t xml:space="preserve">EOC Ch.1 Legal Basis; EOC Ch.2; EOC Ch.2 Concept of Operations</t>
  </si>
  <si>
    <t xml:space="preserve">eoc_configurations; activation_levels; activation_events; authorities; declarations</t>
  </si>
  <si>
    <t xml:space="preserve">Activation drill → EOC activation action</t>
  </si>
  <si>
    <t xml:space="preserve">B2</t>
  </si>
  <si>
    <t xml:space="preserve">EOC Facility, Site &amp; Resilience</t>
  </si>
  <si>
    <t xml:space="preserve">9 Digital Continuity, Cybersecurity &amp; Systems Resilience</t>
  </si>
  <si>
    <t xml:space="preserve">EOC Facility &amp; Continuity</t>
  </si>
  <si>
    <t xml:space="preserve">EOC Ch.3; EOC Ch.3 / Ch.7; EOC Ch.3 Facility</t>
  </si>
  <si>
    <t xml:space="preserve">facilities; sites; resilience_assets; generators; alternate_eoc</t>
  </si>
  <si>
    <t xml:space="preserve">Facility inspection/test → continuity action</t>
  </si>
  <si>
    <t xml:space="preserve">B3</t>
  </si>
  <si>
    <t xml:space="preserve">EOC Communications &amp; ICT</t>
  </si>
  <si>
    <t xml:space="preserve">Communications, ICT &amp; Cybersecurity</t>
  </si>
  <si>
    <t xml:space="preserve">EOC Ch.4; EOC Ch.4 Communications</t>
  </si>
  <si>
    <t xml:space="preserve">communication_assets; channels; network_tests; cybersecurity_controls; backups</t>
  </si>
  <si>
    <t xml:space="preserve">Comms/failover/cyber test → ICT action</t>
  </si>
  <si>
    <t xml:space="preserve">B4</t>
  </si>
  <si>
    <t xml:space="preserve">EOC Organization &amp; Staffing</t>
  </si>
  <si>
    <t xml:space="preserve">EOC Ch.5; EOC Ch.5 Organization</t>
  </si>
  <si>
    <t xml:space="preserve">eoc_roles; duty_rosters; liaison_desks; job_action_sheets; welfare_records</t>
  </si>
  <si>
    <t xml:space="preserve">EOC staffing/role review → staffing action</t>
  </si>
  <si>
    <t xml:space="preserve">B5</t>
  </si>
  <si>
    <t xml:space="preserve">Information Management &amp; Reporting</t>
  </si>
  <si>
    <t xml:space="preserve">6 Situational Awareness, Information Management &amp; GIS</t>
  </si>
  <si>
    <t xml:space="preserve">Situational Awareness &amp; COP</t>
  </si>
  <si>
    <t xml:space="preserve">EOC Ch.6; EOC Ch.6 Information Mgmt</t>
  </si>
  <si>
    <t xml:space="preserve">sit_reps; reports; cop_layers; evacuation_records; event_logs; hazard_feeds; citizen_reports</t>
  </si>
  <si>
    <t xml:space="preserve">SitRep/COP drill → information action</t>
  </si>
  <si>
    <t xml:space="preserve">B6</t>
  </si>
  <si>
    <t xml:space="preserve">Coordination &amp; Resource Management</t>
  </si>
  <si>
    <t xml:space="preserve">7 Resource, Logistics &amp; Emergency Support Management</t>
  </si>
  <si>
    <t xml:space="preserve">Resource &amp; Logistics Management</t>
  </si>
  <si>
    <t xml:space="preserve">EOC Ch.7; EOC Ch.7 Coordination</t>
  </si>
  <si>
    <t xml:space="preserve">resource_requests; resource_movements; resource_inventory; mutual_aid; briefings; resource_commitments</t>
  </si>
  <si>
    <t xml:space="preserve">Resource workflow → logistics action</t>
  </si>
  <si>
    <t xml:space="preserve">B7</t>
  </si>
  <si>
    <t xml:space="preserve">EOC SOPs, Training, Exercises &amp; Continuity</t>
  </si>
  <si>
    <t xml:space="preserve">Exercises, AAR &amp; Continuity</t>
  </si>
  <si>
    <t xml:space="preserve">EOC Ch.8; EOC Ch.8 Training &amp; Exercises; EOC Ch.9; EOC Ch.9 Sustainability; EOC Manual (whole)</t>
  </si>
  <si>
    <t xml:space="preserve">sops; trainings; exercises; aar_records; improvement_actions; readiness_checks</t>
  </si>
  <si>
    <t xml:space="preserve">Exercise/AAR/readiness → continuity action</t>
  </si>
  <si>
    <t xml:space="preserve">C1</t>
  </si>
  <si>
    <t xml:space="preserve">C</t>
  </si>
  <si>
    <t xml:space="preserve">Interface: Risk-Informed Planning &amp; Development</t>
  </si>
  <si>
    <t xml:space="preserve">Interface &amp; Sector Coordination (Part C)</t>
  </si>
  <si>
    <t xml:space="preserve">6. Results for Part C (interface), by lead office</t>
  </si>
  <si>
    <t xml:space="preserve">MOO Ch.3; MOO Ch.3 / Ch.5</t>
  </si>
  <si>
    <t xml:space="preserve">interface_offices; plans; risk_scenarios; project_screenings; permits</t>
  </si>
  <si>
    <t xml:space="preserve">Lead-office record review → planning/screening action</t>
  </si>
  <si>
    <t xml:space="preserve">Score → evidence → gap → lead office → inter-office action → MOO (separate Interface Index)</t>
  </si>
  <si>
    <t xml:space="preserve">Interface Index (separate)</t>
  </si>
  <si>
    <t xml:space="preserve">C2</t>
  </si>
  <si>
    <t xml:space="preserve">Interface: Critical Facilities &amp; Lifelines</t>
  </si>
  <si>
    <t xml:space="preserve">EOC Ch.3 / MOO Ch.4; EOC Ch.7; MOO Ch.9 / EOC Ch.7</t>
  </si>
  <si>
    <t xml:space="preserve">interface_offices; critical_facilities; facility_assessments; utility_agreements; restoration_priorities; routes</t>
  </si>
  <si>
    <t xml:space="preserve">Facility/utility review → protection and restoration action</t>
  </si>
  <si>
    <t xml:space="preserve">C3</t>
  </si>
  <si>
    <t xml:space="preserve">Interface: Ecosystems &amp; Watershed</t>
  </si>
  <si>
    <t xml:space="preserve">EOC Ch.2; MOO Ch.3; MOO Ch.9</t>
  </si>
  <si>
    <t xml:space="preserve">interface_offices; ecosystem_assets; monitoring_records; interlocal_agreements; work_orders</t>
  </si>
  <si>
    <t xml:space="preserve">Ecosystem/watershed review → environmental action</t>
  </si>
  <si>
    <t xml:space="preserve">C4</t>
  </si>
  <si>
    <t xml:space="preserve">Interface: Sectoral Anticipatory Action</t>
  </si>
  <si>
    <t xml:space="preserve">EOC Ch.4</t>
  </si>
  <si>
    <t xml:space="preserve">interface_offices; sector_aa_plans; surge_plans; registry_references; price_monitoring</t>
  </si>
  <si>
    <t xml:space="preserve">Sector AA plan review → cluster/sector action</t>
  </si>
  <si>
    <t xml:space="preserve">C5</t>
  </si>
  <si>
    <t xml:space="preserve">Interface: Economic Continuity</t>
  </si>
  <si>
    <t xml:space="preserve">MOO Ch.9</t>
  </si>
  <si>
    <t xml:space="preserve">interface_offices; business_outreach; partners; outreach_materials</t>
  </si>
  <si>
    <t xml:space="preserve">Outreach record review → partnership action</t>
  </si>
  <si>
    <t xml:space="preserve">TOTAL</t>
  </si>
  <si>
    <t xml:space="preserve">Parts A–C</t>
  </si>
  <si>
    <t xml:space="preserve">Indicator ID</t>
  </si>
  <si>
    <t xml:space="preserve">Indicator Statement</t>
  </si>
  <si>
    <t xml:space="preserve">Standard / Reference</t>
  </si>
  <si>
    <t xml:space="preserve">Type</t>
  </si>
  <si>
    <t xml:space="preserve">Weight</t>
  </si>
  <si>
    <t xml:space="preserve">Means of Verification</t>
  </si>
  <si>
    <t xml:space="preserve">Source MOO Chapter</t>
  </si>
  <si>
    <t xml:space="preserve">Proposed Field Methods*</t>
  </si>
  <si>
    <t xml:space="preserve">Evidence / Scoring Gate</t>
  </si>
  <si>
    <t xml:space="preserve">Situational Analysis Use</t>
  </si>
  <si>
    <t xml:space="preserve">Draft MOO Requirement Type*</t>
  </si>
  <si>
    <t xml:space="preserve">Digital Platform Module</t>
  </si>
  <si>
    <t xml:space="preserve">Core Data Entities*</t>
  </si>
  <si>
    <t xml:space="preserve">Digital Workflow / Feature*</t>
  </si>
  <si>
    <t xml:space="preserve">Priority Formula</t>
  </si>
  <si>
    <t xml:space="preserve">Annual Reassessment</t>
  </si>
  <si>
    <t xml:space="preserve">Lead Office (Part C)</t>
  </si>
  <si>
    <t xml:space="preserve">Index Inclusion</t>
  </si>
  <si>
    <t xml:space="preserve">Thematic Tags*</t>
  </si>
  <si>
    <t xml:space="preserve">Master Requirement(s)*</t>
  </si>
  <si>
    <t xml:space="preserve">Version Status (v1.1)</t>
  </si>
  <si>
    <t xml:space="preserve">A1.1</t>
  </si>
  <si>
    <t xml:space="preserve">City ordinance/EO creating the CDRRMO as a regular office (not ad hoc), with defined functions mirroring RA 10121 Sec. 12(c)</t>
  </si>
  <si>
    <t xml:space="preserve">RA 10121 Sec. 12; IRR Rule 6; JMC 2014-1</t>
  </si>
  <si>
    <t xml:space="preserve">M</t>
  </si>
  <si>
    <t xml:space="preserve">Ordinance/EO; Sangguniang Panlungsod records</t>
  </si>
  <si>
    <t xml:space="preserve">MOO Ch.1 Legal &amp; Institutional Framework</t>
  </si>
  <si>
    <t xml:space="preserve">DR + KII + OBS/TST as applicable</t>
  </si>
  <si>
    <t xml:space="preserve">Score capped by strongest evidence; Approved document AND proof of use; interviews/FGDs alone cannot support score 3.</t>
  </si>
  <si>
    <t xml:space="preserve">Domain result: score + evidence + gap + priority; §3 Part A CDRRMO results; §7 Mandatory Compliance Summary; §9 Action Plan; §10 MOO implications</t>
  </si>
  <si>
    <t xml:space="preserve">Governance / operational standard</t>
  </si>
  <si>
    <t xml:space="preserve">Assessment response → evidence → validation → score → gap → priority → action → MOO traceability</t>
  </si>
  <si>
    <t xml:space="preserve">(4-score) × weight × 1.5 (Mandatory)</t>
  </si>
  <si>
    <t xml:space="preserve">Retain cycle history; compare year-over-year</t>
  </si>
  <si>
    <t xml:space="preserve">—</t>
  </si>
  <si>
    <t xml:space="preserve">Institutional Maturity Index (A+B)</t>
  </si>
  <si>
    <t xml:space="preserve">MR-02; MR-01; MR-12–MR-15</t>
  </si>
  <si>
    <t xml:space="preserve">Unchanged</t>
  </si>
  <si>
    <t xml:space="preserve">A1.2</t>
  </si>
  <si>
    <t xml:space="preserve">CDRRMC constituted with complete membership per RA 10121 Sec. 11 (incl. CSO and private sector reps)</t>
  </si>
  <si>
    <t xml:space="preserve">RA 10121 Sec. 11</t>
  </si>
  <si>
    <t xml:space="preserve">EO on CDRRMC composition; list of members</t>
  </si>
  <si>
    <t xml:space="preserve">MOO Ch.1</t>
  </si>
  <si>
    <t xml:space="preserve">DR + KII</t>
  </si>
  <si>
    <t xml:space="preserve">A1.3</t>
  </si>
  <si>
    <t xml:space="preserve">CDRRMC meets at least quarterly (and as needed); minutes and resolutions on file</t>
  </si>
  <si>
    <t xml:space="preserve">RA 10121 Sec. 11; GKS/SGLG functionality criteria</t>
  </si>
  <si>
    <t xml:space="preserve">Minutes, attendance, resolutions (last 4 quarters)</t>
  </si>
  <si>
    <t xml:space="preserve">A1.4</t>
  </si>
  <si>
    <t xml:space="preserve">CDRRMO serves as CDRRMC secretariat with documented secretariat procedures</t>
  </si>
  <si>
    <t xml:space="preserve">RA 10121 Sec. 12(c)(17)</t>
  </si>
  <si>
    <t xml:space="preserve">Secretariat SOP; agenda/minutes templates</t>
  </si>
  <si>
    <t xml:space="preserve">MOO Ch.2 Office Organization</t>
  </si>
  <si>
    <t xml:space="preserve">SOP / protocol</t>
  </si>
  <si>
    <t xml:space="preserve">A1.5</t>
  </si>
  <si>
    <t xml:space="preserve">Local DRRM-related ordinances in force (e.g., pre-emptive/forced evacuation, no-build zones, hazard-based zoning)</t>
  </si>
  <si>
    <t xml:space="preserve">RA 10121 Sec. 12(c)(19); RA 7160; CLUP/ZO</t>
  </si>
  <si>
    <t xml:space="preserve">GP</t>
  </si>
  <si>
    <t xml:space="preserve">Ordinances; ZO; enforcement records</t>
  </si>
  <si>
    <t xml:space="preserve">Domain result: score + evidence + gap + priority; §3 Part A CDRRMO results; §8 Strengths / Good Practices; §9 Action Plan; §10 MOO implications</t>
  </si>
  <si>
    <t xml:space="preserve">(4-score) × weight × 1.0 (Good Practice)</t>
  </si>
  <si>
    <t xml:space="preserve">A1.6</t>
  </si>
  <si>
    <t xml:space="preserve">Protocol for declaring a State of Calamity, incl. CDRRMC recommendation steps and post-declaration measures (State of Imminent Disaster now assessed separately under A1.8)</t>
  </si>
  <si>
    <t xml:space="preserve">RA 10121 Sec. 16</t>
  </si>
  <si>
    <t xml:space="preserve">Protocol/SOP; past CDRRMC resolutions</t>
  </si>
  <si>
    <t xml:space="preserve">Revised in v1.1</t>
  </si>
  <si>
    <t xml:space="preserve">A1.7</t>
  </si>
  <si>
    <t xml:space="preserve">DRRM is represented in City Development Council and Local Finance Committee deliberations</t>
  </si>
  <si>
    <t xml:space="preserve">RA 7160; JMC 2013-1</t>
  </si>
  <si>
    <t xml:space="preserve">Minutes; LDC/LFC membership</t>
  </si>
  <si>
    <t xml:space="preserve">A1.8</t>
  </si>
  <si>
    <t xml:space="preserve">State of Imminent Disaster procedure: CDRRMC coordinates with RDRRMC VIII when the pre-disaster risk assessment shows reasonable certainty of severe impact; request format to RDRRMC (24-hour reply); Mayor's EO template; adoption rule when the Region (or Province, applicability to an ICC to be confirmed) is declared; lifting grounds and authority</t>
  </si>
  <si>
    <t xml:space="preserve">RA 12287; RA 12287 IRR (2026) Rule II Sec. 6; Rule III Secs. 2-4</t>
  </si>
  <si>
    <t xml:space="preserve">SOP; EO template; CDRRMC resolution and RDRRMC request templates</t>
  </si>
  <si>
    <t xml:space="preserve">MOO Ch.1 / EOC Ch.2</t>
  </si>
  <si>
    <t xml:space="preserve">Domain result: score + evidence + gap + priority; §3 Part A CDRRMO results; §5 Readiness under RA 12287; §7 Mandatory Compliance Summary; §9 Action Plan; §10 MOO implications</t>
  </si>
  <si>
    <t xml:space="preserve">RA 12287 / anticipatory action</t>
  </si>
  <si>
    <t xml:space="preserve">MR-02; MR-05; MR-16; MR-01; MR-12–MR-15</t>
  </si>
  <si>
    <t xml:space="preserve">A2.1</t>
  </si>
  <si>
    <t xml:space="preserve">Organizational structure follows JMC 2014-1: Head + Administration &amp; Training, Research &amp; Planning, and Operations &amp; Warning divisions</t>
  </si>
  <si>
    <t xml:space="preserve">NDRRMC-DILG-DBM-CSC JMC 2014-1</t>
  </si>
  <si>
    <t xml:space="preserve">Approved organogram; plantilla</t>
  </si>
  <si>
    <t xml:space="preserve">Organization / role standard</t>
  </si>
  <si>
    <t xml:space="preserve">A2.2</t>
  </si>
  <si>
    <t xml:space="preserve">CDRRMO Head is a permanent plantilla position filled by a qualified appointee</t>
  </si>
  <si>
    <t xml:space="preserve">RA 10121 Sec. 12(b); JMC 2014-1</t>
  </si>
  <si>
    <t xml:space="preserve">Appointment; PDS vs CSC QS</t>
  </si>
  <si>
    <t xml:space="preserve">MOO Ch.2</t>
  </si>
  <si>
    <t xml:space="preserve">A2.3</t>
  </si>
  <si>
    <t xml:space="preserve">Minimum plantilla positions per JMC 2014-1 created and filled (ratio of filled/required)</t>
  </si>
  <si>
    <t xml:space="preserve">JMC 2014-1; CSC QS</t>
  </si>
  <si>
    <t xml:space="preserve">Plantilla of Personnel; vacancy list</t>
  </si>
  <si>
    <t xml:space="preserve">A2.4</t>
  </si>
  <si>
    <t xml:space="preserve">Job descriptions/position descriptions defined for every position, aligned to RA 10121 functions</t>
  </si>
  <si>
    <t xml:space="preserve">CSC rules; JMC 2014-1</t>
  </si>
  <si>
    <t xml:space="preserve">JDs/PDFs; IPCR/OPCR</t>
  </si>
  <si>
    <t xml:space="preserve">MOO Ch.2 / Annex JDs</t>
  </si>
  <si>
    <t xml:space="preserve">A2.5</t>
  </si>
  <si>
    <t xml:space="preserve">24/7 operations capability with documented shift roster (Operations Center/Duty officers)</t>
  </si>
  <si>
    <t xml:space="preserve">RA 10121 Sec. 12(c)(16); EOC guidelines</t>
  </si>
  <si>
    <t xml:space="preserve">Duty roster (last 3 months); logbook</t>
  </si>
  <si>
    <t xml:space="preserve">MOO Ch.4 Operations / EOC Ch.4</t>
  </si>
  <si>
    <t xml:space="preserve">A2.6</t>
  </si>
  <si>
    <t xml:space="preserve">Training needs analysis done and competency-based training plan for staff (ICS, BLS/SFA, WASAR, CSSR, MOSAR, EOC, PDNA, GIS)</t>
  </si>
  <si>
    <t xml:space="preserve">RA 10121 Sec. 14; OCD/DRRM Training Institute curricula</t>
  </si>
  <si>
    <t xml:space="preserve">TNA; training plan; certificates</t>
  </si>
  <si>
    <t xml:space="preserve">MOO Ch.6 Capacity Development</t>
  </si>
  <si>
    <t xml:space="preserve">Training / exercise standard</t>
  </si>
  <si>
    <t xml:space="preserve">A2.7</t>
  </si>
  <si>
    <t xml:space="preserve">Personnel welfare and safety: insurance, hazard pay, PPE, psychosocial support for responders</t>
  </si>
  <si>
    <t xml:space="preserve">RA 10121 Sec. 12; RA 11036 (MHPSS); CSC rules</t>
  </si>
  <si>
    <t xml:space="preserve">Insurance policy; PPE inventory; MHPSS program</t>
  </si>
  <si>
    <t xml:space="preserve">MOO Ch.2 / Ch.4</t>
  </si>
  <si>
    <t xml:space="preserve">MR-02; MR-09; MR-01; MR-12–MR-15</t>
  </si>
  <si>
    <t xml:space="preserve">A2.8</t>
  </si>
  <si>
    <t xml:space="preserve">Volunteer/auxiliary responder management system (accreditation, registry, deployment, insurance), incl. mobilization of ACDVs for anticipatory action</t>
  </si>
  <si>
    <t xml:space="preserve">RA 10121 Sec. 13; NDRRMC volunteer guidelines; RA 12287 IRR (2026) Rule IV Sec. 5</t>
  </si>
  <si>
    <t xml:space="preserve">Volunteer registry; MOAs; accreditation</t>
  </si>
  <si>
    <t xml:space="preserve">MOO Ch.6</t>
  </si>
  <si>
    <t xml:space="preserve">Information / data standard</t>
  </si>
  <si>
    <t xml:space="preserve">MR-02; MR-16; MR-01; MR-12–MR-15</t>
  </si>
  <si>
    <t xml:space="preserve">A2.9</t>
  </si>
  <si>
    <t xml:space="preserve">Anticipatory action focal person designated in the CDRRMO, with AA training for staff, BDRRMCs, ACDVs and partner CSOs (incl. community-based early warning and early action)</t>
  </si>
  <si>
    <t xml:space="preserve">RA 12287 IRR (2026) Rule IV Sec. 1; Rule VII</t>
  </si>
  <si>
    <t xml:space="preserve">Designation memo; training records</t>
  </si>
  <si>
    <t xml:space="preserve">MOO Ch.2 / Ch.6</t>
  </si>
  <si>
    <t xml:space="preserve">A2.10</t>
  </si>
  <si>
    <t xml:space="preserve">Inventory of DRRM-relevant skills across the CDRRMO, partner offices and barangays (SAR, engineering, logistics, GIS, PDNA, MHPSS) updated within the last 12 months</t>
  </si>
  <si>
    <t xml:space="preserve">UNDRR DRSC 6.1.1</t>
  </si>
  <si>
    <t xml:space="preserve">Skills inventory with date</t>
  </si>
  <si>
    <t xml:space="preserve">UNDRR Scorecard</t>
  </si>
  <si>
    <t xml:space="preserve">MR-02; MR-18; MR-01; MR-12–MR-15</t>
  </si>
  <si>
    <t xml:space="preserve">A3.1</t>
  </si>
  <si>
    <t xml:space="preserve">Local DRRM Plan (LDRRMP) current, approved by Sanggunian, aligned with NDRRMP 2020-2030 and Sendai Framework</t>
  </si>
  <si>
    <t xml:space="preserve">RA 10121 Sec. 12(c)(6); NDRRMP 2020-2030</t>
  </si>
  <si>
    <t xml:space="preserve">LDRRMP; SP resolution</t>
  </si>
  <si>
    <t xml:space="preserve">MOO Ch.3 Planning</t>
  </si>
  <si>
    <t xml:space="preserve">MR-03; MR-01; MR-12–MR-15</t>
  </si>
  <si>
    <t xml:space="preserve">A3.2</t>
  </si>
  <si>
    <t xml:space="preserve">DRR-CCA mainstreamed in CDP, CLUP, ELA and LCCAP (hazard data used in land use and investment decisions)</t>
  </si>
  <si>
    <t xml:space="preserve">RA 10121 Sec. 2; RA 9729 as amended by RA 10174; HLURB/DHSUD CLUP guidelines</t>
  </si>
  <si>
    <t xml:space="preserve">CDP, CLUP, LCCAP; LDIP/AIP tagging</t>
  </si>
  <si>
    <t xml:space="preserve">MOO Ch.3</t>
  </si>
  <si>
    <t xml:space="preserve">A3.3</t>
  </si>
  <si>
    <t xml:space="preserve">Hazard-specific Contingency Plans for priority hazards (flood/flash flood, landslide, earthquake/tsunami, tropical cyclone, industrial/geothermal), updated and tested</t>
  </si>
  <si>
    <t xml:space="preserve">NDRRMC CP guidelines; OCD CP Manual</t>
  </si>
  <si>
    <t xml:space="preserve">CPs; simulation reports</t>
  </si>
  <si>
    <t xml:space="preserve">MOO Ch.3 / EOC Ch.3</t>
  </si>
  <si>
    <t xml:space="preserve">DR + OBS + TST</t>
  </si>
  <si>
    <t xml:space="preserve">MR-03; MR-04; MR-01; MR-12–MR-15</t>
  </si>
  <si>
    <t xml:space="preserve">A3.4</t>
  </si>
  <si>
    <t xml:space="preserve">Public Service Continuity Plan (PSCP) prepared covering CDRRMO and essential city services</t>
  </si>
  <si>
    <t xml:space="preserve">NDRRMC/OCD PSCP Guidebook</t>
  </si>
  <si>
    <t xml:space="preserve">PSCP; BIA; essential functions list</t>
  </si>
  <si>
    <t xml:space="preserve">MOO Ch.3 / EOC Ch.7</t>
  </si>
  <si>
    <t xml:space="preserve">MR-03; MR-04; MR-10; MR-01; MR-12–MR-15</t>
  </si>
  <si>
    <t xml:space="preserve">A3.5</t>
  </si>
  <si>
    <t xml:space="preserve">Annual LDRRMF Investment Plan (LDRRMFIP) prepared, approved and consistent with LDRRMP</t>
  </si>
  <si>
    <t xml:space="preserve">JMC 2013-1</t>
  </si>
  <si>
    <t xml:space="preserve">LDRRMFIP; CDRRMC resolution</t>
  </si>
  <si>
    <t xml:space="preserve">MOO Ch.5 Financing</t>
  </si>
  <si>
    <t xml:space="preserve">A3.6</t>
  </si>
  <si>
    <t xml:space="preserve">Evacuation plan with mapped routes, safe zones, centers and pre-emptive evacuation triggers per barangay</t>
  </si>
  <si>
    <t xml:space="preserve">RA 10121; RA 12076; DILG Operation L!sto</t>
  </si>
  <si>
    <t xml:space="preserve">Evacuation maps; plans per barangay</t>
  </si>
  <si>
    <t xml:space="preserve">MOO Ch.4 / EOC Ch.3</t>
  </si>
  <si>
    <t xml:space="preserve">DR + KII + FGD + OBS/TST as applicable</t>
  </si>
  <si>
    <t xml:space="preserve">A3.7</t>
  </si>
  <si>
    <t xml:space="preserve">Barangay DRRM plans (110 barangays) reviewed/consolidated by CDRRMO</t>
  </si>
  <si>
    <t xml:space="preserve">RA 10121 Sec. 12(c)(6); DILG MC on BDRRM</t>
  </si>
  <si>
    <t xml:space="preserve">Consolidated BDRRMP status matrix</t>
  </si>
  <si>
    <t xml:space="preserve">DR + KII + FGD</t>
  </si>
  <si>
    <t xml:space="preserve">A4.1</t>
  </si>
  <si>
    <t xml:space="preserve">LDRRMF set at not less than 5% of estimated revenue from regular sources</t>
  </si>
  <si>
    <t xml:space="preserve">RA 10121 Sec. 21; JMC 2013-1</t>
  </si>
  <si>
    <t xml:space="preserve">Annual budget; LDRRMF computation</t>
  </si>
  <si>
    <t xml:space="preserve">MR-08; MR-01; MR-12–MR-15</t>
  </si>
  <si>
    <t xml:space="preserve">A4.2</t>
  </si>
  <si>
    <t xml:space="preserve">70% Mitigation/Preparedness and 30% Quick Response Fund (QRF) allocation observed</t>
  </si>
  <si>
    <t xml:space="preserve">Appropriation ordinance; LDRRMFIP</t>
  </si>
  <si>
    <t xml:space="preserve">MOO Ch.5</t>
  </si>
  <si>
    <t xml:space="preserve">A4.3</t>
  </si>
  <si>
    <t xml:space="preserve">Unexpended LDRRMF transferred to Special Trust Fund and used within 5 years</t>
  </si>
  <si>
    <t xml:space="preserve">RA 10121 Sec. 21; COA Circular 2012-002</t>
  </si>
  <si>
    <t xml:space="preserve">STF ledger; COA reports</t>
  </si>
  <si>
    <t xml:space="preserve">A4.4</t>
  </si>
  <si>
    <t xml:space="preserve">LDRRMF utilization rate monitored and reported (target &gt;= 80% of current-year 70% fund)</t>
  </si>
  <si>
    <t xml:space="preserve">JMC 2013-1; COA AAR findings</t>
  </si>
  <si>
    <t xml:space="preserve">Utilization reports; COA AAR</t>
  </si>
  <si>
    <t xml:space="preserve">DR + KII + TST</t>
  </si>
  <si>
    <t xml:space="preserve">A4.5</t>
  </si>
  <si>
    <t xml:space="preserve">Emergency procurement procedures (negotiated procurement - emergency cases) documented and pre-arranged (framework agreements, pre-qualified suppliers)</t>
  </si>
  <si>
    <t xml:space="preserve">RA 12009 (New Government Procurement Act) &amp; IRR</t>
  </si>
  <si>
    <t xml:space="preserve">Procurement SOP; framework agreements</t>
  </si>
  <si>
    <t xml:space="preserve">MOO Ch.5 / EOC Ch.6</t>
  </si>
  <si>
    <t xml:space="preserve">A4.6</t>
  </si>
  <si>
    <t xml:space="preserve">Anticipatory action funding pathway: LDRRMFIP sets an AA line within the cap of 10% of the 70% LDRRMF; other sources mapped (Special Trust Fund balances, donations, ODA); Budget, Accounting and BAC procedures allow immediate disbursement and observe the 30%/70% tranche rule around the 3-day lead time</t>
  </si>
  <si>
    <t xml:space="preserve">RA 12287; RA 12287 IRR (2026) Rule V Secs. 1-3; RA 10121 Sec. 21; RA 12009</t>
  </si>
  <si>
    <t xml:space="preserve">LDRRMFIP AA line; Budget/Accounting guidance; disbursement and procurement SOP</t>
  </si>
  <si>
    <t xml:space="preserve">MR-08; MR-16; MR-01; MR-12–MR-15</t>
  </si>
  <si>
    <t xml:space="preserve">A4.7</t>
  </si>
  <si>
    <t xml:space="preserve">Risk transfer/financing instruments explored (indemnity insurance of public assets, PSF access, partnerships)</t>
  </si>
  <si>
    <t xml:space="preserve">NDRRMP; RA 10174 (People's Survival Fund); DOF-BTr NIP</t>
  </si>
  <si>
    <t xml:space="preserve">GSIS insurance; PSF proposals</t>
  </si>
  <si>
    <t xml:space="preserve">A4.8</t>
  </si>
  <si>
    <t xml:space="preserve">Clean COA findings on LDRRMF in last audit year (or findings addressed)</t>
  </si>
  <si>
    <t xml:space="preserve">COA Circular 2012-002</t>
  </si>
  <si>
    <t xml:space="preserve">COA Annual Audit Report; action plan</t>
  </si>
  <si>
    <t xml:space="preserve">A4.9</t>
  </si>
  <si>
    <t xml:space="preserve">QRF and LDRRMF adequacy tested against the most severe credible scenario (e.g., a Thelma-type flash flood or Yolanda-strength typhoon), with the shortfall and other fund sources identified</t>
  </si>
  <si>
    <t xml:space="preserve">UNDRR DRSC 3.2.3, 3.2.4; JMC 2013-1</t>
  </si>
  <si>
    <t xml:space="preserve">Costed scenario; LDRRMFIP; Budget Office analysis</t>
  </si>
  <si>
    <t xml:space="preserve">MR-08; MR-18; MR-01; MR-12–MR-15</t>
  </si>
  <si>
    <t xml:space="preserve">A5.1</t>
  </si>
  <si>
    <t xml:space="preserve">Updated hazard maps for all priority hazards (MGB, PHIVOLCS, PAGASA, GeoRiskPH/HazardHunterPH) at barangay scale</t>
  </si>
  <si>
    <t xml:space="preserve">RA 10121 Sec. 12(c)(3); NDRRMP</t>
  </si>
  <si>
    <t xml:space="preserve">Hazard maps; GIS layers</t>
  </si>
  <si>
    <t xml:space="preserve">MOO Ch.3 / EOC Ch.5</t>
  </si>
  <si>
    <t xml:space="preserve">MR-03; MR-07; MR-01; MR-12–MR-15</t>
  </si>
  <si>
    <t xml:space="preserve">A5.2</t>
  </si>
  <si>
    <t xml:space="preserve">Climate &amp; Disaster Risk Assessment (CDRA)/ CRA completed with exposure (population, buildings, critical facilities) and vulnerability data</t>
  </si>
  <si>
    <t xml:space="preserve">DHSUD/CCC CDRA guidelines; RA 10121 Sec. 12(c)(3)</t>
  </si>
  <si>
    <t xml:space="preserve">CDRA report; exposure database</t>
  </si>
  <si>
    <t xml:space="preserve">A5.3</t>
  </si>
  <si>
    <t xml:space="preserve">Disaggregated population database (sex, age, disability, IP, pregnant/lactating) for at-risk households</t>
  </si>
  <si>
    <t xml:space="preserve">RA 10121 Sec. 12(c)(5); RA 9710; RA 7277 as amended; RA 10821</t>
  </si>
  <si>
    <t xml:space="preserve">CBMS/household risk database</t>
  </si>
  <si>
    <t xml:space="preserve">A5.4</t>
  </si>
  <si>
    <t xml:space="preserve">DRRM information system/ database with disaster event history, damage and losses (incl. 1991 flood, 2013 Yolanda, 2017 earthquake records)</t>
  </si>
  <si>
    <t xml:space="preserve">RA 10121 Sec. 12(c)(5); Sendai monitoring</t>
  </si>
  <si>
    <t xml:space="preserve">Disaster database; event records</t>
  </si>
  <si>
    <t xml:space="preserve">MOO Ch.7 Knowledge Mgmt</t>
  </si>
  <si>
    <t xml:space="preserve">A5.5</t>
  </si>
  <si>
    <t xml:space="preserve">Data privacy compliance for beneficiary and affected-population data (DPO, consent, data sharing agreements)</t>
  </si>
  <si>
    <t xml:space="preserve">RA 10173 (Data Privacy Act); NPC circulars</t>
  </si>
  <si>
    <t xml:space="preserve">DPO designation; DSA; privacy notices</t>
  </si>
  <si>
    <t xml:space="preserve">MOO Ch.7</t>
  </si>
  <si>
    <t xml:space="preserve">MR-03; MR-07; MR-10; MR-01; MR-12–MR-15</t>
  </si>
  <si>
    <t xml:space="preserve">A5.6</t>
  </si>
  <si>
    <t xml:space="preserve">GIS capability (software, trained staff, updated base maps) within Research &amp; Planning</t>
  </si>
  <si>
    <t xml:space="preserve">JMC 2014-1 (R&amp;P functions)</t>
  </si>
  <si>
    <t xml:space="preserve">GIS outputs; staff training</t>
  </si>
  <si>
    <t xml:space="preserve">A5.7</t>
  </si>
  <si>
    <t xml:space="preserve">One maintained, shared source of risk and readiness information (hazard maps, plans, contacts, readiness summary) open to CDRRMC member offices, with a public summary posted</t>
  </si>
  <si>
    <t xml:space="preserve">UNDRR DRSC 1.4.1, 6.3.1, 6.3.2; RA 10173</t>
  </si>
  <si>
    <t xml:space="preserve">Shared drive/portal; public web posting</t>
  </si>
  <si>
    <t xml:space="preserve">MR-03; MR-07; MR-18; MR-01; MR-12–MR-15</t>
  </si>
  <si>
    <t xml:space="preserve">A5.8</t>
  </si>
  <si>
    <t xml:space="preserve">Critical facilities list (EOC, hospitals, evacuation centers, water, power, telecom, bridges, port) with dependencies mapped as potential failure chains and used to set protection and restoration priorities</t>
  </si>
  <si>
    <t xml:space="preserve">UNDRR DRSC 2.3.1; RA 12287 IRR (2026) Rule I Sec. 5(b),(d)</t>
  </si>
  <si>
    <t xml:space="preserve">Critical facilities database; dependency map</t>
  </si>
  <si>
    <t xml:space="preserve">RA 12287 / anticipatory action; UNDRR Scorecard</t>
  </si>
  <si>
    <t xml:space="preserve">MR-03; MR-07; MR-16; MR-18; MR-01; MR-12–MR-15</t>
  </si>
  <si>
    <t xml:space="preserve">A5.9</t>
  </si>
  <si>
    <t xml:space="preserve">Agreed update cycle: hazard data every 3 years or less; exposure, vulnerability and critical-facility data every 18 months or less</t>
  </si>
  <si>
    <t xml:space="preserve">UNDRR DRSC 2.5.1</t>
  </si>
  <si>
    <t xml:space="preserve">Update procedure; version dates of datasets</t>
  </si>
  <si>
    <t xml:space="preserve">A6.1</t>
  </si>
  <si>
    <t xml:space="preserve">Hazard-specific EWS operational for flood (incl. Anilao/Malbasag river systems), rain-induced landslide, tsunami (Ormoc Bay) and tropical cyclone</t>
  </si>
  <si>
    <t xml:space="preserve">RA 10121 Sec. 12(c)(8); PAGASA/PHIVOLCS protocols</t>
  </si>
  <si>
    <t xml:space="preserve">EWS inventory; functionality logs; maps of sensors/gauges</t>
  </si>
  <si>
    <t xml:space="preserve">MR-06; MR-01; MR-12–MR-15</t>
  </si>
  <si>
    <t xml:space="preserve">A6.2</t>
  </si>
  <si>
    <t xml:space="preserve">Warning thresholds linked to specific actions (alert levels -&gt; pre-emptive evacuation, class/work suspension, State of Imminent Disaster request) in written protocols, built to take up NDRRMC impact-based triggers once issued</t>
  </si>
  <si>
    <t xml:space="preserve">RA 10121; RA 12287; RA 12287 IRR (2026) Rule II Sec. 2; DILG Operation L!sto</t>
  </si>
  <si>
    <t xml:space="preserve">Warning-action matrix</t>
  </si>
  <si>
    <t xml:space="preserve">EOC Ch.2 Concept of Operations</t>
  </si>
  <si>
    <t xml:space="preserve">MR-06; MR-16; MR-01; MR-12–MR-15</t>
  </si>
  <si>
    <t xml:space="preserve">A6.3</t>
  </si>
  <si>
    <t xml:space="preserve">Last-mile dissemination channels tested to barangay/purok level (sirens, radio, SMS/ECBS, social media, barangay criers)</t>
  </si>
  <si>
    <t xml:space="preserve">RA 10639 (Free Mobile Disaster Alerts); NDRRMC EWS</t>
  </si>
  <si>
    <t xml:space="preserve">Test logs; coverage map</t>
  </si>
  <si>
    <t xml:space="preserve">MOO Ch.4</t>
  </si>
  <si>
    <t xml:space="preserve">A6.4</t>
  </si>
  <si>
    <t xml:space="preserve">Warnings issued in local language (Cebuano/ Ormocanon) and accessible formats (sign language, visual alerts for PWD)</t>
  </si>
  <si>
    <t xml:space="preserve">RA 10121; RA 11106 (FSL Act); RA 7277</t>
  </si>
  <si>
    <t xml:space="preserve">Sample advisories; IEC materials</t>
  </si>
  <si>
    <t xml:space="preserve">A6.5</t>
  </si>
  <si>
    <t xml:space="preserve">Designated public information officer and risk communication plan (incl. rumor/misinformation management)</t>
  </si>
  <si>
    <t xml:space="preserve">NDRRMC public info protocols</t>
  </si>
  <si>
    <t xml:space="preserve">Risk communication plan; spokesperson designation</t>
  </si>
  <si>
    <t xml:space="preserve">EOC Ch.5</t>
  </si>
  <si>
    <t xml:space="preserve">A6.6</t>
  </si>
  <si>
    <t xml:space="preserve">IEC program on hazards and preparedness with annual reach targets</t>
  </si>
  <si>
    <t xml:space="preserve">RA 10121 Sec. 12(c)(13)</t>
  </si>
  <si>
    <t xml:space="preserve">IEC plan; reach reports</t>
  </si>
  <si>
    <t xml:space="preserve">A6.7</t>
  </si>
  <si>
    <t xml:space="preserve">Templates and channels for public notice of a State of Imminent Disaster and of the anticipatory actions required, incl. sector-specific impact-based advisories and reach to geographically isolated barangays</t>
  </si>
  <si>
    <t xml:space="preserve">RA 12287 IRR (2026) Rule IV Sec. 2</t>
  </si>
  <si>
    <t xml:space="preserve">Advisory templates; dissemination log</t>
  </si>
  <si>
    <t xml:space="preserve">MOO Ch.4 / EOC Ch.5</t>
  </si>
  <si>
    <t xml:space="preserve">A7.1</t>
  </si>
  <si>
    <t xml:space="preserve">Annual training program for city personnel, BDRRMCs, schools and communities implemented</t>
  </si>
  <si>
    <t xml:space="preserve">RA 10121 Sec. 12(c)(12), Sec. 14</t>
  </si>
  <si>
    <t xml:space="preserve">Training calendar; reports; attendance</t>
  </si>
  <si>
    <t xml:space="preserve">MR-04; MR-01; MR-12–MR-15</t>
  </si>
  <si>
    <t xml:space="preserve">A7.2</t>
  </si>
  <si>
    <t xml:space="preserve">Participation in quarterly Nationwide Simultaneous Earthquake Drill (NSED) and hazard-specific drills with evaluation</t>
  </si>
  <si>
    <t xml:space="preserve">NDRRMC NSED guidelines</t>
  </si>
  <si>
    <t xml:space="preserve">Drill reports; evaluation forms</t>
  </si>
  <si>
    <t xml:space="preserve">A7.3</t>
  </si>
  <si>
    <t xml:space="preserve">BDRRMC functionality across 110 barangays assessed (e.g., Listo si KAP) with support plan for low-functioning barangays</t>
  </si>
  <si>
    <t xml:space="preserve">RA 10121; DILG MC 2025-035 (Listo si KAP)</t>
  </si>
  <si>
    <t xml:space="preserve">BDRRMC functionality matrix</t>
  </si>
  <si>
    <t xml:space="preserve">A7.4</t>
  </si>
  <si>
    <t xml:space="preserve">Permanent evacuation center(s) planned/established and existing ECs meet minimum standards (WASH, privacy, PWD access, child-friendly space)</t>
  </si>
  <si>
    <t xml:space="preserve">RA 12076 (Ligtas Pinoy Centers Act); RA 10821; DSWD standards</t>
  </si>
  <si>
    <t xml:space="preserve">EC inventory &amp; audit; site inspection</t>
  </si>
  <si>
    <t xml:space="preserve">MOO Ch.4 / EOC Ch.6</t>
  </si>
  <si>
    <t xml:space="preserve">A7.5</t>
  </si>
  <si>
    <t xml:space="preserve">Prepositioned relief stocks/food packs and non-food items with inventory and replenishment triggers</t>
  </si>
  <si>
    <t xml:space="preserve">RA 10121; DSWD-LGU protocols; Operation L!sto</t>
  </si>
  <si>
    <t xml:space="preserve">Stock inventory; warehouse inspection</t>
  </si>
  <si>
    <t xml:space="preserve">EOC Ch.6 Logistics</t>
  </si>
  <si>
    <t xml:space="preserve">Readiness / resource standard</t>
  </si>
  <si>
    <t xml:space="preserve">MR-04; MR-08; MR-01; MR-12–MR-15</t>
  </si>
  <si>
    <t xml:space="preserve">A7.6</t>
  </si>
  <si>
    <t xml:space="preserve">Inclusive DRRM: GAD, PWD, senior citizen, children, IP considerations embedded in plans and services, with vulnerable-sector representatives confirming they were engaged</t>
  </si>
  <si>
    <t xml:space="preserve">RA 9710; RA 7277 as amended; RA 9994; RA 10821; RA 8371; RA 12287 IRR (2026) Rule IV Sec. 1(a); UNDRR DRSC 7.2.2</t>
  </si>
  <si>
    <t xml:space="preserve">Plans; GAD-tagged budget; inclusion checklist; sector representatives' confirmation (FGD)</t>
  </si>
  <si>
    <t xml:space="preserve">MOO Ch.3 / Ch.4</t>
  </si>
  <si>
    <t xml:space="preserve">MR-04; MR-09; MR-16; MR-18; MR-01; MR-12–MR-15</t>
  </si>
  <si>
    <t xml:space="preserve">A7.7</t>
  </si>
  <si>
    <t xml:space="preserve">Schools, hospitals and critical facilities included in preparedness planning and drills</t>
  </si>
  <si>
    <t xml:space="preserve">DepEd/DOH DRRM policies; Safe Schools/Hospitals</t>
  </si>
  <si>
    <t xml:space="preserve">Coordination records; joint drills</t>
  </si>
  <si>
    <t xml:space="preserve">A7.8</t>
  </si>
  <si>
    <t xml:space="preserve">Refresher cycle (at least annual) set for trained responders, EOC staff and BDRRMC members, with attendance tracked</t>
  </si>
  <si>
    <t xml:space="preserve">UNDRR DRSC 6.4.2</t>
  </si>
  <si>
    <t xml:space="preserve">Training calendar; attendance records</t>
  </si>
  <si>
    <t xml:space="preserve">MR-04; MR-18; MR-01; MR-12–MR-15</t>
  </si>
  <si>
    <t xml:space="preserve">A7.9</t>
  </si>
  <si>
    <t xml:space="preserve">BDRRMCs can account for residents of affected puroks within 12 hours of impact (welfare check), shown in a drill or a real event</t>
  </si>
  <si>
    <t xml:space="preserve">UNDRR DRSC 7.2.1</t>
  </si>
  <si>
    <t xml:space="preserve">Drill or AAR record; barangay reports</t>
  </si>
  <si>
    <t xml:space="preserve">A8.1</t>
  </si>
  <si>
    <t xml:space="preserve">Incident Command System institutionalized: EO on ICS, trained IMT roster, pre-designated Incident Commanders</t>
  </si>
  <si>
    <t xml:space="preserve">NDRRMC MC No. 4, s. 2012 (ICS)</t>
  </si>
  <si>
    <t xml:space="preserve">EO; IMT roster; ICS certificates</t>
  </si>
  <si>
    <t xml:space="preserve">MOO Ch.4 Response Operations</t>
  </si>
  <si>
    <t xml:space="preserve">MR-05; MR-01; MR-12–MR-15</t>
  </si>
  <si>
    <t xml:space="preserve">A8.2</t>
  </si>
  <si>
    <t xml:space="preserve">Organized and trained response teams: SAR (WASAR/CSSR/HAZMAT as relevant), EMS/ambulance, fire coordination with BFP</t>
  </si>
  <si>
    <t xml:space="preserve">RA 10121 Sec. 12(c)(16); RA 11589 (BFP)</t>
  </si>
  <si>
    <t xml:space="preserve">Team roster; certificates; MOA with BFP</t>
  </si>
  <si>
    <t xml:space="preserve">A8.3</t>
  </si>
  <si>
    <t xml:space="preserve">Response equipment and vehicles inventoried, serviceable and maintained (preventive maintenance schedule)</t>
  </si>
  <si>
    <t xml:space="preserve">COA property rules; RA 10121</t>
  </si>
  <si>
    <t xml:space="preserve">Property inventory; PM logs; site check</t>
  </si>
  <si>
    <t xml:space="preserve">MR-05; MR-08; MR-01; MR-12–MR-15</t>
  </si>
  <si>
    <t xml:space="preserve">A8.4</t>
  </si>
  <si>
    <t xml:space="preserve">Emergency hotline integrated with E911 and dispatch protocol (call-taking to dispatch time tracked)</t>
  </si>
  <si>
    <t xml:space="preserve">EO 56 s. 2018 (E911); DILG guidelines</t>
  </si>
  <si>
    <t xml:space="preserve">Dispatch logs; SOP; response time data</t>
  </si>
  <si>
    <t xml:space="preserve">A8.5</t>
  </si>
  <si>
    <t xml:space="preserve">Response clusters organized at city level mirroring national cluster approach (Food &amp; NFI, Health, WASH, CCCM, Logistics, Search Rescue &amp; Retrieval, Law &amp; Order, Education, Protection, ETC, MDM)</t>
  </si>
  <si>
    <t xml:space="preserve">NDCC MC No. 12, s. 2008; NDRRM Plan Response pillar</t>
  </si>
  <si>
    <t xml:space="preserve">EO on clusters; cluster leads list</t>
  </si>
  <si>
    <t xml:space="preserve">A8.6</t>
  </si>
  <si>
    <t xml:space="preserve">Pre-Disaster Risk Assessment (PDRA) conducted before forecast hazards, with anticipatory actions recorded</t>
  </si>
  <si>
    <t xml:space="preserve">NDRRMC PDRA protocol; RA 12287; RA 12287 IRR (2026) Rule II Sec. 5</t>
  </si>
  <si>
    <t xml:space="preserve">PDRA minutes/reports (last season)</t>
  </si>
  <si>
    <t xml:space="preserve">EOC Ch.2</t>
  </si>
  <si>
    <t xml:space="preserve">MR-05; MR-16; MR-01; MR-12–MR-15</t>
  </si>
  <si>
    <t xml:space="preserve">A8.7</t>
  </si>
  <si>
    <t xml:space="preserve">Management of the Dead and Missing (MDM) and Rapid Damage Assessment &amp; Needs Analysis (RDANA) teams designated and trained</t>
  </si>
  <si>
    <t xml:space="preserve">NDRRMC MDM &amp; RDANA guidelines</t>
  </si>
  <si>
    <t xml:space="preserve">Team EO; certificates; templates</t>
  </si>
  <si>
    <t xml:space="preserve">A8.8</t>
  </si>
  <si>
    <t xml:space="preserve">Anticipatory action protocols by hazard and lead time: office-order templates for prepositioning (relief, medical supplies, animal feed, water and power for evacuation centers), deployment of heavy equipment, transport and personnel, pre-emptive evacuation incl. livestock and pets, CCCM, and safeguarding of critical infrastructure; aligned with CPs, Oplan L!sto and evacuation plans</t>
  </si>
  <si>
    <t xml:space="preserve">RA 12287 IRR (2026) Rule IV Secs. 1, 3, 4, 6</t>
  </si>
  <si>
    <t xml:space="preserve">AA protocol; office-order template; CP annexes</t>
  </si>
  <si>
    <t xml:space="preserve">EOC Ch.2 / MOO Ch.4</t>
  </si>
  <si>
    <t xml:space="preserve">MR-05; MR-08; MR-16; MR-01; MR-12–MR-15</t>
  </si>
  <si>
    <t xml:space="preserve">A8.9</t>
  </si>
  <si>
    <t xml:space="preserve">Anticipatory social amelioration: families identified and prioritized using CBMS or the prevailing registry; data-sharing agreements compliant with RA 10173; local guidelines for anticipatory cash or vouchers issued with the CSWDO</t>
  </si>
  <si>
    <t xml:space="preserve">RA 12287 IRR (2026) Rule IV Sec. 7; RA 11315 (CBMS); RA 10173</t>
  </si>
  <si>
    <t xml:space="preserve">Local guidelines; data-sharing agreement; targeting method</t>
  </si>
  <si>
    <t xml:space="preserve">A9.1</t>
  </si>
  <si>
    <t xml:space="preserve">Post-Disaster Needs Assessment (PDNA) capacity: trained team and templates ready</t>
  </si>
  <si>
    <t xml:space="preserve">NDRRMC PDNA guidelines; OCD</t>
  </si>
  <si>
    <t xml:space="preserve">Certificates; PDNA templates</t>
  </si>
  <si>
    <t xml:space="preserve">MOO Ch.8 Recovery</t>
  </si>
  <si>
    <t xml:space="preserve">MR-11; MR-01; MR-12–MR-15</t>
  </si>
  <si>
    <t xml:space="preserve">A9.2</t>
  </si>
  <si>
    <t xml:space="preserve">Rehabilitation &amp; recovery plan prepared after major events, with build-back-better and resettlement provisions</t>
  </si>
  <si>
    <t xml:space="preserve">RA 10121 Sec. 12(c)(11); NDRRMP Pillar 4</t>
  </si>
  <si>
    <t xml:space="preserve">Rehab plans; implementation reports</t>
  </si>
  <si>
    <t xml:space="preserve">MOO Ch.8</t>
  </si>
  <si>
    <t xml:space="preserve">A9.3</t>
  </si>
  <si>
    <t xml:space="preserve">Recovery data (damage, losses, livelihood, housing) tracked to completion</t>
  </si>
  <si>
    <t xml:space="preserve">Sendai Framework targets C-D</t>
  </si>
  <si>
    <t xml:space="preserve">Recovery monitoring matrix</t>
  </si>
  <si>
    <t xml:space="preserve">A9.4</t>
  </si>
  <si>
    <t xml:space="preserve">Psychosocial and livelihood recovery services coordinated with CSWDO, CHO, PESO</t>
  </si>
  <si>
    <t xml:space="preserve">RA 11036; DSWD protocols</t>
  </si>
  <si>
    <t xml:space="preserve">Referral pathways; MOAs</t>
  </si>
  <si>
    <t xml:space="preserve">A9.5</t>
  </si>
  <si>
    <t xml:space="preserve">Pre-disaster recovery framework: roles, PDNA activation, temporary shelter, debris management and recovery fund sources agreed before an event</t>
  </si>
  <si>
    <t xml:space="preserve">UNDRR DRSC Essential 10; NDRRMP Pillar 4</t>
  </si>
  <si>
    <t xml:space="preserve">Recovery framework or CP recovery annex</t>
  </si>
  <si>
    <t xml:space="preserve">MR-11; MR-18; MR-01; MR-12–MR-15</t>
  </si>
  <si>
    <t xml:space="preserve">A10.1</t>
  </si>
  <si>
    <t xml:space="preserve">MOAs/ mutual aid agreements with neighbouring LGUs (Kananga, Albuera, Merida, Isabel etc.) and Province of Leyte</t>
  </si>
  <si>
    <t xml:space="preserve">RA 10121 Sec. 12(c)(15); RA 7160 Sec. 33</t>
  </si>
  <si>
    <t xml:space="preserve">Signed MOAs</t>
  </si>
  <si>
    <t xml:space="preserve">MOO Ch.9 Partnerships / EOC Ch.6</t>
  </si>
  <si>
    <t xml:space="preserve">A10.2</t>
  </si>
  <si>
    <t xml:space="preserve">Partnerships with CSOs, private sector (incl. energy/geothermal operators), academe and faith-based groups documented, with pre- and post-event roles defined and at least annual coordination meetings</t>
  </si>
  <si>
    <t xml:space="preserve">RA 10121 Sec. 12(c)(15); UNDRR DRSC 6.1.2, 6.1.4</t>
  </si>
  <si>
    <t xml:space="preserve">MOAs; partner registry; meeting records</t>
  </si>
  <si>
    <t xml:space="preserve">A10.3</t>
  </si>
  <si>
    <t xml:space="preserve">Regular reporting to OCD Region VIII/RDRRMC and DILG (SitReps, LDRRMF reports, Operation L!sto)</t>
  </si>
  <si>
    <t xml:space="preserve">RA 10121; DILG MCs</t>
  </si>
  <si>
    <t xml:space="preserve">Submission logs</t>
  </si>
  <si>
    <t xml:space="preserve">MOO Ch.7 / EOC Ch.5</t>
  </si>
  <si>
    <t xml:space="preserve">MR-02; MR-07; MR-01; MR-12–MR-15</t>
  </si>
  <si>
    <t xml:space="preserve">A10.4</t>
  </si>
  <si>
    <t xml:space="preserve">Monitoring &amp; evaluation framework for LDRRMP with indicators and annual review</t>
  </si>
  <si>
    <t xml:space="preserve">RA 10121 Sec. 12(c)(6)</t>
  </si>
  <si>
    <t xml:space="preserve">M&amp;E framework; annual review report</t>
  </si>
  <si>
    <t xml:space="preserve">MR-07; MR-11; MR-01; MR-12–MR-15</t>
  </si>
  <si>
    <t xml:space="preserve">A10.5</t>
  </si>
  <si>
    <t xml:space="preserve">Full Disclosure Policy: LDRRMF and utilization posted publicly</t>
  </si>
  <si>
    <t xml:space="preserve">DILG FDP MCs; RA 10121 Sec. 21</t>
  </si>
  <si>
    <t xml:space="preserve">FDP portal/board postings</t>
  </si>
  <si>
    <t xml:space="preserve">A10.6</t>
  </si>
  <si>
    <t xml:space="preserve">After-action reviews conducted after significant events and lessons integrated into plans</t>
  </si>
  <si>
    <t xml:space="preserve">NDRRMC; good practice</t>
  </si>
  <si>
    <t xml:space="preserve">AAR reports; plan revisions</t>
  </si>
  <si>
    <t xml:space="preserve">A10.7</t>
  </si>
  <si>
    <t xml:space="preserve">Participation in performance recognition/assessment systems (Gawad KALASAG Seal, SGLG Disaster Preparedness) and gaps acted upon</t>
  </si>
  <si>
    <t xml:space="preserve">NDRRMC GKS guidelines; RA 11292 (SGLG Act)</t>
  </si>
  <si>
    <t xml:space="preserve">GKS/SGLG results; action plans</t>
  </si>
  <si>
    <t xml:space="preserve">A10.8</t>
  </si>
  <si>
    <t xml:space="preserve">Post-declaration report within 45 days of lifting a State of Imminent Disaster (declaration status, AA fund utilization, estimated economic and social costs minimized); reporting route confirmed with OCD VIII</t>
  </si>
  <si>
    <t xml:space="preserve">RA 12287 IRR (2026) Rule VI Sec. 1</t>
  </si>
  <si>
    <t xml:space="preserve">Report template; submission log</t>
  </si>
  <si>
    <t xml:space="preserve">MR-07; MR-11; MR-16; MR-01; MR-12–MR-15</t>
  </si>
  <si>
    <t xml:space="preserve">A10.9</t>
  </si>
  <si>
    <t xml:space="preserve">Structured learning from other LGUs and networks (exchanges, OCD forums, MCR2030), with resulting changes documented</t>
  </si>
  <si>
    <t xml:space="preserve">UNDRR DRSC 6.6.1</t>
  </si>
  <si>
    <t xml:space="preserve">Exchange reports; documented changes</t>
  </si>
  <si>
    <t xml:space="preserve">B1.1</t>
  </si>
  <si>
    <t xml:space="preserve">EOC established by EO/ordinance with defined mandate, authority and relationship to CDRRMC and ICS</t>
  </si>
  <si>
    <t xml:space="preserve">NDRRMC MC No. 131, s. 2018 (EOC Guidelines); RA 10121</t>
  </si>
  <si>
    <t xml:space="preserve">EO/ordinance</t>
  </si>
  <si>
    <t xml:space="preserve">EOC Ch.1 Legal Basis</t>
  </si>
  <si>
    <t xml:space="preserve">Domain result: score + evidence + gap + priority; §4 Part B EOC results; §7 Mandatory Compliance Summary; §9 Action Plan; §10 MOO implications</t>
  </si>
  <si>
    <t xml:space="preserve">B1.2</t>
  </si>
  <si>
    <t xml:space="preserve">Alert/activation levels defined (e.g., White-normal, Blue-alert, Red-full activation) with hazard-based triggers and a defined EOC posture when a State of Imminent Disaster is declared</t>
  </si>
  <si>
    <t xml:space="preserve">NDRRMC EOC Guidelines; NDRRMC alert protocol; RA 12287 IRR (2026) Rule IV Sec. 1</t>
  </si>
  <si>
    <t xml:space="preserve">Activation matrix</t>
  </si>
  <si>
    <t xml:space="preserve">B1.3</t>
  </si>
  <si>
    <t xml:space="preserve">Activation, escalation, de-escalation and deactivation procedures with designated authority</t>
  </si>
  <si>
    <t xml:space="preserve">NDRRMC EOC Guidelines</t>
  </si>
  <si>
    <t xml:space="preserve">SOP; activation logs</t>
  </si>
  <si>
    <t xml:space="preserve">B1.4</t>
  </si>
  <si>
    <t xml:space="preserve">Concept of operations documents EOC functions: coordination, information management, resource management, policy support</t>
  </si>
  <si>
    <t xml:space="preserve">ConOps document</t>
  </si>
  <si>
    <t xml:space="preserve">B1.5</t>
  </si>
  <si>
    <t xml:space="preserve">EOC linkage to Provincial (Leyte) and Regional (OCD VIII) EOCs defined</t>
  </si>
  <si>
    <t xml:space="preserve">Reporting/coordination protocol</t>
  </si>
  <si>
    <t xml:space="preserve">B2.1</t>
  </si>
  <si>
    <t xml:space="preserve">EOC site located outside high flood, landslide, tsunami and liquefaction zones (checked vs hazard maps)</t>
  </si>
  <si>
    <t xml:space="preserve">NDRRMC EOC Guidelines; hazard maps</t>
  </si>
  <si>
    <t xml:space="preserve">Site hazard overlay; inspection</t>
  </si>
  <si>
    <t xml:space="preserve">EOC Ch.3 Facility</t>
  </si>
  <si>
    <t xml:space="preserve">MR-10; MR-01; MR-12–MR-15</t>
  </si>
  <si>
    <t xml:space="preserve">B2.2</t>
  </si>
  <si>
    <t xml:space="preserve">Building structural integrity assessed (seismic - Philippine Fault proximity) and certified</t>
  </si>
  <si>
    <t xml:space="preserve">NBC (PD 1096); NSCP; DPWH</t>
  </si>
  <si>
    <t xml:space="preserve">Structural assessment; occupancy permit</t>
  </si>
  <si>
    <t xml:space="preserve">EOC Ch.3</t>
  </si>
  <si>
    <t xml:space="preserve">B2.3</t>
  </si>
  <si>
    <t xml:space="preserve">Backup power (generator + fuel for &gt;=72 hours, UPS) tested regularly</t>
  </si>
  <si>
    <t xml:space="preserve">NDRRMC EOC Guidelines; good practice</t>
  </si>
  <si>
    <t xml:space="preserve">Generator test logs; fuel stock</t>
  </si>
  <si>
    <t xml:space="preserve">B2.4</t>
  </si>
  <si>
    <t xml:space="preserve">Functional layout: operations floor, briefing/decision room, comms room, rest area, sanitation, kitchen</t>
  </si>
  <si>
    <t xml:space="preserve">Floor plan; observation</t>
  </si>
  <si>
    <t xml:space="preserve">Domain result: score + evidence + gap + priority; §4 Part B EOC results; §8 Strengths / Good Practices; §9 Action Plan; §10 MOO implications</t>
  </si>
  <si>
    <t xml:space="preserve">B2.5</t>
  </si>
  <si>
    <t xml:space="preserve">Water, food and sanitation supplies for EOC staff for &gt;=72 hours</t>
  </si>
  <si>
    <t xml:space="preserve">Good practice; PSCP</t>
  </si>
  <si>
    <t xml:space="preserve">Inventory</t>
  </si>
  <si>
    <t xml:space="preserve">B2.6</t>
  </si>
  <si>
    <t xml:space="preserve">Physical security and access control (ID, visitor log, CCTV)</t>
  </si>
  <si>
    <t xml:space="preserve">Good practice</t>
  </si>
  <si>
    <t xml:space="preserve">Access log; observation</t>
  </si>
  <si>
    <t xml:space="preserve">B2.7</t>
  </si>
  <si>
    <t xml:space="preserve">Designated and equipped alternate EOC with relocation procedure</t>
  </si>
  <si>
    <t xml:space="preserve">PSCP Guidebook; NDRRMC EOC Guidelines</t>
  </si>
  <si>
    <t xml:space="preserve">Alternate site plan; relocation drill</t>
  </si>
  <si>
    <t xml:space="preserve">EOC Ch.3 / Ch.7</t>
  </si>
  <si>
    <t xml:space="preserve">B3.1</t>
  </si>
  <si>
    <t xml:space="preserve">Redundant communications: VHF/UHF radio, HF, satellite phone, landline, mobile, internet (min. 3 independent channels)</t>
  </si>
  <si>
    <t xml:space="preserve">NDRRMC EOC Guidelines; NTC frequency assignment</t>
  </si>
  <si>
    <t xml:space="preserve">Comms inventory; radio net test</t>
  </si>
  <si>
    <t xml:space="preserve">EOC Ch.4 Communications</t>
  </si>
  <si>
    <t xml:space="preserve">B3.2</t>
  </si>
  <si>
    <t xml:space="preserve">Radio network covering all 110 barangays and responders, with call signs and net-control procedure</t>
  </si>
  <si>
    <t xml:space="preserve">NTC licensing; ETC cluster</t>
  </si>
  <si>
    <t xml:space="preserve">Coverage test; frequency licenses</t>
  </si>
  <si>
    <t xml:space="preserve">B3.3</t>
  </si>
  <si>
    <t xml:space="preserve">Backup internet (secondary ISP/satellite) and continuity of digital systems</t>
  </si>
  <si>
    <t xml:space="preserve">Good practice; DICT</t>
  </si>
  <si>
    <t xml:space="preserve">ISP contracts; failover test</t>
  </si>
  <si>
    <t xml:space="preserve">MR-06; MR-10; MR-01; MR-12–MR-15</t>
  </si>
  <si>
    <t xml:space="preserve">B3.4</t>
  </si>
  <si>
    <t xml:space="preserve">Communications plan/ directory (agencies, barangays, clusters) updated within last 6 months</t>
  </si>
  <si>
    <t xml:space="preserve">Directory; version date</t>
  </si>
  <si>
    <t xml:space="preserve">B3.5</t>
  </si>
  <si>
    <t xml:space="preserve">Cybersecurity and information security measures for EOC systems</t>
  </si>
  <si>
    <t xml:space="preserve">RA 10173; DICT National Cybersecurity Plan</t>
  </si>
  <si>
    <t xml:space="preserve">Password/access policy; backups</t>
  </si>
  <si>
    <t xml:space="preserve">B3.6</t>
  </si>
  <si>
    <t xml:space="preserve">Display and monitoring equipment (video wall/monitors, weather feeds, CCTV feeds)</t>
  </si>
  <si>
    <t xml:space="preserve">Observation</t>
  </si>
  <si>
    <t xml:space="preserve">B4.1</t>
  </si>
  <si>
    <t xml:space="preserve">EOC organizational structure defined (EOC Manager, Operations, Planning/Information, Logistics, Admin/Finance, liaison desks)</t>
  </si>
  <si>
    <t xml:space="preserve">NDRRMC EOC Guidelines; ICS</t>
  </si>
  <si>
    <t xml:space="preserve">Organogram; EO</t>
  </si>
  <si>
    <t xml:space="preserve">EOC Ch.5 Organization</t>
  </si>
  <si>
    <t xml:space="preserve">B4.2</t>
  </si>
  <si>
    <t xml:space="preserve">Pre-designated EOC staff with alternates (at least 2 deep per key position)</t>
  </si>
  <si>
    <t xml:space="preserve">Roster with alternates</t>
  </si>
  <si>
    <t xml:space="preserve">B4.3</t>
  </si>
  <si>
    <t xml:space="preserve">Duty roster for sustained 24/7 operations with shift handover protocol</t>
  </si>
  <si>
    <t xml:space="preserve">Roster; handover forms</t>
  </si>
  <si>
    <t xml:space="preserve">MR-09; MR-01; MR-12–MR-15</t>
  </si>
  <si>
    <t xml:space="preserve">B4.4</t>
  </si>
  <si>
    <t xml:space="preserve">Agency/cluster liaison desks identified (CSWDO, CHO, CEO, PNP, BFP, AFP, DepEd, utilities, Red Cross)</t>
  </si>
  <si>
    <t xml:space="preserve">NDCC MC 12 s. 2008; EOC Guidelines</t>
  </si>
  <si>
    <t xml:space="preserve">Desk assignments</t>
  </si>
  <si>
    <t xml:space="preserve">B4.5</t>
  </si>
  <si>
    <t xml:space="preserve">Position checklists/job action sheets for each EOC role</t>
  </si>
  <si>
    <t xml:space="preserve">Job action sheets</t>
  </si>
  <si>
    <t xml:space="preserve">B4.6</t>
  </si>
  <si>
    <t xml:space="preserve">Responder welfare in EOC: rest cycles, meals, MHPSS, family support</t>
  </si>
  <si>
    <t xml:space="preserve">RA 11036; good practice</t>
  </si>
  <si>
    <t xml:space="preserve">Policy; observation</t>
  </si>
  <si>
    <t xml:space="preserve">B5.1</t>
  </si>
  <si>
    <t xml:space="preserve">Standard SitRep/ Report templates aligned with NDRRMC/OCD formats and fixed reporting schedule</t>
  </si>
  <si>
    <t xml:space="preserve">NDRRMC reporting protocol</t>
  </si>
  <si>
    <t xml:space="preserve">Templates; sample SitReps</t>
  </si>
  <si>
    <t xml:space="preserve">EOC Ch.6 Information Mgmt</t>
  </si>
  <si>
    <t xml:space="preserve">MR-07; MR-01; MR-12–MR-15</t>
  </si>
  <si>
    <t xml:space="preserve">B5.2</t>
  </si>
  <si>
    <t xml:space="preserve">Barangay-to-city reporting flow (BDRRMC -&gt; EOC) with defined timelines and formats</t>
  </si>
  <si>
    <t xml:space="preserve">RA 10121; DILG</t>
  </si>
  <si>
    <t xml:space="preserve">Flowchart; sample reports</t>
  </si>
  <si>
    <t xml:space="preserve">EOC Ch.6</t>
  </si>
  <si>
    <t xml:space="preserve">B5.3</t>
  </si>
  <si>
    <t xml:space="preserve">Common Operating Picture maintained (dashboard/ GIS map of incidents, evacuees, resources)</t>
  </si>
  <si>
    <t xml:space="preserve">Dashboard; observation</t>
  </si>
  <si>
    <t xml:space="preserve">B5.4</t>
  </si>
  <si>
    <t xml:space="preserve">Evacuation center and affected-family tracking (DAFAC/ registration) feeds EOC data</t>
  </si>
  <si>
    <t xml:space="preserve">DSWD DAFAC; RA 10821</t>
  </si>
  <si>
    <t xml:space="preserve">DAFAC records; EC reports</t>
  </si>
  <si>
    <t xml:space="preserve">B5.5</t>
  </si>
  <si>
    <t xml:space="preserve">EOC logbook/ significant events log and document retention</t>
  </si>
  <si>
    <t xml:space="preserve">Good practice; NAP rules</t>
  </si>
  <si>
    <t xml:space="preserve">Logbook; records schedule</t>
  </si>
  <si>
    <t xml:space="preserve">B5.6</t>
  </si>
  <si>
    <t xml:space="preserve">Weather/hazard monitoring routine (PAGASA, PHIVOLCS feeds) with bulletins logged and disseminated</t>
  </si>
  <si>
    <t xml:space="preserve">RA 10121; PAGASA protocols</t>
  </si>
  <si>
    <t xml:space="preserve">Monitoring log</t>
  </si>
  <si>
    <t xml:space="preserve">B5.7</t>
  </si>
  <si>
    <t xml:space="preserve">Inbound citizen reporting (hotline, SMS, social media) feeds the common operating picture after a verification step</t>
  </si>
  <si>
    <t xml:space="preserve">UNDRR DRSC 7.4.2</t>
  </si>
  <si>
    <t xml:space="preserve">Intake log; verification SOP; dashboard</t>
  </si>
  <si>
    <t xml:space="preserve">MR-07; MR-18; MR-01; MR-12–MR-15</t>
  </si>
  <si>
    <t xml:space="preserve">B6.1</t>
  </si>
  <si>
    <t xml:space="preserve">ICS-EOC interface defined: EOC supports Incident Commander(s); no duplication of command</t>
  </si>
  <si>
    <t xml:space="preserve">NDRRMC MC No. 4 s. 2012; EOC Guidelines</t>
  </si>
  <si>
    <t xml:space="preserve">SOP; organigram showing relationships</t>
  </si>
  <si>
    <t xml:space="preserve">EOC Ch.7 Coordination</t>
  </si>
  <si>
    <t xml:space="preserve">B6.2</t>
  </si>
  <si>
    <t xml:space="preserve">Resource management system: request, tracking, mobilization and demobilization of resources</t>
  </si>
  <si>
    <t xml:space="preserve">ICS resource management; EOC Guidelines</t>
  </si>
  <si>
    <t xml:space="preserve">Resource request forms; tracking sheet</t>
  </si>
  <si>
    <t xml:space="preserve">EOC Ch.7</t>
  </si>
  <si>
    <t xml:space="preserve">B6.3</t>
  </si>
  <si>
    <t xml:space="preserve">Resource inventory (city, barangays, partners, private sector) accessible from EOC</t>
  </si>
  <si>
    <t xml:space="preserve">RA 10121; ICS</t>
  </si>
  <si>
    <t xml:space="preserve">Resource database</t>
  </si>
  <si>
    <t xml:space="preserve">B6.4</t>
  </si>
  <si>
    <t xml:space="preserve">Procedures for receiving and managing external assistance/ donations and volunteers</t>
  </si>
  <si>
    <t xml:space="preserve">NDRRMC guidelines on international/ external assistance</t>
  </si>
  <si>
    <t xml:space="preserve">SOP</t>
  </si>
  <si>
    <t xml:space="preserve">B6.5</t>
  </si>
  <si>
    <t xml:space="preserve">Decision-support briefings to CDRRMC/Mayor at fixed intervals during activation</t>
  </si>
  <si>
    <t xml:space="preserve">EOC Guidelines</t>
  </si>
  <si>
    <t xml:space="preserve">Briefing records</t>
  </si>
  <si>
    <t xml:space="preserve">B6.6</t>
  </si>
  <si>
    <t xml:space="preserve">Pre-arranged resource commitments from partners and suppliers set out by item, quantity, activation trigger and contact in signed agreements (incl. supplier agreements tapped for anticipatory action)</t>
  </si>
  <si>
    <t xml:space="preserve">UNDRR DRSC 1.2.4; RA 12287 IRR (2026) Rule IV Sec. 6(a)(ii)</t>
  </si>
  <si>
    <t xml:space="preserve">Signed agreements with schedules</t>
  </si>
  <si>
    <t xml:space="preserve">MR-08; MR-16; MR-18; MR-01; MR-12–MR-15</t>
  </si>
  <si>
    <t xml:space="preserve">B7.1</t>
  </si>
  <si>
    <t xml:space="preserve">Written EOC SOPs/ Manual approved and disseminated to all EOC staff</t>
  </si>
  <si>
    <t xml:space="preserve">Approved manual; distribution log</t>
  </si>
  <si>
    <t xml:space="preserve">EOC Manual (whole)</t>
  </si>
  <si>
    <t xml:space="preserve">B7.2</t>
  </si>
  <si>
    <t xml:space="preserve">EOC staff trained (EOC operations course, ICS, IM) with records</t>
  </si>
  <si>
    <t xml:space="preserve">OCD/DRRM training; NDRRMC EOC Guidelines</t>
  </si>
  <si>
    <t xml:space="preserve">Training records</t>
  </si>
  <si>
    <t xml:space="preserve">EOC Ch.8 Training &amp; Exercises</t>
  </si>
  <si>
    <t xml:space="preserve">B7.3</t>
  </si>
  <si>
    <t xml:space="preserve">Annual exercise program (tabletop, functional, full-scale) testing EOC activation</t>
  </si>
  <si>
    <t xml:space="preserve">NDRRMC; HSEEP-style good practice</t>
  </si>
  <si>
    <t xml:space="preserve">Exercise reports</t>
  </si>
  <si>
    <t xml:space="preserve">EOC Ch.8</t>
  </si>
  <si>
    <t xml:space="preserve">MR-04; MR-11; MR-01; MR-12–MR-15</t>
  </si>
  <si>
    <t xml:space="preserve">B7.4</t>
  </si>
  <si>
    <t xml:space="preserve">After-action review after each activation with improvement plan tracked</t>
  </si>
  <si>
    <t xml:space="preserve">AAR; improvement plan</t>
  </si>
  <si>
    <t xml:space="preserve">B7.5</t>
  </si>
  <si>
    <t xml:space="preserve">Dedicated EOC budget for operations, maintenance and upgrades in LDRRMFIP</t>
  </si>
  <si>
    <t xml:space="preserve">LDRRMFIP line items</t>
  </si>
  <si>
    <t xml:space="preserve">EOC Ch.9 Sustainability</t>
  </si>
  <si>
    <t xml:space="preserve">B7.6</t>
  </si>
  <si>
    <t xml:space="preserve">Equipment maintenance schedule and annual EOC readiness self-check</t>
  </si>
  <si>
    <t xml:space="preserve">PM schedule; checklist</t>
  </si>
  <si>
    <t xml:space="preserve">EOC Ch.9</t>
  </si>
  <si>
    <t xml:space="preserve">C1.1</t>
  </si>
  <si>
    <t xml:space="preserve">Most-probable and most-severe risk scenarios inform CDP/CLUP priorities and the location of major investments</t>
  </si>
  <si>
    <t xml:space="preserve">UNDRR DRSC 1.1.1; RA 10121 Sec. 2; DHSUD CLUP guidelines</t>
  </si>
  <si>
    <t xml:space="preserve">CDP/CLUP; CDRA references</t>
  </si>
  <si>
    <t xml:space="preserve">Score capped by strongest evidence; Approved document AND proof of use; interviews/FGDs alone cannot support score 3. Evidence is supplied by the lead office.</t>
  </si>
  <si>
    <t xml:space="preserve">Domain result: score + evidence + gap + priority; §6 Part C interface results (by lead office); §9 Action Plan; §10 MOO implications</t>
  </si>
  <si>
    <t xml:space="preserve">Interface / coordination arrangement</t>
  </si>
  <si>
    <t xml:space="preserve">(4-score) × weight × 1.0 (Interface; Good Practice factor)</t>
  </si>
  <si>
    <t xml:space="preserve">Retain cycle history; compare year-over-year; re-confirm lead office each cycle</t>
  </si>
  <si>
    <t xml:space="preserve">CPDO</t>
  </si>
  <si>
    <t xml:space="preserve">Part C Interface Index (separate)</t>
  </si>
  <si>
    <t xml:space="preserve">UNDRR Scorecard; Interface</t>
  </si>
  <si>
    <t xml:space="preserve">MR-03; MR-17; MR-18; MR-01; MR-12–MR-15</t>
  </si>
  <si>
    <t xml:space="preserve">Added in v1.1 (Part C interface)</t>
  </si>
  <si>
    <t xml:space="preserve">C1.2</t>
  </si>
  <si>
    <t xml:space="preserve">DRR/CCA screening step in project and budget approval (LDC, LFC)</t>
  </si>
  <si>
    <t xml:space="preserve">UNDRR DRSC 1.3.1; climate change expenditure tagging guidelines</t>
  </si>
  <si>
    <t xml:space="preserve">Screening form; LDC/LFC minutes</t>
  </si>
  <si>
    <t xml:space="preserve">MOO Ch.3 / Ch.5</t>
  </si>
  <si>
    <t xml:space="preserve">CPDO; City Budget Office</t>
  </si>
  <si>
    <t xml:space="preserve">C1.3</t>
  </si>
  <si>
    <t xml:space="preserve">CDRA estimates losses beyond physical assets: livelihoods and jobs, housing and displacement, agriculture, ecosystems, cultural heritage</t>
  </si>
  <si>
    <t xml:space="preserve">UNDRR DRSC 2.2.2; DHSUD/CCC CDRA guidelines</t>
  </si>
  <si>
    <t xml:space="preserve">CDRA report</t>
  </si>
  <si>
    <t xml:space="preserve">C1.4</t>
  </si>
  <si>
    <t xml:space="preserve">Risk-sensitive development guidelines applied in zoning and building permits, based on hazard maps</t>
  </si>
  <si>
    <t xml:space="preserve">UNDRR DRSC 2.4.1; CLUP/ZO</t>
  </si>
  <si>
    <t xml:space="preserve">Guidelines; sample permit reviews</t>
  </si>
  <si>
    <t xml:space="preserve">CPDO; Zoning Administrator</t>
  </si>
  <si>
    <t xml:space="preserve">C2.1</t>
  </si>
  <si>
    <t xml:space="preserve">Structural safety of the EOC, evacuation centers and critical public facilities assessed by the Building Official, with a rapid safety inspection procedure before forecast impact</t>
  </si>
  <si>
    <t xml:space="preserve">UNDRR DRSC 4.3.1, 4.4.2; PD 1096; RA 12076; RA 12287 IRR (2026) Rule IV Sec. 4(c)(i)</t>
  </si>
  <si>
    <t xml:space="preserve">Assessment reports; inspection checklist</t>
  </si>
  <si>
    <t xml:space="preserve">EOC Ch.3 / MOO Ch.4</t>
  </si>
  <si>
    <t xml:space="preserve">City Engineer / Building Official</t>
  </si>
  <si>
    <t xml:space="preserve">RA 12287 / anticipatory action; UNDRR Scorecard; Interface</t>
  </si>
  <si>
    <t xml:space="preserve">MR-03; MR-16; MR-17; MR-18; MR-01; MR-12–MR-15</t>
  </si>
  <si>
    <t xml:space="preserve">C2.2</t>
  </si>
  <si>
    <t xml:space="preserve">Pre-crisis and priority-restoration arrangements with power, water and telecom providers (load-shedding and water-rationing plans, cell-on-wheels, restoration priority list)</t>
  </si>
  <si>
    <t xml:space="preserve">UNDRR DRSC Essential 8; RA 12287 IRR (2026) Rule IV Sec. 4(c)(ii)-(iv)</t>
  </si>
  <si>
    <t xml:space="preserve">Agreements; restoration priority list</t>
  </si>
  <si>
    <t xml:space="preserve">MOO Ch.9 / EOC Ch.7</t>
  </si>
  <si>
    <t xml:space="preserve">CDRRMO with utility providers</t>
  </si>
  <si>
    <t xml:space="preserve">C2.3</t>
  </si>
  <si>
    <t xml:space="preserve">Transport anticipatory actions: pre-inspection of bridges, alternate routes and traffic teams, coordination with seaport and terminal operators</t>
  </si>
  <si>
    <t xml:space="preserve">UNDRR DRSC Essential 8; RA 12287 IRR (2026) Rule IV Sec. 10(b)</t>
  </si>
  <si>
    <t xml:space="preserve">Route plan; inspection list; coordination records</t>
  </si>
  <si>
    <t xml:space="preserve">City Engineer; traffic office; DPWH; port operator</t>
  </si>
  <si>
    <t xml:space="preserve">C3.1</t>
  </si>
  <si>
    <t xml:space="preserve">Critical protective ecosystems (upper Anilao-Malbasag watershed, upland forest cover, coastal mangroves) identified and monitored as risk-reduction assets</t>
  </si>
  <si>
    <t xml:space="preserve">UNDRR DRSC 5.1.1; RA 9729 as amended</t>
  </si>
  <si>
    <t xml:space="preserve">Ecosystem inventory; monitoring reports</t>
  </si>
  <si>
    <t xml:space="preserve">CENRO; DENR CENRO</t>
  </si>
  <si>
    <t xml:space="preserve">C3.2</t>
  </si>
  <si>
    <t xml:space="preserve">Arrangements with neighbouring LGUs and DENR where watersheds or protective ecosystems extend beyond city limits</t>
  </si>
  <si>
    <t xml:space="preserve">UNDRR DRSC 5.3.1, 5.3.2; RA 7160 Sec. 33</t>
  </si>
  <si>
    <t xml:space="preserve">MOAs; watershed council records</t>
  </si>
  <si>
    <t xml:space="preserve">CENRO</t>
  </si>
  <si>
    <t xml:space="preserve">C3.3</t>
  </si>
  <si>
    <t xml:space="preserve">Environmental anticipatory actions: declogging of waterways and drainage, slope stabilization, safe debris and carcass disposal</t>
  </si>
  <si>
    <t xml:space="preserve">RA 12287 IRR (2026) Rule IV Sec. 10(d)</t>
  </si>
  <si>
    <t xml:space="preserve">Protocol; work orders from last season</t>
  </si>
  <si>
    <t xml:space="preserve">CENRO; City Engineer; GSO</t>
  </si>
  <si>
    <t xml:space="preserve">RA 12287 / anticipatory action; Interface</t>
  </si>
  <si>
    <t xml:space="preserve">MR-03; MR-16; MR-17; MR-01; MR-12–MR-15</t>
  </si>
  <si>
    <t xml:space="preserve">C4.1</t>
  </si>
  <si>
    <t xml:space="preserve">Health anticipatory action: Health Cluster activation, facility service-continuity and surge plans, prepositioned commodities, health emergency response teams on standby</t>
  </si>
  <si>
    <t xml:space="preserve">RA 12287 IRR (2026) Rule IV Sec. 9</t>
  </si>
  <si>
    <t xml:space="preserve">Health AA plan; surge plans</t>
  </si>
  <si>
    <t xml:space="preserve">City Health Office; hospitals</t>
  </si>
  <si>
    <t xml:space="preserve">MR-05; MR-16; MR-17; MR-01; MR-12–MR-15</t>
  </si>
  <si>
    <t xml:space="preserve">C4.2</t>
  </si>
  <si>
    <t xml:space="preserve">Education anticipatory action: schools' AA plans and learning-continuity modalities</t>
  </si>
  <si>
    <t xml:space="preserve">RA 12287 IRR (2026) Rule IV Sec. 10(a); RA 10821</t>
  </si>
  <si>
    <t xml:space="preserve">AA plans; learning continuity plan</t>
  </si>
  <si>
    <t xml:space="preserve">DepEd Schools Division of Ormoc City</t>
  </si>
  <si>
    <t xml:space="preserve">C4.3</t>
  </si>
  <si>
    <t xml:space="preserve">Agri-fisheries anticipatory action using RSBSA, FishR and livestock registries; early action guidelines on storage, inputs and animal health</t>
  </si>
  <si>
    <t xml:space="preserve">RA 12287 IRR (2026) Rule IV Sec. 8</t>
  </si>
  <si>
    <t xml:space="preserve">Guidelines; registry extracts</t>
  </si>
  <si>
    <t xml:space="preserve">City Agriculture Office; City Veterinary Office</t>
  </si>
  <si>
    <t xml:space="preserve">C4.4</t>
  </si>
  <si>
    <t xml:space="preserve">Pre-impact price monitoring and anti-profiteering of basic goods</t>
  </si>
  <si>
    <t xml:space="preserve">RA 12287 IRR (2026) Rule IV Sec. 10(c); RA 7581 (Price Act)</t>
  </si>
  <si>
    <t xml:space="preserve">Monitoring reports</t>
  </si>
  <si>
    <t xml:space="preserve">DTI Leyte; city market office</t>
  </si>
  <si>
    <t xml:space="preserve">C5.1</t>
  </si>
  <si>
    <t xml:space="preserve">Business continuity outreach to local businesses based on shared hazard scenarios (outreach only; no mandate implied)</t>
  </si>
  <si>
    <t xml:space="preserve">UNDRR DRSC 7.3.2</t>
  </si>
  <si>
    <t xml:space="preserve">Outreach records; materials</t>
  </si>
  <si>
    <t xml:space="preserve">CDRRMO with Chamber of Commerce</t>
  </si>
  <si>
    <t xml:space="preserve">MR-04; MR-17; MR-18; MR-01; MR-12–MR-15</t>
  </si>
  <si>
    <t xml:space="preserve">Score</t>
  </si>
  <si>
    <t xml:space="preserve">Level</t>
  </si>
  <si>
    <t xml:space="preserve">Description</t>
  </si>
  <si>
    <t xml:space="preserve">Minimum Evidence</t>
  </si>
  <si>
    <t xml:space="preserve">Absent</t>
  </si>
  <si>
    <t xml:space="preserve">Not in place, and no plan to establish it.</t>
  </si>
  <si>
    <t xml:space="preserve">None</t>
  </si>
  <si>
    <t xml:space="preserve">Initial / Ad hoc</t>
  </si>
  <si>
    <t xml:space="preserve">Done informally; depends on individuals; not documented.</t>
  </si>
  <si>
    <t xml:space="preserve">Verbal account only</t>
  </si>
  <si>
    <t xml:space="preserve">Developing</t>
  </si>
  <si>
    <t xml:space="preserve">Exists but incomplete, outdated, unapproved or inconsistently applied.</t>
  </si>
  <si>
    <t xml:space="preserve">Draft/partial document or partial practice observed</t>
  </si>
  <si>
    <t xml:space="preserve">Compliant / Established</t>
  </si>
  <si>
    <t xml:space="preserve">Meets legal/policy standard; documented, approved and applied.</t>
  </si>
  <si>
    <t xml:space="preserve">Approved document AND proof of use</t>
  </si>
  <si>
    <t xml:space="preserve">Advanced / Institutionalized</t>
  </si>
  <si>
    <t xml:space="preserve">Exceeds standard; tested, reviewed and improved regularly.</t>
  </si>
  <si>
    <t xml:space="preserve">Level 3 evidence plus a test, exercise or AAR showing improvement</t>
  </si>
  <si>
    <t xml:space="preserve">NA</t>
  </si>
  <si>
    <t xml:space="preserve">Not applicable</t>
  </si>
  <si>
    <t xml:space="preserve">Does not apply to Ormoc; excluded from computation.</t>
  </si>
  <si>
    <t xml:space="preserve">Written justification</t>
  </si>
  <si>
    <t xml:space="preserve">Metric</t>
  </si>
  <si>
    <t xml:space="preserve">Formula / Rule</t>
  </si>
  <si>
    <t xml:space="preserve">Domain / Part / Institutional Maturity Index</t>
  </si>
  <si>
    <t xml:space="preserve">sum(score × weight) / sum(weights), scored indicators only. Institutional Maturity Index (IMI) = Parts A and B only (125 core indicators).</t>
  </si>
  <si>
    <t xml:space="preserve">Maturity bands</t>
  </si>
  <si>
    <t xml:space="preserve">&lt;0.5 Absent; 0.5–1.49 Initial; 1.5–2.49 Developing; 2.5–3.49 Compliant; ≥3.5 Advanced</t>
  </si>
  <si>
    <t xml:space="preserve">Mandatory Compliance Rate</t>
  </si>
  <si>
    <t xml:space="preserve">Mandatory indicators scored 3 or 4 / scored Mandatory indicators</t>
  </si>
  <si>
    <t xml:space="preserve">Domain compliance</t>
  </si>
  <si>
    <t xml:space="preserve">A domain counts as compliant only at 100% Mandatory Compliance</t>
  </si>
  <si>
    <t xml:space="preserve">Gap Priority Score</t>
  </si>
  <si>
    <t xml:space="preserve">(4-score) × weight × 1.5 for Mandatory; ×1.0 for Good Practice and for all Part C interface indicators</t>
  </si>
  <si>
    <t xml:space="preserve">Priority bands</t>
  </si>
  <si>
    <t xml:space="preserve">High ≥9; Medium 4–8.9; Low &lt;4</t>
  </si>
  <si>
    <t xml:space="preserve">Part C Interface Index</t>
  </si>
  <si>
    <t xml:space="preserve">Same formula as the Domain Maturity Index, over Part C indicators only; reported separately and never added to the IMI</t>
  </si>
  <si>
    <t xml:space="preserve">Part C priority</t>
  </si>
  <si>
    <t xml:space="preserve">Uses the Good Practice factor (×1.0): a Part C gap reaches High only at weight 3 and score 0 or 1</t>
  </si>
  <si>
    <t xml:space="preserve">Part C type</t>
  </si>
  <si>
    <t xml:space="preserve">Part C has no Mandatory indicators; the IAT Type column names the lead office instead</t>
  </si>
  <si>
    <t xml:space="preserve">* Design-extension fields</t>
  </si>
  <si>
    <t xml:space="preserve">Fields marked with * are added to make the dictionary directly usable by the Situational Analysis Report, MOO requirements engineering and future platform; they are not claimed to be verbatim fields from Annex A.</t>
  </si>
  <si>
    <t xml:space="preserve">CROSSWALK - UNDRR SCORECARD (DETAILED LEVEL) AND RA 12287 IRR TO THE IAT v1.1</t>
  </si>
  <si>
    <t xml:space="preserve">Treatment: New = added indicator; Modified = existing indicator widened; Covered = already assessed; Interface = Part C; Deferred = left to the city-wide Scorecard workshop (owned by other offices or needs data the CDRRMO does not hold).</t>
  </si>
  <si>
    <t xml:space="preserve">A. UNDRR Disaster Resilience Scorecard for Cities - Detailed Level</t>
  </si>
  <si>
    <t xml:space="preserve">DRSC ref</t>
  </si>
  <si>
    <t xml:space="preserve">Subject</t>
  </si>
  <si>
    <t xml:space="preserve">Treatment</t>
  </si>
  <si>
    <t xml:space="preserve">IAT indicator(s)</t>
  </si>
  <si>
    <t xml:space="preserve">Note</t>
  </si>
  <si>
    <t xml:space="preserve">1.1.1</t>
  </si>
  <si>
    <t xml:space="preserve">Risk consideration in plan making</t>
  </si>
  <si>
    <t xml:space="preserve">Interface</t>
  </si>
  <si>
    <t xml:space="preserve">1.1.2</t>
  </si>
  <si>
    <t xml:space="preserve">Consultation in plan making</t>
  </si>
  <si>
    <t xml:space="preserve">Deferred</t>
  </si>
  <si>
    <t xml:space="preserve">-</t>
  </si>
  <si>
    <t xml:space="preserve">City planning process; Scorecard workshop</t>
  </si>
  <si>
    <t xml:space="preserve">1.1.3</t>
  </si>
  <si>
    <t xml:space="preserve">Review of strategic plans</t>
  </si>
  <si>
    <t xml:space="preserve">Covered</t>
  </si>
  <si>
    <t xml:space="preserve">LDRRMP annual review</t>
  </si>
  <si>
    <t xml:space="preserve">1.2.1</t>
  </si>
  <si>
    <t xml:space="preserve">Pre-event planning coordination</t>
  </si>
  <si>
    <t xml:space="preserve">A1.2, A1.3, A3.3</t>
  </si>
  <si>
    <t xml:space="preserve">1.2.2</t>
  </si>
  <si>
    <t xml:space="preserve">Coordination of event response</t>
  </si>
  <si>
    <t xml:space="preserve">A8.5, B1.4, B6.1</t>
  </si>
  <si>
    <t xml:space="preserve">1.2.3</t>
  </si>
  <si>
    <t xml:space="preserve">City resources and authority for DRR</t>
  </si>
  <si>
    <t xml:space="preserve">A2.3, A4.1</t>
  </si>
  <si>
    <t xml:space="preserve">1.2.4</t>
  </si>
  <si>
    <t xml:space="preserve">Physical contributions from partners</t>
  </si>
  <si>
    <t xml:space="preserve">New</t>
  </si>
  <si>
    <t xml:space="preserve">1.3.1</t>
  </si>
  <si>
    <t xml:space="preserve">Resilience screening of policy and budget</t>
  </si>
  <si>
    <t xml:space="preserve">1.4.1</t>
  </si>
  <si>
    <t xml:space="preserve">Shared resilience data</t>
  </si>
  <si>
    <t xml:space="preserve">2.1.1</t>
  </si>
  <si>
    <t xml:space="preserve">Knowledge of hazards</t>
  </si>
  <si>
    <t xml:space="preserve">2.2.1</t>
  </si>
  <si>
    <t xml:space="preserve">Exposure and vulnerability scenarios</t>
  </si>
  <si>
    <t xml:space="preserve">2.2.2</t>
  </si>
  <si>
    <t xml:space="preserve">Damage and loss estimation</t>
  </si>
  <si>
    <t xml:space="preserve">2.3.1</t>
  </si>
  <si>
    <t xml:space="preserve">Critical assets and failure chains</t>
  </si>
  <si>
    <t xml:space="preserve">2.4.1</t>
  </si>
  <si>
    <t xml:space="preserve">Hazard maps and guidelines</t>
  </si>
  <si>
    <t xml:space="preserve">Covered / Interface</t>
  </si>
  <si>
    <t xml:space="preserve">A5.1; C1.4</t>
  </si>
  <si>
    <t xml:space="preserve">Maps in A5.1; development guidelines in C1.4</t>
  </si>
  <si>
    <t xml:space="preserve">2.5.1</t>
  </si>
  <si>
    <t xml:space="preserve">Update process</t>
  </si>
  <si>
    <t xml:space="preserve">3.1.1</t>
  </si>
  <si>
    <t xml:space="preserve">Knowledge of financing options</t>
  </si>
  <si>
    <t xml:space="preserve">Partly A4.7; full mapping in Scorecard workshop</t>
  </si>
  <si>
    <t xml:space="preserve">3.2.1</t>
  </si>
  <si>
    <t xml:space="preserve">Financial planning for resilience</t>
  </si>
  <si>
    <t xml:space="preserve">Covered (partial)</t>
  </si>
  <si>
    <t xml:space="preserve">City-wide 5-year plan deferred</t>
  </si>
  <si>
    <t xml:space="preserve">3.2.2</t>
  </si>
  <si>
    <t xml:space="preserve">Capital funding</t>
  </si>
  <si>
    <t xml:space="preserve">City capital program</t>
  </si>
  <si>
    <t xml:space="preserve">3.2.3</t>
  </si>
  <si>
    <t xml:space="preserve">Operating funding</t>
  </si>
  <si>
    <t xml:space="preserve">Covered / New</t>
  </si>
  <si>
    <t xml:space="preserve">A4.1, A4.4; A4.9</t>
  </si>
  <si>
    <t xml:space="preserve">3.2.4</t>
  </si>
  <si>
    <t xml:space="preserve">Contingency fund adequacy</t>
  </si>
  <si>
    <t xml:space="preserve">3.3.1</t>
  </si>
  <si>
    <t xml:space="preserve">Domestic insurance coverage</t>
  </si>
  <si>
    <t xml:space="preserve">Household data not available to CDRRMO</t>
  </si>
  <si>
    <t xml:space="preserve">3.3.2</t>
  </si>
  <si>
    <t xml:space="preserve">Non-domestic insurance coverage</t>
  </si>
  <si>
    <t xml:space="preserve">GSIS insurance of public assets</t>
  </si>
  <si>
    <t xml:space="preserve">3.4.1-3</t>
  </si>
  <si>
    <t xml:space="preserve">Incentives to businesses, non-profits, homeowners</t>
  </si>
  <si>
    <t xml:space="preserve">City policy; Scorecard workshop</t>
  </si>
  <si>
    <t xml:space="preserve">4.1.1-4.1.3</t>
  </si>
  <si>
    <t xml:space="preserve">Population, jobs, output and farmland at risk</t>
  </si>
  <si>
    <t xml:space="preserve">Needs loss modelling</t>
  </si>
  <si>
    <t xml:space="preserve">4.2.1</t>
  </si>
  <si>
    <t xml:space="preserve">Urban design solutions</t>
  </si>
  <si>
    <t xml:space="preserve">4.3.1</t>
  </si>
  <si>
    <t xml:space="preserve">Building codes vs risk</t>
  </si>
  <si>
    <t xml:space="preserve">Interface (partial)</t>
  </si>
  <si>
    <t xml:space="preserve">Critical facilities only</t>
  </si>
  <si>
    <t xml:space="preserve">4.3.2</t>
  </si>
  <si>
    <t xml:space="preserve">Updates to building codes</t>
  </si>
  <si>
    <t xml:space="preserve">National code</t>
  </si>
  <si>
    <t xml:space="preserve">4.3.3</t>
  </si>
  <si>
    <t xml:space="preserve">Sustainable building standards</t>
  </si>
  <si>
    <t xml:space="preserve">4.4.1</t>
  </si>
  <si>
    <t xml:space="preserve">Application of land use zoning</t>
  </si>
  <si>
    <t xml:space="preserve">A1.5 checks ordinances exist</t>
  </si>
  <si>
    <t xml:space="preserve">4.4.2</t>
  </si>
  <si>
    <t xml:space="preserve">Application of building codes</t>
  </si>
  <si>
    <t xml:space="preserve">5.1.1</t>
  </si>
  <si>
    <t xml:space="preserve">Awareness of ecosystem services</t>
  </si>
  <si>
    <t xml:space="preserve">5.1.2</t>
  </si>
  <si>
    <t xml:space="preserve">Ecosystem health</t>
  </si>
  <si>
    <t xml:space="preserve">Needs 5-year monitoring data</t>
  </si>
  <si>
    <t xml:space="preserve">5.2.1</t>
  </si>
  <si>
    <t xml:space="preserve">Land use impact on ecosystems</t>
  </si>
  <si>
    <t xml:space="preserve">5.2.2</t>
  </si>
  <si>
    <t xml:space="preserve">Green and blue infrastructure</t>
  </si>
  <si>
    <t xml:space="preserve">5.3.1-5.3.2</t>
  </si>
  <si>
    <t xml:space="preserve">Transboundary ecosystems and agreements</t>
  </si>
  <si>
    <t xml:space="preserve">6.1.1</t>
  </si>
  <si>
    <t xml:space="preserve">Skills and experience inventory</t>
  </si>
  <si>
    <t xml:space="preserve">6.1.2</t>
  </si>
  <si>
    <t xml:space="preserve">Private sector links</t>
  </si>
  <si>
    <t xml:space="preserve">Modified</t>
  </si>
  <si>
    <t xml:space="preserve">6.1.3</t>
  </si>
  <si>
    <t xml:space="preserve">Insurance sector engagement</t>
  </si>
  <si>
    <t xml:space="preserve">6.1.4</t>
  </si>
  <si>
    <t xml:space="preserve">Civil society links</t>
  </si>
  <si>
    <t xml:space="preserve">A10.2, A2.8</t>
  </si>
  <si>
    <t xml:space="preserve">6.2.1</t>
  </si>
  <si>
    <t xml:space="preserve">Public education campaign</t>
  </si>
  <si>
    <t xml:space="preserve">6.2.1.1</t>
  </si>
  <si>
    <t xml:space="preserve">Message exposures per person</t>
  </si>
  <si>
    <t xml:space="preserve">Needs population survey</t>
  </si>
  <si>
    <t xml:space="preserve">6.3.1-6.3.2</t>
  </si>
  <si>
    <t xml:space="preserve">Data shared with organizations and public</t>
  </si>
  <si>
    <t xml:space="preserve">6.4.1</t>
  </si>
  <si>
    <t xml:space="preserve">Professional training</t>
  </si>
  <si>
    <t xml:space="preserve">A2.6, A7.1, B7.2</t>
  </si>
  <si>
    <t xml:space="preserve">6.4.1.1</t>
  </si>
  <si>
    <t xml:space="preserve">% population trained</t>
  </si>
  <si>
    <t xml:space="preserve">Needs population data</t>
  </si>
  <si>
    <t xml:space="preserve">6.4.2</t>
  </si>
  <si>
    <t xml:space="preserve">Refresher training</t>
  </si>
  <si>
    <t xml:space="preserve">6.5.1</t>
  </si>
  <si>
    <t xml:space="preserve">Language accessibility</t>
  </si>
  <si>
    <t xml:space="preserve">6.6.1</t>
  </si>
  <si>
    <t xml:space="preserve">Learning from other cities</t>
  </si>
  <si>
    <t xml:space="preserve">7.1.1-7.1.2.1</t>
  </si>
  <si>
    <t xml:space="preserve">Community organizations: coverage, effectiveness, roles</t>
  </si>
  <si>
    <t xml:space="preserve">A7.3, B5.2</t>
  </si>
  <si>
    <t xml:space="preserve">7.2.1</t>
  </si>
  <si>
    <t xml:space="preserve">Social connectedness (contact within 12 hours)</t>
  </si>
  <si>
    <t xml:space="preserve">7.2.2</t>
  </si>
  <si>
    <t xml:space="preserve">Engagement of vulnerable groups</t>
  </si>
  <si>
    <t xml:space="preserve">7.3.1</t>
  </si>
  <si>
    <t xml:space="preserve">Employers as a channel</t>
  </si>
  <si>
    <t xml:space="preserve">Needs business survey</t>
  </si>
  <si>
    <t xml:space="preserve">7.3.2</t>
  </si>
  <si>
    <t xml:space="preserve">Business continuity planning</t>
  </si>
  <si>
    <t xml:space="preserve">Outreach only</t>
  </si>
  <si>
    <t xml:space="preserve">7.4.1</t>
  </si>
  <si>
    <t xml:space="preserve">Frequency of engagement</t>
  </si>
  <si>
    <t xml:space="preserve">7.4.2</t>
  </si>
  <si>
    <t xml:space="preserve">Mobile systems of engagement</t>
  </si>
  <si>
    <t xml:space="preserve">Ess. 8</t>
  </si>
  <si>
    <t xml:space="preserve">Infrastructure resilience (theme)</t>
  </si>
  <si>
    <t xml:space="preserve">B2.1-B2.7; C2.2, C2.3</t>
  </si>
  <si>
    <t xml:space="preserve">City-wide utility outcomes deferred</t>
  </si>
  <si>
    <t xml:space="preserve">Ess. 9</t>
  </si>
  <si>
    <t xml:space="preserve">Effective disaster response (theme)</t>
  </si>
  <si>
    <t xml:space="preserve">A6, A8, B1-B7</t>
  </si>
  <si>
    <t xml:space="preserve">Ess. 10</t>
  </si>
  <si>
    <t xml:space="preserve">Recovery and build back better (theme)</t>
  </si>
  <si>
    <t xml:space="preserve">A9.1-A9.4; A9.5</t>
  </si>
  <si>
    <t xml:space="preserve">B. RA 12287 Implementing Rules and Regulations (signed 14 Sep 2026)</t>
  </si>
  <si>
    <t xml:space="preserve">IRR provision</t>
  </si>
  <si>
    <t xml:space="preserve">Rule II Sec. 2</t>
  </si>
  <si>
    <t xml:space="preserve">Triggers and thresholds (NDRRMC operational guidelines pending)</t>
  </si>
  <si>
    <t xml:space="preserve">Rule II Sec. 5</t>
  </si>
  <si>
    <t xml:space="preserve">Pre-disaster risk assessment</t>
  </si>
  <si>
    <t xml:space="preserve">Rule II Sec. 6; Rule III Secs. 2-4</t>
  </si>
  <si>
    <t xml:space="preserve">Declaration, request to RDRRMC, LCE Executive Order, lifting</t>
  </si>
  <si>
    <t xml:space="preserve">Rule IV Sec. 1</t>
  </si>
  <si>
    <t xml:space="preserve">AA protocols in LGU preparedness; principles (inclusion, do no harm, no regrets, Sphere)</t>
  </si>
  <si>
    <t xml:space="preserve">New / Modified</t>
  </si>
  <si>
    <t xml:space="preserve">A8.8; A7.6; B1.2</t>
  </si>
  <si>
    <t xml:space="preserve">Rule IV Sec. 2</t>
  </si>
  <si>
    <t xml:space="preserve">Public information and advisories, incl. GIDAs</t>
  </si>
  <si>
    <t xml:space="preserve">Rule IV Secs. 3, 4, 6</t>
  </si>
  <si>
    <t xml:space="preserve">Prepositioning, asset deployment, pre-emptive evacuation, CCCM, CI safeguarding, FNI distribution</t>
  </si>
  <si>
    <t xml:space="preserve">A8.8; B6.6; C2.1, C2.2</t>
  </si>
  <si>
    <t xml:space="preserve">Rule IV Sec. 5</t>
  </si>
  <si>
    <t xml:space="preserve">Mobilization of ACDVs, CSOs, private sector</t>
  </si>
  <si>
    <t xml:space="preserve">Rule IV Sec. 7</t>
  </si>
  <si>
    <t xml:space="preserve">Social amelioration: CBMS targeting, cash and vouchers</t>
  </si>
  <si>
    <t xml:space="preserve">Rule IV Sec. 8</t>
  </si>
  <si>
    <t xml:space="preserve">Agri-fisheries AA (RSBSA, FishR, livestock)</t>
  </si>
  <si>
    <t xml:space="preserve">Rule IV Sec. 9</t>
  </si>
  <si>
    <t xml:space="preserve">Health AA</t>
  </si>
  <si>
    <t xml:space="preserve">Rule IV Sec. 10</t>
  </si>
  <si>
    <t xml:space="preserve">Education, transport, economy, environment AA</t>
  </si>
  <si>
    <t xml:space="preserve">C4.2, C2.3, C4.4, C3.3</t>
  </si>
  <si>
    <t xml:space="preserve">Rule V Secs. 1-3</t>
  </si>
  <si>
    <t xml:space="preserve">Funding: up to 10% of 70% LDRRMF; other sources; 30/70 disbursement rule; no regrets</t>
  </si>
  <si>
    <t xml:space="preserve">Rule VI Sec. 1</t>
  </si>
  <si>
    <t xml:space="preserve">Report to OCD within 45 days of lifting</t>
  </si>
  <si>
    <t xml:space="preserve">Rule VII</t>
  </si>
  <si>
    <t xml:space="preserve">Capacity development; focal persons</t>
  </si>
  <si>
    <t xml:space="preserve">Control Item</t>
  </si>
  <si>
    <t xml:space="preserve">Value</t>
  </si>
  <si>
    <t xml:space="preserve">Version</t>
  </si>
  <si>
    <t xml:space="preserve">v1.1 – October 2026 (supersedes the v1.0 dictionary of 108 indicators)</t>
  </si>
  <si>
    <t xml:space="preserve">Primary source</t>
  </si>
  <si>
    <t xml:space="preserve">Ormoc City CDRRMO &amp; EOC Institutional Assessment Tool – Standards, Policy Basis, Assessment Framework and Methodology, v1.1 draft, October 2026; and the IAT v1.1 scoring workbook (sheets A_CDRRMO, B_EOC, C_Interface)</t>
  </si>
  <si>
    <t xml:space="preserve">Annex used</t>
  </si>
  <si>
    <t xml:space="preserve">Annex A – Indicator Catalogue (v1.1); Annex G – Assessment Report Outline (v1.1); Crosswalk sheet of the IAT workbook</t>
  </si>
  <si>
    <t xml:space="preserve">Additional sources applied in v1.1</t>
  </si>
  <si>
    <t xml:space="preserve">IRR of RA 12287 (Declaration of State of Imminent Disaster Act), signed 14 Sep 2026; UNDRR Disaster Resilience Scorecard for Cities – Detailed Level Assessment (2017)</t>
  </si>
  <si>
    <t xml:space="preserve">Indicator count (all parts)</t>
  </si>
  <si>
    <t xml:space="preserve">Part A – CDRRMO</t>
  </si>
  <si>
    <t xml:space="preserve">Part B – EOC</t>
  </si>
  <si>
    <t xml:space="preserve">Part C – Interface (separate index)</t>
  </si>
  <si>
    <t xml:space="preserve">Mandatory (Parts A–B)</t>
  </si>
  <si>
    <t xml:space="preserve">Good Practice (Parts A–B)</t>
  </si>
  <si>
    <t xml:space="preserve">Unchanged from v1.0</t>
  </si>
  <si>
    <t xml:space="preserve">Removed in v1.1</t>
  </si>
  <si>
    <t xml:space="preserve">Source workbook sheets referenced by methodology</t>
  </si>
  <si>
    <t xml:space="preserve">A_CDRRMO, B_EOC and C_Interface</t>
  </si>
  <si>
    <t xml:space="preserve">Project use</t>
  </si>
  <si>
    <t xml:space="preserve">Institutional baseline → Situational Analysis Report → Draft MOO → future Digital Institutional Assessment Platform</t>
  </si>
  <si>
    <t xml:space="preserve">Important validation status</t>
  </si>
  <si>
    <t xml:space="preserve">The IAT is a draft for validation. Confirm before fieldwork: IRR effectivity date (publication and ONAR filing); NDRRMC operational guidelines on AA triggers and thresholds (pending); DBM–COA AA funding guidelines (pending); NDRRMC AA M&amp;E framework (due about mid-Dec 2026); exact NDRRMC EOC circular number with OCD VIII.</t>
  </si>
  <si>
    <t xml:space="preserve">Design-extension note</t>
  </si>
  <si>
    <t xml:space="preserve">Fields marked * are implementation/requirements-engineering extensions, not verbatim source fields. In v1.1 five v1.0 requirement-type labels were corrected (see Change_Log).</t>
  </si>
  <si>
    <t xml:space="preserve">Colour key</t>
  </si>
  <si>
    <t xml:space="preserve">Green = added in v1.1; yellow = revised in v1.1</t>
  </si>
  <si>
    <t xml:space="preserve">Item</t>
  </si>
  <si>
    <t xml:space="preserve">Change</t>
  </si>
  <si>
    <t xml:space="preserve">Field(s)</t>
  </si>
  <si>
    <t xml:space="preserve">v1.0 value</t>
  </si>
  <si>
    <t xml:space="preserve">v1.1 value</t>
  </si>
  <si>
    <t xml:space="preserve">Reason / basis</t>
  </si>
  <si>
    <t xml:space="preserve">Revised (IAT v1.1)</t>
  </si>
  <si>
    <t xml:space="preserve">Indicator Statement, Standard / Reference, Means of Verification, Source MOO Chapter</t>
  </si>
  <si>
    <t xml:space="preserve">Indicator Statement: Protocols for declaring State of Calamity and State of Imminent Disaster, incl. CDRRMC recommendation steps | Standard / Reference: RA 10121 Sec. 16; RA 12287 (2025) | Means of Verification: Protocol/SOP; past resolutions | Source MOO Chapter: MOO Ch.1 / EOC Manual Ch.2</t>
  </si>
  <si>
    <t xml:space="preserve">Indicator Statement: Protocol for declaring a State of Calamity, incl. CDRRMC recommendation steps and post-declaration measures (State of Imminent Disaster now assessed separately under A1.8) | Standard / Reference: RA 10121 Sec. 16 | Means of Verification: Protocol/SOP; past CDRRMC resolutions | Source MOO Chapter: MOO Ch.1</t>
  </si>
  <si>
    <t xml:space="preserve">Applies IRR of RA 12287 and/or UNDRR Scorecard per IAT v1.1</t>
  </si>
  <si>
    <t xml:space="preserve">Added (IAT v1.1)</t>
  </si>
  <si>
    <t xml:space="preserve">All fields</t>
  </si>
  <si>
    <t xml:space="preserve">Corrected (dictionary field)</t>
  </si>
  <si>
    <t xml:space="preserve">v1.0 label did not match the indicator subject</t>
  </si>
  <si>
    <t xml:space="preserve">Indicator Statement, Standard / Reference</t>
  </si>
  <si>
    <t xml:space="preserve">Indicator Statement: Volunteer/auxiliary responder management system (accreditation, registry, deployment, insurance) | Standard / Reference: RA 10121 Sec. 13; NDRRMC volunteer guidelines</t>
  </si>
  <si>
    <t xml:space="preserve">Indicator Statement: Volunteer/auxiliary responder management system (accreditation, registry, deployment, insurance), incl. mobilization of ACDVs for anticipatory action | Standard / Reference: RA 10121 Sec. 13; NDRRMC volunteer guidelines; RA 12287 IRR (2026) Rule IV Sec. 5</t>
  </si>
  <si>
    <t xml:space="preserve">Indicator Statement, Standard / Reference, Means of Verification</t>
  </si>
  <si>
    <t xml:space="preserve">Indicator Statement: QRF can be accessed for anticipatory/pre-disaster actions under a State of Imminent Disaster | Standard / Reference: RA 12287 (2025); RA 10121 Sec. 21 | Means of Verification: Protocol; Budget/Accounting guidance</t>
  </si>
  <si>
    <t xml:space="preserve">Indicator Statement: Anticipatory action funding pathway: LDRRMFIP sets an AA line within the cap of 10% of the 70% LDRRMF; other sources mapped (Special Trust Fund balances, donations, ODA); Budget, Accounting and BAC procedures allow immediate disbursement and observe the 30%/70% tranche rule around the 3-day lead time | Standard / Reference: RA 12287; RA 12287 IRR (2026) Rule V Secs. 1-3; RA 10121 Sec. 21; RA 12009 | Means of Verification: LDRRMFIP AA line; Budget/Accounting guidance; disbursement and procurement SOP</t>
  </si>
  <si>
    <t xml:space="preserve">Indicator Statement: Warning thresholds linked to specific actions (alert levels -&gt; pre-emptive evacuation, class/work suspension) in written protocols | Standard / Reference: RA 10121; RA 12287; DILG Operation L!sto</t>
  </si>
  <si>
    <t xml:space="preserve">Indicator Statement: Warning thresholds linked to specific actions (alert levels -&gt; pre-emptive evacuation, class/work suspension, State of Imminent Disaster request) in written protocols, built to take up NDRRMC impact-based triggers once issued | Standard / Reference: RA 10121; RA 12287; RA 12287 IRR (2026) Rule II Sec. 2; DILG Operation L!sto</t>
  </si>
  <si>
    <t xml:space="preserve">Indicator Statement: Inclusive DRRM: GAD, PWD, senior citizen, children, IP considerations embedded in plans and services | Standard / Reference: RA 9710; RA 7277 as amended; RA 9994; RA 10821; RA 8371 | Means of Verification: Plans; GAD-tagged budget; inclusion checklist</t>
  </si>
  <si>
    <t xml:space="preserve">Indicator Statement: Inclusive DRRM: GAD, PWD, senior citizen, children, IP considerations embedded in plans and services, with vulnerable-sector representatives confirming they were engaged | Standard / Reference: RA 9710; RA 7277 as amended; RA 9994; RA 10821; RA 8371; RA 12287 IRR (2026) Rule IV Sec. 1(a); UNDRR DRSC 7.2.2 | Means of Verification: Plans; GAD-tagged budget; inclusion checklist; sector representatives' confirmation (FGD)</t>
  </si>
  <si>
    <t xml:space="preserve">Standard / Reference: NDRRMC PDRA protocol; RA 12287</t>
  </si>
  <si>
    <t xml:space="preserve">Standard / Reference: NDRRMC PDRA protocol; RA 12287; RA 12287 IRR (2026) Rule II Sec. 5</t>
  </si>
  <si>
    <t xml:space="preserve">Indicator Statement: Partnerships with CSOs, private sector (incl. energy/geothermal operators), academe and faith-based groups documented | Standard / Reference: RA 10121 Sec. 12(c)(15) | Means of Verification: MOAs; partner registry</t>
  </si>
  <si>
    <t xml:space="preserve">Indicator Statement: Partnerships with CSOs, private sector (incl. energy/geothermal operators), academe and faith-based groups documented, with pre- and post-event roles defined and at least annual coordination meetings | Standard / Reference: RA 10121 Sec. 12(c)(15); UNDRR DRSC 6.1.2, 6.1.4 | Means of Verification: MOAs; partner registry; meeting records</t>
  </si>
  <si>
    <t xml:space="preserve">Indicator Statement: Alert/activation levels defined (e.g., White-normal, Blue-alert, Red-full activation) with hazard-based triggers | Standard / Reference: NDRRMC EOC Guidelines; NDRRMC alert protocol</t>
  </si>
  <si>
    <t xml:space="preserve">Indicator Statement: Alert/activation levels defined (e.g., White-normal, Blue-alert, Red-full activation) with hazard-based triggers and a defined EOC posture when a State of Imminent Disaster is declared | Standard / Reference: NDRRMC EOC Guidelines; NDRRMC alert protocol; RA 12287 IRR (2026) Rule IV Sec. 1</t>
  </si>
  <si>
    <t xml:space="preserve">Master_Requirements</t>
  </si>
  <si>
    <t xml:space="preserve">Realigned columns</t>
  </si>
  <si>
    <t xml:space="preserve">Columns I–K</t>
  </si>
  <si>
    <t xml:space="preserve">Entity lists sat under "Platform Requirement"; module/UX text under "Core Data Entities"; escalation rules under "UX/UI / Workflow"; MR-01 and MR-15 priority sat in column K</t>
  </si>
  <si>
    <t xml:space="preserve">Headers now match content: I Platform Requirement / UX Workflow; J Core Data Entities; K Priority / Escalation Rule; L Priority</t>
  </si>
  <si>
    <t xml:space="preserve">Pre-existing column shift in v1.0</t>
  </si>
  <si>
    <t xml:space="preserve">Updated</t>
  </si>
  <si>
    <t xml:space="preserve">IAT Coverage, Evidence, Entities (MR-01–MR-15)</t>
  </si>
  <si>
    <t xml:space="preserve">Ranges and counts for 108 indicators</t>
  </si>
  <si>
    <t xml:space="preserve">Ranges and counts for 140 indicators</t>
  </si>
  <si>
    <t xml:space="preserve">IAT v1.1</t>
  </si>
  <si>
    <t xml:space="preserve">Coverage gap closed</t>
  </si>
  <si>
    <t xml:space="preserve">B4.1, B4.2 and B7.1 were not mapped to any functional-area requirement</t>
  </si>
  <si>
    <t xml:space="preserve">Added to MR-05 (EOC organization, staffing with alternates, approved EOC SOPs)</t>
  </si>
  <si>
    <t xml:space="preserve">Found by v1.1 coverage check</t>
  </si>
  <si>
    <t xml:space="preserve">Added</t>
  </si>
  <si>
    <t xml:space="preserve">All</t>
  </si>
  <si>
    <t xml:space="preserve">RA 12287 and IRR (anticipatory action)</t>
  </si>
  <si>
    <t xml:space="preserve">IRR signed 14 Sep 2026</t>
  </si>
  <si>
    <t xml:space="preserve">IAT v1.1 Part C</t>
  </si>
  <si>
    <t xml:space="preserve">UNDRR Scorecard alignment</t>
  </si>
  <si>
    <t xml:space="preserve">IAT v1.1 Crosswalk</t>
  </si>
  <si>
    <t xml:space="preserve">Indicator_Data_Dictionary</t>
  </si>
  <si>
    <t xml:space="preserve">Columns added</t>
  </si>
  <si>
    <t xml:space="preserve">U–Y</t>
  </si>
  <si>
    <t xml:space="preserve">Lead Office (Part C); Index Inclusion; Thematic Tags*; Master Requirement(s)*; Version Status (v1.1)</t>
  </si>
  <si>
    <t xml:space="preserve">Part C and traceability to MR</t>
  </si>
  <si>
    <t xml:space="preserve">v1.0 report sections (unnumbered)</t>
  </si>
  <si>
    <t xml:space="preserve">Annex G v1.1 section numbers, incl. §5 RA 12287 readiness and §6 Part C</t>
  </si>
  <si>
    <t xml:space="preserve">IAT v1.1 Annex G</t>
  </si>
  <si>
    <t xml:space="preserve">Domain_Traceability</t>
  </si>
  <si>
    <t xml:space="preserve">Counts, entities, MOO chapters; C1–C5 added; Index and Added columns</t>
  </si>
  <si>
    <t xml:space="preserve">Hard-coded counts for 17 domains</t>
  </si>
  <si>
    <t xml:space="preserve">Formula counts for 22 domains</t>
  </si>
  <si>
    <t xml:space="preserve">Scoring_Lookups</t>
  </si>
  <si>
    <t xml:space="preserve">IMI scope; Part C rules</t>
  </si>
  <si>
    <t xml:space="preserve">IMI = Parts A–B; separate Interface Index; GP factor for Part C</t>
  </si>
  <si>
    <t xml:space="preserve">IAT v1.1 methodology §5.5</t>
  </si>
  <si>
    <t xml:space="preserve">Framework_Crosswalk</t>
  </si>
  <si>
    <t xml:space="preserve">Sheet</t>
  </si>
  <si>
    <t xml:space="preserve">Copy of IAT v1.1 Crosswalk (Scorecard and IRR)</t>
  </si>
  <si>
    <t xml:space="preserve">Traceability to external frameworks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</si>
</sst>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color rgb="FF1F4E78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omainTraceability" displayName="DomainTraceability" ref="A1:O23" headerRowCount="1" totalsRowCount="0" totalsRowShown="0">
  <autoFilter ref="A1:O23"/>
  <tableColumns count="15">
    <tableColumn id="1" name="Domain Code"/>
    <tableColumn id="2" name="Part"/>
    <tableColumn id="3" name="Domain"/>
    <tableColumn id="4" name="Indicators"/>
    <tableColumn id="5" name="Mandatory"/>
    <tableColumn id="6" name="Good Practice"/>
    <tableColumn id="7" name="Primary Functional Area"/>
    <tableColumn id="8" name="Platform Module"/>
    <tableColumn id="9" name="Situational Analysis Section"/>
    <tableColumn id="10" name="MOO Chapter/Area"/>
    <tableColumn id="11" name="Core Platform Entities"/>
    <tableColumn id="12" name="Primary Digital Workflow"/>
    <tableColumn id="13" name="Report / Decision Use"/>
    <tableColumn id="14" name="Index"/>
    <tableColumn id="15" name="Added in v1.1"/>
  </tableColumns>
</table>
</file>

<file path=xl/tables/table2.xml><?xml version="1.0" encoding="utf-8"?>
<table xmlns="http://schemas.openxmlformats.org/spreadsheetml/2006/main" id="2" name="IndicatorDictionary" displayName="IndicatorDictionary" ref="A1:Y141" headerRowCount="1" totalsRowCount="0" totalsRowShown="0">
  <autoFilter ref="A1:Y141"/>
  <tableColumns count="25">
    <tableColumn id="1" name="Indicator ID"/>
    <tableColumn id="2" name="Part"/>
    <tableColumn id="3" name="Domain Code"/>
    <tableColumn id="4" name="Domain"/>
    <tableColumn id="5" name="Indicator Statement"/>
    <tableColumn id="6" name="Standard / Reference"/>
    <tableColumn id="7" name="Type"/>
    <tableColumn id="8" name="Weight"/>
    <tableColumn id="9" name="Means of Verification"/>
    <tableColumn id="10" name="Source MOO Chapter"/>
    <tableColumn id="11" name="Primary Functional Area"/>
    <tableColumn id="12" name="Proposed Field Methods*"/>
    <tableColumn id="13" name="Evidence / Scoring Gate"/>
    <tableColumn id="14" name="Situational Analysis Use"/>
    <tableColumn id="15" name="Draft MOO Requirement Type*"/>
    <tableColumn id="16" name="Digital Platform Module"/>
    <tableColumn id="17" name="Core Data Entities*"/>
    <tableColumn id="18" name="Digital Workflow / Feature*"/>
    <tableColumn id="19" name="Priority Formula"/>
    <tableColumn id="20" name="Annual Reassessment"/>
    <tableColumn id="21" name="Lead Office (Part C)"/>
    <tableColumn id="22" name="Index Inclusion"/>
    <tableColumn id="23" name="Thematic Tags*"/>
    <tableColumn id="24" name="Master Requirement(s)*"/>
    <tableColumn id="25" name="Version Status (v1.1)"/>
  </tableColumns>
</table>
</file>

<file path=xl/tables/table3.xml><?xml version="1.0" encoding="utf-8"?>
<table xmlns="http://schemas.openxmlformats.org/spreadsheetml/2006/main" id="3" name="MasterRequirements" displayName="MasterRequirements" ref="A1:L19" headerRowCount="1" totalsRowCount="0" totalsRowShown="0">
  <autoFilter ref="A1:L19"/>
  <tableColumns count="12">
    <tableColumn id="1" name="Req ID"/>
    <tableColumn id="2" name="Requirement / Source Objective"/>
    <tableColumn id="3" name="Requirement Statement"/>
    <tableColumn id="4" name="Source Basis"/>
    <tableColumn id="5" name="IAT Coverage"/>
    <tableColumn id="6" name="Evidence / Verification"/>
    <tableColumn id="7" name="Situational Analysis Output"/>
    <tableColumn id="8" name="Draft MOO Output"/>
    <tableColumn id="9" name="Platform Requirement / UX Workflow"/>
    <tableColumn id="10" name="Core Data Entities"/>
    <tableColumn id="11" name="Priority / Escalation Rule"/>
    <tableColumn id="12" name="Priorit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35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44"/>
    <col collapsed="false" customWidth="true" hidden="false" outlineLevel="0" max="10" min="10" style="0" width="42"/>
    <col collapsed="false" customWidth="true" hidden="false" outlineLevel="0" max="11" min="11" style="0" width="34"/>
    <col collapsed="false" customWidth="true" hidden="false" outlineLevel="0" max="12" min="12" style="0" width="12"/>
  </cols>
  <sheetData>
    <row r="1" customFormat="false" ht="6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69.75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69.75" hidden="false" customHeight="tru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</row>
    <row r="4" customFormat="false" ht="69.75" hidden="false" customHeight="true" outlineLevel="0" collapsed="false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35</v>
      </c>
    </row>
    <row r="5" customFormat="false" ht="69.75" hidden="false" customHeight="true" outlineLevel="0" collapsed="false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35</v>
      </c>
    </row>
    <row r="6" customFormat="false" ht="69.75" hidden="false" customHeight="true" outlineLevel="0" collapsed="false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23</v>
      </c>
    </row>
    <row r="7" customFormat="false" ht="69.75" hidden="false" customHeight="true" outlineLevel="0" collapsed="false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75</v>
      </c>
      <c r="H7" s="2" t="s">
        <v>76</v>
      </c>
      <c r="I7" s="2" t="s">
        <v>77</v>
      </c>
      <c r="J7" s="2" t="s">
        <v>78</v>
      </c>
      <c r="K7" s="2" t="s">
        <v>79</v>
      </c>
      <c r="L7" s="2" t="s">
        <v>23</v>
      </c>
    </row>
    <row r="8" customFormat="false" ht="69.75" hidden="false" customHeight="true" outlineLevel="0" collapsed="false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89</v>
      </c>
      <c r="K8" s="2" t="s">
        <v>90</v>
      </c>
      <c r="L8" s="2" t="s">
        <v>35</v>
      </c>
    </row>
    <row r="9" customFormat="false" ht="69.75" hidden="false" customHeight="true" outlineLevel="0" collapsed="false">
      <c r="A9" s="2" t="s">
        <v>91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97</v>
      </c>
      <c r="H9" s="2" t="s">
        <v>98</v>
      </c>
      <c r="I9" s="2" t="s">
        <v>99</v>
      </c>
      <c r="J9" s="2" t="s">
        <v>100</v>
      </c>
      <c r="K9" s="2" t="s">
        <v>101</v>
      </c>
      <c r="L9" s="2" t="s">
        <v>35</v>
      </c>
    </row>
    <row r="10" customFormat="false" ht="69.75" hidden="false" customHeight="true" outlineLevel="0" collapsed="false">
      <c r="A10" s="2" t="s">
        <v>102</v>
      </c>
      <c r="B10" s="2" t="s">
        <v>103</v>
      </c>
      <c r="C10" s="2" t="s">
        <v>104</v>
      </c>
      <c r="D10" s="2" t="s">
        <v>105</v>
      </c>
      <c r="E10" s="2" t="s">
        <v>106</v>
      </c>
      <c r="F10" s="2" t="s">
        <v>107</v>
      </c>
      <c r="G10" s="2" t="s">
        <v>108</v>
      </c>
      <c r="H10" s="2" t="s">
        <v>109</v>
      </c>
      <c r="I10" s="2" t="s">
        <v>110</v>
      </c>
      <c r="J10" s="2" t="s">
        <v>111</v>
      </c>
      <c r="K10" s="2" t="s">
        <v>112</v>
      </c>
      <c r="L10" s="2" t="s">
        <v>23</v>
      </c>
    </row>
    <row r="11" customFormat="false" ht="69.75" hidden="false" customHeight="true" outlineLevel="0" collapsed="false">
      <c r="A11" s="2" t="s">
        <v>113</v>
      </c>
      <c r="B11" s="2" t="s">
        <v>114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119</v>
      </c>
      <c r="H11" s="2" t="s">
        <v>120</v>
      </c>
      <c r="I11" s="2" t="s">
        <v>121</v>
      </c>
      <c r="J11" s="2" t="s">
        <v>122</v>
      </c>
      <c r="K11" s="2" t="s">
        <v>123</v>
      </c>
      <c r="L11" s="2" t="s">
        <v>23</v>
      </c>
    </row>
    <row r="12" customFormat="false" ht="69.75" hidden="false" customHeight="true" outlineLevel="0" collapsed="false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130</v>
      </c>
      <c r="H12" s="2" t="s">
        <v>131</v>
      </c>
      <c r="I12" s="2" t="s">
        <v>132</v>
      </c>
      <c r="J12" s="2" t="s">
        <v>133</v>
      </c>
      <c r="K12" s="2" t="s">
        <v>134</v>
      </c>
      <c r="L12" s="2" t="s">
        <v>35</v>
      </c>
    </row>
    <row r="13" customFormat="false" ht="69.75" hidden="false" customHeight="true" outlineLevel="0" collapsed="false">
      <c r="A13" s="2" t="s">
        <v>135</v>
      </c>
      <c r="B13" s="2" t="s">
        <v>136</v>
      </c>
      <c r="C13" s="2" t="s">
        <v>137</v>
      </c>
      <c r="D13" s="2" t="s">
        <v>138</v>
      </c>
      <c r="E13" s="2" t="s">
        <v>139</v>
      </c>
      <c r="F13" s="2" t="s">
        <v>140</v>
      </c>
      <c r="G13" s="2" t="s">
        <v>141</v>
      </c>
      <c r="H13" s="2" t="s">
        <v>142</v>
      </c>
      <c r="I13" s="2" t="s">
        <v>143</v>
      </c>
      <c r="J13" s="2" t="s">
        <v>144</v>
      </c>
      <c r="K13" s="2" t="s">
        <v>145</v>
      </c>
      <c r="L13" s="2" t="s">
        <v>23</v>
      </c>
    </row>
    <row r="14" customFormat="false" ht="69.75" hidden="false" customHeight="true" outlineLevel="0" collapsed="false">
      <c r="A14" s="2" t="s">
        <v>146</v>
      </c>
      <c r="B14" s="2" t="s">
        <v>147</v>
      </c>
      <c r="C14" s="2" t="s">
        <v>148</v>
      </c>
      <c r="D14" s="2" t="s">
        <v>149</v>
      </c>
      <c r="E14" s="2" t="s">
        <v>150</v>
      </c>
      <c r="F14" s="2" t="s">
        <v>151</v>
      </c>
      <c r="G14" s="2" t="s">
        <v>152</v>
      </c>
      <c r="H14" s="2" t="s">
        <v>153</v>
      </c>
      <c r="I14" s="2" t="s">
        <v>154</v>
      </c>
      <c r="J14" s="2" t="s">
        <v>155</v>
      </c>
      <c r="K14" s="2" t="s">
        <v>156</v>
      </c>
      <c r="L14" s="2" t="s">
        <v>23</v>
      </c>
    </row>
    <row r="15" customFormat="false" ht="69.75" hidden="false" customHeight="true" outlineLevel="0" collapsed="false">
      <c r="A15" s="2" t="s">
        <v>157</v>
      </c>
      <c r="B15" s="2" t="s">
        <v>158</v>
      </c>
      <c r="C15" s="2" t="s">
        <v>159</v>
      </c>
      <c r="D15" s="2" t="s">
        <v>160</v>
      </c>
      <c r="E15" s="2" t="s">
        <v>139</v>
      </c>
      <c r="F15" s="2" t="s">
        <v>161</v>
      </c>
      <c r="G15" s="2" t="s">
        <v>162</v>
      </c>
      <c r="H15" s="2" t="s">
        <v>163</v>
      </c>
      <c r="I15" s="2" t="s">
        <v>164</v>
      </c>
      <c r="J15" s="2" t="s">
        <v>165</v>
      </c>
      <c r="K15" s="2" t="s">
        <v>166</v>
      </c>
      <c r="L15" s="2" t="s">
        <v>23</v>
      </c>
    </row>
    <row r="16" customFormat="false" ht="69.75" hidden="false" customHeight="true" outlineLevel="0" collapsed="false">
      <c r="A16" s="2" t="s">
        <v>167</v>
      </c>
      <c r="B16" s="2" t="s">
        <v>168</v>
      </c>
      <c r="C16" s="2" t="s">
        <v>169</v>
      </c>
      <c r="D16" s="2" t="s">
        <v>170</v>
      </c>
      <c r="E16" s="2" t="s">
        <v>139</v>
      </c>
      <c r="F16" s="2" t="s">
        <v>171</v>
      </c>
      <c r="G16" s="2" t="s">
        <v>172</v>
      </c>
      <c r="H16" s="2" t="s">
        <v>173</v>
      </c>
      <c r="I16" s="2" t="s">
        <v>174</v>
      </c>
      <c r="J16" s="2" t="s">
        <v>175</v>
      </c>
      <c r="K16" s="2" t="s">
        <v>176</v>
      </c>
      <c r="L16" s="2" t="s">
        <v>23</v>
      </c>
    </row>
    <row r="17" customFormat="false" ht="68.65" hidden="false" customHeight="false" outlineLevel="0" collapsed="false">
      <c r="A17" s="3" t="s">
        <v>177</v>
      </c>
      <c r="B17" s="3" t="s">
        <v>178</v>
      </c>
      <c r="C17" s="3" t="s">
        <v>179</v>
      </c>
      <c r="D17" s="3" t="s">
        <v>180</v>
      </c>
      <c r="E17" s="3" t="s">
        <v>181</v>
      </c>
      <c r="F17" s="3" t="s">
        <v>182</v>
      </c>
      <c r="G17" s="3" t="s">
        <v>183</v>
      </c>
      <c r="H17" s="3" t="s">
        <v>184</v>
      </c>
      <c r="I17" s="3" t="s">
        <v>185</v>
      </c>
      <c r="J17" s="3" t="s">
        <v>186</v>
      </c>
      <c r="K17" s="3" t="s">
        <v>187</v>
      </c>
      <c r="L17" s="3" t="s">
        <v>23</v>
      </c>
    </row>
    <row r="18" customFormat="false" ht="41.75" hidden="false" customHeight="false" outlineLevel="0" collapsed="false">
      <c r="A18" s="3" t="s">
        <v>188</v>
      </c>
      <c r="B18" s="3" t="s">
        <v>189</v>
      </c>
      <c r="C18" s="3" t="s">
        <v>190</v>
      </c>
      <c r="D18" s="3" t="s">
        <v>191</v>
      </c>
      <c r="E18" s="3" t="s">
        <v>192</v>
      </c>
      <c r="F18" s="3" t="s">
        <v>193</v>
      </c>
      <c r="G18" s="3" t="s">
        <v>194</v>
      </c>
      <c r="H18" s="3" t="s">
        <v>195</v>
      </c>
      <c r="I18" s="3" t="s">
        <v>196</v>
      </c>
      <c r="J18" s="3" t="s">
        <v>197</v>
      </c>
      <c r="K18" s="3" t="s">
        <v>198</v>
      </c>
      <c r="L18" s="3" t="s">
        <v>35</v>
      </c>
    </row>
    <row r="19" customFormat="false" ht="55.2" hidden="false" customHeight="false" outlineLevel="0" collapsed="false">
      <c r="A19" s="3" t="s">
        <v>199</v>
      </c>
      <c r="B19" s="3" t="s">
        <v>200</v>
      </c>
      <c r="C19" s="3" t="s">
        <v>201</v>
      </c>
      <c r="D19" s="3" t="s">
        <v>202</v>
      </c>
      <c r="E19" s="3" t="s">
        <v>203</v>
      </c>
      <c r="F19" s="3" t="s">
        <v>204</v>
      </c>
      <c r="G19" s="3" t="s">
        <v>205</v>
      </c>
      <c r="H19" s="3" t="s">
        <v>206</v>
      </c>
      <c r="I19" s="3" t="s">
        <v>207</v>
      </c>
      <c r="J19" s="3" t="s">
        <v>208</v>
      </c>
      <c r="K19" s="3" t="s">
        <v>209</v>
      </c>
      <c r="L19" s="3" t="s">
        <v>210</v>
      </c>
    </row>
  </sheetData>
  <autoFilter ref="A1:L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45"/>
    <col collapsed="false" customWidth="true" hidden="false" outlineLevel="0" max="8" min="8" style="0" width="35"/>
    <col collapsed="false" customWidth="true" hidden="false" outlineLevel="0" max="9" min="9" style="0" width="42"/>
    <col collapsed="false" customWidth="true" hidden="false" outlineLevel="0" max="10" min="10" style="0" width="38"/>
    <col collapsed="false" customWidth="true" hidden="false" outlineLevel="0" max="11" min="11" style="0" width="42"/>
    <col collapsed="false" customWidth="true" hidden="false" outlineLevel="0" max="12" min="12" style="0" width="40"/>
    <col collapsed="false" customWidth="true" hidden="false" outlineLevel="0" max="13" min="13" style="0" width="36"/>
    <col collapsed="false" customWidth="true" hidden="false" outlineLevel="0" max="14" min="14" style="0" width="28"/>
    <col collapsed="false" customWidth="true" hidden="false" outlineLevel="0" max="15" min="15" style="0" width="12"/>
  </cols>
  <sheetData>
    <row r="1" customFormat="false" ht="67.5" hidden="false" customHeight="true" outlineLevel="0" collapsed="false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225</v>
      </c>
    </row>
    <row r="2" customFormat="false" ht="67.5" hidden="false" customHeight="true" outlineLevel="0" collapsed="false">
      <c r="A2" s="2" t="s">
        <v>226</v>
      </c>
      <c r="B2" s="2" t="s">
        <v>227</v>
      </c>
      <c r="C2" s="2" t="s">
        <v>228</v>
      </c>
      <c r="D2" s="2" t="n">
        <f aca="false">COUNTIF(Indicator_Data_Dictionary!$C$2:$C$141,A2)</f>
        <v>8</v>
      </c>
      <c r="E2" s="2" t="n">
        <f aca="false">COUNTIFS(Indicator_Data_Dictionary!$C$2:$C$141,A2,Indicator_Data_Dictionary!$G$2:$G$141,"M")</f>
        <v>6</v>
      </c>
      <c r="F2" s="2" t="n">
        <f aca="false">COUNTIFS(Indicator_Data_Dictionary!$C$2:$C$141,A2,Indicator_Data_Dictionary!$G$2:$G$141,"GP")</f>
        <v>2</v>
      </c>
      <c r="G2" s="2" t="s">
        <v>229</v>
      </c>
      <c r="H2" s="2" t="s">
        <v>230</v>
      </c>
      <c r="I2" s="2" t="s">
        <v>231</v>
      </c>
      <c r="J2" s="2" t="s">
        <v>232</v>
      </c>
      <c r="K2" s="2" t="s">
        <v>233</v>
      </c>
      <c r="L2" s="2" t="s">
        <v>234</v>
      </c>
      <c r="M2" s="2" t="s">
        <v>235</v>
      </c>
      <c r="N2" s="2" t="s">
        <v>236</v>
      </c>
      <c r="O2" s="2" t="n">
        <f aca="false">COUNTIFS(Indicator_Data_Dictionary!$C$2:$C$141,A2,Indicator_Data_Dictionary!$Y$2:$Y$141,"Added*")</f>
        <v>1</v>
      </c>
    </row>
    <row r="3" customFormat="false" ht="67.5" hidden="false" customHeight="true" outlineLevel="0" collapsed="false">
      <c r="A3" s="2" t="s">
        <v>237</v>
      </c>
      <c r="B3" s="2" t="s">
        <v>227</v>
      </c>
      <c r="C3" s="2" t="s">
        <v>238</v>
      </c>
      <c r="D3" s="2" t="n">
        <f aca="false">COUNTIF(Indicator_Data_Dictionary!$C$2:$C$141,A3)</f>
        <v>10</v>
      </c>
      <c r="E3" s="2" t="n">
        <f aca="false">COUNTIFS(Indicator_Data_Dictionary!$C$2:$C$141,A3,Indicator_Data_Dictionary!$G$2:$G$141,"M")</f>
        <v>7</v>
      </c>
      <c r="F3" s="2" t="n">
        <f aca="false">COUNTIFS(Indicator_Data_Dictionary!$C$2:$C$141,A3,Indicator_Data_Dictionary!$G$2:$G$141,"GP")</f>
        <v>3</v>
      </c>
      <c r="G3" s="2" t="s">
        <v>229</v>
      </c>
      <c r="H3" s="2" t="s">
        <v>230</v>
      </c>
      <c r="I3" s="2" t="s">
        <v>231</v>
      </c>
      <c r="J3" s="2" t="s">
        <v>239</v>
      </c>
      <c r="K3" s="2" t="s">
        <v>240</v>
      </c>
      <c r="L3" s="2" t="s">
        <v>241</v>
      </c>
      <c r="M3" s="2" t="s">
        <v>235</v>
      </c>
      <c r="N3" s="2" t="s">
        <v>236</v>
      </c>
      <c r="O3" s="2" t="n">
        <f aca="false">COUNTIFS(Indicator_Data_Dictionary!$C$2:$C$141,A3,Indicator_Data_Dictionary!$Y$2:$Y$141,"Added*")</f>
        <v>2</v>
      </c>
    </row>
    <row r="4" customFormat="false" ht="67.5" hidden="false" customHeight="true" outlineLevel="0" collapsed="false">
      <c r="A4" s="2" t="s">
        <v>242</v>
      </c>
      <c r="B4" s="2" t="s">
        <v>227</v>
      </c>
      <c r="C4" s="2" t="s">
        <v>243</v>
      </c>
      <c r="D4" s="2" t="n">
        <f aca="false">COUNTIF(Indicator_Data_Dictionary!$C$2:$C$141,A4)</f>
        <v>7</v>
      </c>
      <c r="E4" s="2" t="n">
        <f aca="false">COUNTIFS(Indicator_Data_Dictionary!$C$2:$C$141,A4,Indicator_Data_Dictionary!$G$2:$G$141,"M")</f>
        <v>6</v>
      </c>
      <c r="F4" s="2" t="n">
        <f aca="false">COUNTIFS(Indicator_Data_Dictionary!$C$2:$C$141,A4,Indicator_Data_Dictionary!$G$2:$G$141,"GP")</f>
        <v>1</v>
      </c>
      <c r="G4" s="2" t="s">
        <v>244</v>
      </c>
      <c r="H4" s="2" t="s">
        <v>245</v>
      </c>
      <c r="I4" s="2" t="s">
        <v>246</v>
      </c>
      <c r="J4" s="2" t="s">
        <v>247</v>
      </c>
      <c r="K4" s="2" t="s">
        <v>248</v>
      </c>
      <c r="L4" s="2" t="s">
        <v>249</v>
      </c>
      <c r="M4" s="2" t="s">
        <v>235</v>
      </c>
      <c r="N4" s="2" t="s">
        <v>236</v>
      </c>
      <c r="O4" s="2" t="n">
        <f aca="false">COUNTIFS(Indicator_Data_Dictionary!$C$2:$C$141,A4,Indicator_Data_Dictionary!$Y$2:$Y$141,"Added*")</f>
        <v>0</v>
      </c>
    </row>
    <row r="5" customFormat="false" ht="67.5" hidden="false" customHeight="true" outlineLevel="0" collapsed="false">
      <c r="A5" s="2" t="s">
        <v>250</v>
      </c>
      <c r="B5" s="2" t="s">
        <v>227</v>
      </c>
      <c r="C5" s="2" t="s">
        <v>251</v>
      </c>
      <c r="D5" s="2" t="n">
        <f aca="false">COUNTIF(Indicator_Data_Dictionary!$C$2:$C$141,A5)</f>
        <v>9</v>
      </c>
      <c r="E5" s="2" t="n">
        <f aca="false">COUNTIFS(Indicator_Data_Dictionary!$C$2:$C$141,A5,Indicator_Data_Dictionary!$G$2:$G$141,"M")</f>
        <v>6</v>
      </c>
      <c r="F5" s="2" t="n">
        <f aca="false">COUNTIFS(Indicator_Data_Dictionary!$C$2:$C$141,A5,Indicator_Data_Dictionary!$G$2:$G$141,"GP")</f>
        <v>3</v>
      </c>
      <c r="G5" s="2" t="s">
        <v>229</v>
      </c>
      <c r="H5" s="2" t="s">
        <v>230</v>
      </c>
      <c r="I5" s="2" t="s">
        <v>231</v>
      </c>
      <c r="J5" s="2" t="s">
        <v>252</v>
      </c>
      <c r="K5" s="2" t="s">
        <v>253</v>
      </c>
      <c r="L5" s="2" t="s">
        <v>254</v>
      </c>
      <c r="M5" s="2" t="s">
        <v>235</v>
      </c>
      <c r="N5" s="2" t="s">
        <v>236</v>
      </c>
      <c r="O5" s="2" t="n">
        <f aca="false">COUNTIFS(Indicator_Data_Dictionary!$C$2:$C$141,A5,Indicator_Data_Dictionary!$Y$2:$Y$141,"Added*")</f>
        <v>1</v>
      </c>
    </row>
    <row r="6" customFormat="false" ht="67.5" hidden="false" customHeight="true" outlineLevel="0" collapsed="false">
      <c r="A6" s="2" t="s">
        <v>255</v>
      </c>
      <c r="B6" s="2" t="s">
        <v>227</v>
      </c>
      <c r="C6" s="2" t="s">
        <v>256</v>
      </c>
      <c r="D6" s="2" t="n">
        <f aca="false">COUNTIF(Indicator_Data_Dictionary!$C$2:$C$141,A6)</f>
        <v>9</v>
      </c>
      <c r="E6" s="2" t="n">
        <f aca="false">COUNTIFS(Indicator_Data_Dictionary!$C$2:$C$141,A6,Indicator_Data_Dictionary!$G$2:$G$141,"M")</f>
        <v>4</v>
      </c>
      <c r="F6" s="2" t="n">
        <f aca="false">COUNTIFS(Indicator_Data_Dictionary!$C$2:$C$141,A6,Indicator_Data_Dictionary!$G$2:$G$141,"GP")</f>
        <v>5</v>
      </c>
      <c r="G6" s="2" t="s">
        <v>257</v>
      </c>
      <c r="H6" s="2" t="s">
        <v>258</v>
      </c>
      <c r="I6" s="2" t="s">
        <v>246</v>
      </c>
      <c r="J6" s="2" t="s">
        <v>259</v>
      </c>
      <c r="K6" s="2" t="s">
        <v>260</v>
      </c>
      <c r="L6" s="2" t="s">
        <v>261</v>
      </c>
      <c r="M6" s="2" t="s">
        <v>235</v>
      </c>
      <c r="N6" s="2" t="s">
        <v>236</v>
      </c>
      <c r="O6" s="2" t="n">
        <f aca="false">COUNTIFS(Indicator_Data_Dictionary!$C$2:$C$141,A6,Indicator_Data_Dictionary!$Y$2:$Y$141,"Added*")</f>
        <v>3</v>
      </c>
    </row>
    <row r="7" customFormat="false" ht="67.5" hidden="false" customHeight="true" outlineLevel="0" collapsed="false">
      <c r="A7" s="2" t="s">
        <v>262</v>
      </c>
      <c r="B7" s="2" t="s">
        <v>227</v>
      </c>
      <c r="C7" s="2" t="s">
        <v>263</v>
      </c>
      <c r="D7" s="2" t="n">
        <f aca="false">COUNTIF(Indicator_Data_Dictionary!$C$2:$C$141,A7)</f>
        <v>7</v>
      </c>
      <c r="E7" s="2" t="n">
        <f aca="false">COUNTIFS(Indicator_Data_Dictionary!$C$2:$C$141,A7,Indicator_Data_Dictionary!$G$2:$G$141,"M")</f>
        <v>4</v>
      </c>
      <c r="F7" s="2" t="n">
        <f aca="false">COUNTIFS(Indicator_Data_Dictionary!$C$2:$C$141,A7,Indicator_Data_Dictionary!$G$2:$G$141,"GP")</f>
        <v>3</v>
      </c>
      <c r="G7" s="2" t="s">
        <v>264</v>
      </c>
      <c r="H7" s="2" t="s">
        <v>265</v>
      </c>
      <c r="I7" s="2" t="s">
        <v>231</v>
      </c>
      <c r="J7" s="2" t="s">
        <v>266</v>
      </c>
      <c r="K7" s="2" t="s">
        <v>267</v>
      </c>
      <c r="L7" s="2" t="s">
        <v>268</v>
      </c>
      <c r="M7" s="2" t="s">
        <v>235</v>
      </c>
      <c r="N7" s="2" t="s">
        <v>236</v>
      </c>
      <c r="O7" s="2" t="n">
        <f aca="false">COUNTIFS(Indicator_Data_Dictionary!$C$2:$C$141,A7,Indicator_Data_Dictionary!$Y$2:$Y$141,"Added*")</f>
        <v>1</v>
      </c>
    </row>
    <row r="8" customFormat="false" ht="67.5" hidden="false" customHeight="true" outlineLevel="0" collapsed="false">
      <c r="A8" s="2" t="s">
        <v>269</v>
      </c>
      <c r="B8" s="2" t="s">
        <v>227</v>
      </c>
      <c r="C8" s="2" t="s">
        <v>270</v>
      </c>
      <c r="D8" s="2" t="n">
        <f aca="false">COUNTIF(Indicator_Data_Dictionary!$C$2:$C$141,A8)</f>
        <v>9</v>
      </c>
      <c r="E8" s="2" t="n">
        <f aca="false">COUNTIFS(Indicator_Data_Dictionary!$C$2:$C$141,A8,Indicator_Data_Dictionary!$G$2:$G$141,"M")</f>
        <v>5</v>
      </c>
      <c r="F8" s="2" t="n">
        <f aca="false">COUNTIFS(Indicator_Data_Dictionary!$C$2:$C$141,A8,Indicator_Data_Dictionary!$G$2:$G$141,"GP")</f>
        <v>4</v>
      </c>
      <c r="G8" s="2" t="s">
        <v>244</v>
      </c>
      <c r="H8" s="2" t="s">
        <v>245</v>
      </c>
      <c r="I8" s="2" t="s">
        <v>246</v>
      </c>
      <c r="J8" s="2" t="s">
        <v>271</v>
      </c>
      <c r="K8" s="2" t="s">
        <v>272</v>
      </c>
      <c r="L8" s="2" t="s">
        <v>273</v>
      </c>
      <c r="M8" s="2" t="s">
        <v>235</v>
      </c>
      <c r="N8" s="2" t="s">
        <v>236</v>
      </c>
      <c r="O8" s="2" t="n">
        <f aca="false">COUNTIFS(Indicator_Data_Dictionary!$C$2:$C$141,A8,Indicator_Data_Dictionary!$Y$2:$Y$141,"Added*")</f>
        <v>2</v>
      </c>
    </row>
    <row r="9" customFormat="false" ht="67.5" hidden="false" customHeight="true" outlineLevel="0" collapsed="false">
      <c r="A9" s="2" t="s">
        <v>274</v>
      </c>
      <c r="B9" s="2" t="s">
        <v>227</v>
      </c>
      <c r="C9" s="2" t="s">
        <v>275</v>
      </c>
      <c r="D9" s="2" t="n">
        <f aca="false">COUNTIF(Indicator_Data_Dictionary!$C$2:$C$141,A9)</f>
        <v>9</v>
      </c>
      <c r="E9" s="2" t="n">
        <f aca="false">COUNTIFS(Indicator_Data_Dictionary!$C$2:$C$141,A9,Indicator_Data_Dictionary!$G$2:$G$141,"M")</f>
        <v>8</v>
      </c>
      <c r="F9" s="2" t="n">
        <f aca="false">COUNTIFS(Indicator_Data_Dictionary!$C$2:$C$141,A9,Indicator_Data_Dictionary!$G$2:$G$141,"GP")</f>
        <v>1</v>
      </c>
      <c r="G9" s="2" t="s">
        <v>276</v>
      </c>
      <c r="H9" s="2" t="s">
        <v>277</v>
      </c>
      <c r="I9" s="2" t="s">
        <v>231</v>
      </c>
      <c r="J9" s="2" t="s">
        <v>278</v>
      </c>
      <c r="K9" s="2" t="s">
        <v>279</v>
      </c>
      <c r="L9" s="2" t="s">
        <v>280</v>
      </c>
      <c r="M9" s="2" t="s">
        <v>235</v>
      </c>
      <c r="N9" s="2" t="s">
        <v>236</v>
      </c>
      <c r="O9" s="2" t="n">
        <f aca="false">COUNTIFS(Indicator_Data_Dictionary!$C$2:$C$141,A9,Indicator_Data_Dictionary!$Y$2:$Y$141,"Added*")</f>
        <v>2</v>
      </c>
    </row>
    <row r="10" customFormat="false" ht="67.5" hidden="false" customHeight="true" outlineLevel="0" collapsed="false">
      <c r="A10" s="2" t="s">
        <v>281</v>
      </c>
      <c r="B10" s="2" t="s">
        <v>227</v>
      </c>
      <c r="C10" s="2" t="s">
        <v>282</v>
      </c>
      <c r="D10" s="2" t="n">
        <f aca="false">COUNTIF(Indicator_Data_Dictionary!$C$2:$C$141,A10)</f>
        <v>5</v>
      </c>
      <c r="E10" s="2" t="n">
        <f aca="false">COUNTIFS(Indicator_Data_Dictionary!$C$2:$C$141,A10,Indicator_Data_Dictionary!$G$2:$G$141,"M")</f>
        <v>1</v>
      </c>
      <c r="F10" s="2" t="n">
        <f aca="false">COUNTIFS(Indicator_Data_Dictionary!$C$2:$C$141,A10,Indicator_Data_Dictionary!$G$2:$G$141,"GP")</f>
        <v>4</v>
      </c>
      <c r="G10" s="2" t="s">
        <v>283</v>
      </c>
      <c r="H10" s="2" t="s">
        <v>284</v>
      </c>
      <c r="I10" s="2" t="s">
        <v>246</v>
      </c>
      <c r="J10" s="2" t="s">
        <v>285</v>
      </c>
      <c r="K10" s="2" t="s">
        <v>286</v>
      </c>
      <c r="L10" s="2" t="s">
        <v>287</v>
      </c>
      <c r="M10" s="2" t="s">
        <v>235</v>
      </c>
      <c r="N10" s="2" t="s">
        <v>236</v>
      </c>
      <c r="O10" s="2" t="n">
        <f aca="false">COUNTIFS(Indicator_Data_Dictionary!$C$2:$C$141,A10,Indicator_Data_Dictionary!$Y$2:$Y$141,"Added*")</f>
        <v>1</v>
      </c>
    </row>
    <row r="11" customFormat="false" ht="67.5" hidden="false" customHeight="true" outlineLevel="0" collapsed="false">
      <c r="A11" s="2" t="s">
        <v>288</v>
      </c>
      <c r="B11" s="2" t="s">
        <v>227</v>
      </c>
      <c r="C11" s="2" t="s">
        <v>289</v>
      </c>
      <c r="D11" s="2" t="n">
        <f aca="false">COUNTIF(Indicator_Data_Dictionary!$C$2:$C$141,A11)</f>
        <v>9</v>
      </c>
      <c r="E11" s="2" t="n">
        <f aca="false">COUNTIFS(Indicator_Data_Dictionary!$C$2:$C$141,A11,Indicator_Data_Dictionary!$G$2:$G$141,"M")</f>
        <v>4</v>
      </c>
      <c r="F11" s="2" t="n">
        <f aca="false">COUNTIFS(Indicator_Data_Dictionary!$C$2:$C$141,A11,Indicator_Data_Dictionary!$G$2:$G$141,"GP")</f>
        <v>5</v>
      </c>
      <c r="G11" s="2" t="s">
        <v>229</v>
      </c>
      <c r="H11" s="2" t="s">
        <v>290</v>
      </c>
      <c r="I11" s="2" t="s">
        <v>231</v>
      </c>
      <c r="J11" s="2" t="s">
        <v>291</v>
      </c>
      <c r="K11" s="2" t="s">
        <v>292</v>
      </c>
      <c r="L11" s="2" t="s">
        <v>293</v>
      </c>
      <c r="M11" s="2" t="s">
        <v>235</v>
      </c>
      <c r="N11" s="2" t="s">
        <v>236</v>
      </c>
      <c r="O11" s="2" t="n">
        <f aca="false">COUNTIFS(Indicator_Data_Dictionary!$C$2:$C$141,A11,Indicator_Data_Dictionary!$Y$2:$Y$141,"Added*")</f>
        <v>2</v>
      </c>
    </row>
    <row r="12" customFormat="false" ht="67.5" hidden="false" customHeight="true" outlineLevel="0" collapsed="false">
      <c r="A12" s="2" t="s">
        <v>294</v>
      </c>
      <c r="B12" s="2" t="s">
        <v>295</v>
      </c>
      <c r="C12" s="2" t="s">
        <v>296</v>
      </c>
      <c r="D12" s="2" t="n">
        <f aca="false">COUNTIF(Indicator_Data_Dictionary!$C$2:$C$141,A12)</f>
        <v>5</v>
      </c>
      <c r="E12" s="2" t="n">
        <f aca="false">COUNTIFS(Indicator_Data_Dictionary!$C$2:$C$141,A12,Indicator_Data_Dictionary!$G$2:$G$141,"M")</f>
        <v>5</v>
      </c>
      <c r="F12" s="2" t="n">
        <f aca="false">COUNTIFS(Indicator_Data_Dictionary!$C$2:$C$141,A12,Indicator_Data_Dictionary!$G$2:$G$141,"GP")</f>
        <v>0</v>
      </c>
      <c r="G12" s="2" t="s">
        <v>276</v>
      </c>
      <c r="H12" s="2" t="s">
        <v>297</v>
      </c>
      <c r="I12" s="2" t="s">
        <v>298</v>
      </c>
      <c r="J12" s="2" t="s">
        <v>299</v>
      </c>
      <c r="K12" s="2" t="s">
        <v>300</v>
      </c>
      <c r="L12" s="2" t="s">
        <v>301</v>
      </c>
      <c r="M12" s="2" t="s">
        <v>235</v>
      </c>
      <c r="N12" s="2" t="s">
        <v>236</v>
      </c>
      <c r="O12" s="2" t="n">
        <f aca="false">COUNTIFS(Indicator_Data_Dictionary!$C$2:$C$141,A12,Indicator_Data_Dictionary!$Y$2:$Y$141,"Added*")</f>
        <v>0</v>
      </c>
    </row>
    <row r="13" customFormat="false" ht="67.5" hidden="false" customHeight="true" outlineLevel="0" collapsed="false">
      <c r="A13" s="2" t="s">
        <v>302</v>
      </c>
      <c r="B13" s="2" t="s">
        <v>295</v>
      </c>
      <c r="C13" s="2" t="s">
        <v>303</v>
      </c>
      <c r="D13" s="2" t="n">
        <f aca="false">COUNTIF(Indicator_Data_Dictionary!$C$2:$C$141,A13)</f>
        <v>7</v>
      </c>
      <c r="E13" s="2" t="n">
        <f aca="false">COUNTIFS(Indicator_Data_Dictionary!$C$2:$C$141,A13,Indicator_Data_Dictionary!$G$2:$G$141,"M")</f>
        <v>4</v>
      </c>
      <c r="F13" s="2" t="n">
        <f aca="false">COUNTIFS(Indicator_Data_Dictionary!$C$2:$C$141,A13,Indicator_Data_Dictionary!$G$2:$G$141,"GP")</f>
        <v>3</v>
      </c>
      <c r="G13" s="2" t="s">
        <v>304</v>
      </c>
      <c r="H13" s="2" t="s">
        <v>305</v>
      </c>
      <c r="I13" s="2" t="s">
        <v>298</v>
      </c>
      <c r="J13" s="2" t="s">
        <v>306</v>
      </c>
      <c r="K13" s="2" t="s">
        <v>307</v>
      </c>
      <c r="L13" s="2" t="s">
        <v>308</v>
      </c>
      <c r="M13" s="2" t="s">
        <v>235</v>
      </c>
      <c r="N13" s="2" t="s">
        <v>236</v>
      </c>
      <c r="O13" s="2" t="n">
        <f aca="false">COUNTIFS(Indicator_Data_Dictionary!$C$2:$C$141,A13,Indicator_Data_Dictionary!$Y$2:$Y$141,"Added*")</f>
        <v>0</v>
      </c>
    </row>
    <row r="14" customFormat="false" ht="67.5" hidden="false" customHeight="true" outlineLevel="0" collapsed="false">
      <c r="A14" s="2" t="s">
        <v>309</v>
      </c>
      <c r="B14" s="2" t="s">
        <v>295</v>
      </c>
      <c r="C14" s="2" t="s">
        <v>310</v>
      </c>
      <c r="D14" s="2" t="n">
        <f aca="false">COUNTIF(Indicator_Data_Dictionary!$C$2:$C$141,A14)</f>
        <v>6</v>
      </c>
      <c r="E14" s="2" t="n">
        <f aca="false">COUNTIFS(Indicator_Data_Dictionary!$C$2:$C$141,A14,Indicator_Data_Dictionary!$G$2:$G$141,"M")</f>
        <v>3</v>
      </c>
      <c r="F14" s="2" t="n">
        <f aca="false">COUNTIFS(Indicator_Data_Dictionary!$C$2:$C$141,A14,Indicator_Data_Dictionary!$G$2:$G$141,"GP")</f>
        <v>3</v>
      </c>
      <c r="G14" s="2" t="s">
        <v>304</v>
      </c>
      <c r="H14" s="2" t="s">
        <v>311</v>
      </c>
      <c r="I14" s="2" t="s">
        <v>298</v>
      </c>
      <c r="J14" s="2" t="s">
        <v>312</v>
      </c>
      <c r="K14" s="2" t="s">
        <v>313</v>
      </c>
      <c r="L14" s="2" t="s">
        <v>314</v>
      </c>
      <c r="M14" s="2" t="s">
        <v>235</v>
      </c>
      <c r="N14" s="2" t="s">
        <v>236</v>
      </c>
      <c r="O14" s="2" t="n">
        <f aca="false">COUNTIFS(Indicator_Data_Dictionary!$C$2:$C$141,A14,Indicator_Data_Dictionary!$Y$2:$Y$141,"Added*")</f>
        <v>0</v>
      </c>
    </row>
    <row r="15" customFormat="false" ht="67.5" hidden="false" customHeight="true" outlineLevel="0" collapsed="false">
      <c r="A15" s="2" t="s">
        <v>315</v>
      </c>
      <c r="B15" s="2" t="s">
        <v>295</v>
      </c>
      <c r="C15" s="2" t="s">
        <v>316</v>
      </c>
      <c r="D15" s="2" t="n">
        <f aca="false">COUNTIF(Indicator_Data_Dictionary!$C$2:$C$141,A15)</f>
        <v>6</v>
      </c>
      <c r="E15" s="2" t="n">
        <f aca="false">COUNTIFS(Indicator_Data_Dictionary!$C$2:$C$141,A15,Indicator_Data_Dictionary!$G$2:$G$141,"M")</f>
        <v>4</v>
      </c>
      <c r="F15" s="2" t="n">
        <f aca="false">COUNTIFS(Indicator_Data_Dictionary!$C$2:$C$141,A15,Indicator_Data_Dictionary!$G$2:$G$141,"GP")</f>
        <v>2</v>
      </c>
      <c r="G15" s="2" t="s">
        <v>276</v>
      </c>
      <c r="H15" s="2" t="s">
        <v>316</v>
      </c>
      <c r="I15" s="2" t="s">
        <v>298</v>
      </c>
      <c r="J15" s="2" t="s">
        <v>317</v>
      </c>
      <c r="K15" s="2" t="s">
        <v>318</v>
      </c>
      <c r="L15" s="2" t="s">
        <v>319</v>
      </c>
      <c r="M15" s="2" t="s">
        <v>235</v>
      </c>
      <c r="N15" s="2" t="s">
        <v>236</v>
      </c>
      <c r="O15" s="2" t="n">
        <f aca="false">COUNTIFS(Indicator_Data_Dictionary!$C$2:$C$141,A15,Indicator_Data_Dictionary!$Y$2:$Y$141,"Added*")</f>
        <v>0</v>
      </c>
    </row>
    <row r="16" customFormat="false" ht="67.5" hidden="false" customHeight="true" outlineLevel="0" collapsed="false">
      <c r="A16" s="2" t="s">
        <v>320</v>
      </c>
      <c r="B16" s="2" t="s">
        <v>295</v>
      </c>
      <c r="C16" s="2" t="s">
        <v>321</v>
      </c>
      <c r="D16" s="2" t="n">
        <f aca="false">COUNTIF(Indicator_Data_Dictionary!$C$2:$C$141,A16)</f>
        <v>7</v>
      </c>
      <c r="E16" s="2" t="n">
        <f aca="false">COUNTIFS(Indicator_Data_Dictionary!$C$2:$C$141,A16,Indicator_Data_Dictionary!$G$2:$G$141,"M")</f>
        <v>5</v>
      </c>
      <c r="F16" s="2" t="n">
        <f aca="false">COUNTIFS(Indicator_Data_Dictionary!$C$2:$C$141,A16,Indicator_Data_Dictionary!$G$2:$G$141,"GP")</f>
        <v>2</v>
      </c>
      <c r="G16" s="2" t="s">
        <v>322</v>
      </c>
      <c r="H16" s="2" t="s">
        <v>323</v>
      </c>
      <c r="I16" s="2" t="s">
        <v>298</v>
      </c>
      <c r="J16" s="2" t="s">
        <v>324</v>
      </c>
      <c r="K16" s="2" t="s">
        <v>325</v>
      </c>
      <c r="L16" s="2" t="s">
        <v>326</v>
      </c>
      <c r="M16" s="2" t="s">
        <v>235</v>
      </c>
      <c r="N16" s="2" t="s">
        <v>236</v>
      </c>
      <c r="O16" s="2" t="n">
        <f aca="false">COUNTIFS(Indicator_Data_Dictionary!$C$2:$C$141,A16,Indicator_Data_Dictionary!$Y$2:$Y$141,"Added*")</f>
        <v>1</v>
      </c>
    </row>
    <row r="17" customFormat="false" ht="67.5" hidden="false" customHeight="true" outlineLevel="0" collapsed="false">
      <c r="A17" s="2" t="s">
        <v>327</v>
      </c>
      <c r="B17" s="2" t="s">
        <v>295</v>
      </c>
      <c r="C17" s="2" t="s">
        <v>328</v>
      </c>
      <c r="D17" s="2" t="n">
        <f aca="false">COUNTIF(Indicator_Data_Dictionary!$C$2:$C$141,A17)</f>
        <v>6</v>
      </c>
      <c r="E17" s="2" t="n">
        <f aca="false">COUNTIFS(Indicator_Data_Dictionary!$C$2:$C$141,A17,Indicator_Data_Dictionary!$G$2:$G$141,"M")</f>
        <v>3</v>
      </c>
      <c r="F17" s="2" t="n">
        <f aca="false">COUNTIFS(Indicator_Data_Dictionary!$C$2:$C$141,A17,Indicator_Data_Dictionary!$G$2:$G$141,"GP")</f>
        <v>3</v>
      </c>
      <c r="G17" s="2" t="s">
        <v>329</v>
      </c>
      <c r="H17" s="2" t="s">
        <v>330</v>
      </c>
      <c r="I17" s="2" t="s">
        <v>298</v>
      </c>
      <c r="J17" s="2" t="s">
        <v>331</v>
      </c>
      <c r="K17" s="2" t="s">
        <v>332</v>
      </c>
      <c r="L17" s="2" t="s">
        <v>333</v>
      </c>
      <c r="M17" s="2" t="s">
        <v>235</v>
      </c>
      <c r="N17" s="2" t="s">
        <v>236</v>
      </c>
      <c r="O17" s="2" t="n">
        <f aca="false">COUNTIFS(Indicator_Data_Dictionary!$C$2:$C$141,A17,Indicator_Data_Dictionary!$Y$2:$Y$141,"Added*")</f>
        <v>1</v>
      </c>
    </row>
    <row r="18" customFormat="false" ht="67.5" hidden="false" customHeight="true" outlineLevel="0" collapsed="false">
      <c r="A18" s="2" t="s">
        <v>334</v>
      </c>
      <c r="B18" s="2" t="s">
        <v>295</v>
      </c>
      <c r="C18" s="2" t="s">
        <v>335</v>
      </c>
      <c r="D18" s="2" t="n">
        <f aca="false">COUNTIF(Indicator_Data_Dictionary!$C$2:$C$141,A18)</f>
        <v>6</v>
      </c>
      <c r="E18" s="2" t="n">
        <f aca="false">COUNTIFS(Indicator_Data_Dictionary!$C$2:$C$141,A18,Indicator_Data_Dictionary!$G$2:$G$141,"M")</f>
        <v>4</v>
      </c>
      <c r="F18" s="2" t="n">
        <f aca="false">COUNTIFS(Indicator_Data_Dictionary!$C$2:$C$141,A18,Indicator_Data_Dictionary!$G$2:$G$141,"GP")</f>
        <v>2</v>
      </c>
      <c r="G18" s="2" t="s">
        <v>283</v>
      </c>
      <c r="H18" s="2" t="s">
        <v>336</v>
      </c>
      <c r="I18" s="2" t="s">
        <v>298</v>
      </c>
      <c r="J18" s="2" t="s">
        <v>337</v>
      </c>
      <c r="K18" s="2" t="s">
        <v>338</v>
      </c>
      <c r="L18" s="2" t="s">
        <v>339</v>
      </c>
      <c r="M18" s="2" t="s">
        <v>235</v>
      </c>
      <c r="N18" s="2" t="s">
        <v>236</v>
      </c>
      <c r="O18" s="2" t="n">
        <f aca="false">COUNTIFS(Indicator_Data_Dictionary!$C$2:$C$141,A18,Indicator_Data_Dictionary!$Y$2:$Y$141,"Added*")</f>
        <v>0</v>
      </c>
    </row>
    <row r="19" customFormat="false" ht="41.75" hidden="false" customHeight="false" outlineLevel="0" collapsed="false">
      <c r="A19" s="3" t="s">
        <v>340</v>
      </c>
      <c r="B19" s="3" t="s">
        <v>341</v>
      </c>
      <c r="C19" s="3" t="s">
        <v>342</v>
      </c>
      <c r="D19" s="3" t="n">
        <f aca="false">COUNTIF(Indicator_Data_Dictionary!$C$2:$C$141,A19)</f>
        <v>4</v>
      </c>
      <c r="E19" s="3" t="n">
        <f aca="false">COUNTIFS(Indicator_Data_Dictionary!$C$2:$C$141,A19,Indicator_Data_Dictionary!$G$2:$G$141,"M")</f>
        <v>0</v>
      </c>
      <c r="F19" s="3" t="n">
        <f aca="false">COUNTIFS(Indicator_Data_Dictionary!$C$2:$C$141,A19,Indicator_Data_Dictionary!$G$2:$G$141,"GP")</f>
        <v>4</v>
      </c>
      <c r="G19" s="3" t="s">
        <v>257</v>
      </c>
      <c r="H19" s="3" t="s">
        <v>343</v>
      </c>
      <c r="I19" s="3" t="s">
        <v>344</v>
      </c>
      <c r="J19" s="3" t="s">
        <v>345</v>
      </c>
      <c r="K19" s="3" t="s">
        <v>346</v>
      </c>
      <c r="L19" s="3" t="s">
        <v>347</v>
      </c>
      <c r="M19" s="3" t="s">
        <v>348</v>
      </c>
      <c r="N19" s="3" t="s">
        <v>349</v>
      </c>
      <c r="O19" s="3" t="n">
        <f aca="false">COUNTIFS(Indicator_Data_Dictionary!$C$2:$C$141,A19,Indicator_Data_Dictionary!$Y$2:$Y$141,"Added*")</f>
        <v>4</v>
      </c>
    </row>
    <row r="20" customFormat="false" ht="41.75" hidden="false" customHeight="false" outlineLevel="0" collapsed="false">
      <c r="A20" s="3" t="s">
        <v>350</v>
      </c>
      <c r="B20" s="3" t="s">
        <v>341</v>
      </c>
      <c r="C20" s="3" t="s">
        <v>351</v>
      </c>
      <c r="D20" s="3" t="n">
        <f aca="false">COUNTIF(Indicator_Data_Dictionary!$C$2:$C$141,A20)</f>
        <v>3</v>
      </c>
      <c r="E20" s="3" t="n">
        <f aca="false">COUNTIFS(Indicator_Data_Dictionary!$C$2:$C$141,A20,Indicator_Data_Dictionary!$G$2:$G$141,"M")</f>
        <v>0</v>
      </c>
      <c r="F20" s="3" t="n">
        <f aca="false">COUNTIFS(Indicator_Data_Dictionary!$C$2:$C$141,A20,Indicator_Data_Dictionary!$G$2:$G$141,"GP")</f>
        <v>3</v>
      </c>
      <c r="G20" s="3" t="s">
        <v>257</v>
      </c>
      <c r="H20" s="3" t="s">
        <v>343</v>
      </c>
      <c r="I20" s="3" t="s">
        <v>344</v>
      </c>
      <c r="J20" s="3" t="s">
        <v>352</v>
      </c>
      <c r="K20" s="3" t="s">
        <v>353</v>
      </c>
      <c r="L20" s="3" t="s">
        <v>354</v>
      </c>
      <c r="M20" s="3" t="s">
        <v>348</v>
      </c>
      <c r="N20" s="3" t="s">
        <v>349</v>
      </c>
      <c r="O20" s="3" t="n">
        <f aca="false">COUNTIFS(Indicator_Data_Dictionary!$C$2:$C$141,A20,Indicator_Data_Dictionary!$Y$2:$Y$141,"Added*")</f>
        <v>3</v>
      </c>
    </row>
    <row r="21" customFormat="false" ht="41.75" hidden="false" customHeight="false" outlineLevel="0" collapsed="false">
      <c r="A21" s="3" t="s">
        <v>355</v>
      </c>
      <c r="B21" s="3" t="s">
        <v>341</v>
      </c>
      <c r="C21" s="3" t="s">
        <v>356</v>
      </c>
      <c r="D21" s="3" t="n">
        <f aca="false">COUNTIF(Indicator_Data_Dictionary!$C$2:$C$141,A21)</f>
        <v>3</v>
      </c>
      <c r="E21" s="3" t="n">
        <f aca="false">COUNTIFS(Indicator_Data_Dictionary!$C$2:$C$141,A21,Indicator_Data_Dictionary!$G$2:$G$141,"M")</f>
        <v>0</v>
      </c>
      <c r="F21" s="3" t="n">
        <f aca="false">COUNTIFS(Indicator_Data_Dictionary!$C$2:$C$141,A21,Indicator_Data_Dictionary!$G$2:$G$141,"GP")</f>
        <v>3</v>
      </c>
      <c r="G21" s="3" t="s">
        <v>257</v>
      </c>
      <c r="H21" s="3" t="s">
        <v>343</v>
      </c>
      <c r="I21" s="3" t="s">
        <v>344</v>
      </c>
      <c r="J21" s="3" t="s">
        <v>357</v>
      </c>
      <c r="K21" s="3" t="s">
        <v>358</v>
      </c>
      <c r="L21" s="3" t="s">
        <v>359</v>
      </c>
      <c r="M21" s="3" t="s">
        <v>348</v>
      </c>
      <c r="N21" s="3" t="s">
        <v>349</v>
      </c>
      <c r="O21" s="3" t="n">
        <f aca="false">COUNTIFS(Indicator_Data_Dictionary!$C$2:$C$141,A21,Indicator_Data_Dictionary!$Y$2:$Y$141,"Added*")</f>
        <v>3</v>
      </c>
    </row>
    <row r="22" customFormat="false" ht="41.75" hidden="false" customHeight="false" outlineLevel="0" collapsed="false">
      <c r="A22" s="3" t="s">
        <v>360</v>
      </c>
      <c r="B22" s="3" t="s">
        <v>341</v>
      </c>
      <c r="C22" s="3" t="s">
        <v>361</v>
      </c>
      <c r="D22" s="3" t="n">
        <f aca="false">COUNTIF(Indicator_Data_Dictionary!$C$2:$C$141,A22)</f>
        <v>4</v>
      </c>
      <c r="E22" s="3" t="n">
        <f aca="false">COUNTIFS(Indicator_Data_Dictionary!$C$2:$C$141,A22,Indicator_Data_Dictionary!$G$2:$G$141,"M")</f>
        <v>0</v>
      </c>
      <c r="F22" s="3" t="n">
        <f aca="false">COUNTIFS(Indicator_Data_Dictionary!$C$2:$C$141,A22,Indicator_Data_Dictionary!$G$2:$G$141,"GP")</f>
        <v>4</v>
      </c>
      <c r="G22" s="3" t="s">
        <v>276</v>
      </c>
      <c r="H22" s="3" t="s">
        <v>343</v>
      </c>
      <c r="I22" s="3" t="s">
        <v>344</v>
      </c>
      <c r="J22" s="3" t="s">
        <v>362</v>
      </c>
      <c r="K22" s="3" t="s">
        <v>363</v>
      </c>
      <c r="L22" s="3" t="s">
        <v>364</v>
      </c>
      <c r="M22" s="3" t="s">
        <v>348</v>
      </c>
      <c r="N22" s="3" t="s">
        <v>349</v>
      </c>
      <c r="O22" s="3" t="n">
        <f aca="false">COUNTIFS(Indicator_Data_Dictionary!$C$2:$C$141,A22,Indicator_Data_Dictionary!$Y$2:$Y$141,"Added*")</f>
        <v>4</v>
      </c>
    </row>
    <row r="23" customFormat="false" ht="41.75" hidden="false" customHeight="false" outlineLevel="0" collapsed="false">
      <c r="A23" s="3" t="s">
        <v>365</v>
      </c>
      <c r="B23" s="3" t="s">
        <v>341</v>
      </c>
      <c r="C23" s="3" t="s">
        <v>366</v>
      </c>
      <c r="D23" s="3" t="n">
        <f aca="false">COUNTIF(Indicator_Data_Dictionary!$C$2:$C$141,A23)</f>
        <v>1</v>
      </c>
      <c r="E23" s="3" t="n">
        <f aca="false">COUNTIFS(Indicator_Data_Dictionary!$C$2:$C$141,A23,Indicator_Data_Dictionary!$G$2:$G$141,"M")</f>
        <v>0</v>
      </c>
      <c r="F23" s="3" t="n">
        <f aca="false">COUNTIFS(Indicator_Data_Dictionary!$C$2:$C$141,A23,Indicator_Data_Dictionary!$G$2:$G$141,"GP")</f>
        <v>1</v>
      </c>
      <c r="G23" s="3" t="s">
        <v>244</v>
      </c>
      <c r="H23" s="3" t="s">
        <v>343</v>
      </c>
      <c r="I23" s="3" t="s">
        <v>344</v>
      </c>
      <c r="J23" s="3" t="s">
        <v>367</v>
      </c>
      <c r="K23" s="3" t="s">
        <v>368</v>
      </c>
      <c r="L23" s="3" t="s">
        <v>369</v>
      </c>
      <c r="M23" s="3" t="s">
        <v>348</v>
      </c>
      <c r="N23" s="3" t="s">
        <v>349</v>
      </c>
      <c r="O23" s="3" t="n">
        <f aca="false">COUNTIFS(Indicator_Data_Dictionary!$C$2:$C$141,A23,Indicator_Data_Dictionary!$Y$2:$Y$141,"Added*")</f>
        <v>1</v>
      </c>
    </row>
    <row r="24" customFormat="false" ht="15" hidden="false" customHeight="false" outlineLevel="0" collapsed="false">
      <c r="A24" s="4" t="s">
        <v>370</v>
      </c>
      <c r="B24" s="4"/>
      <c r="C24" s="4" t="s">
        <v>371</v>
      </c>
      <c r="D24" s="4" t="n">
        <f aca="false">SUM(D2:D23)</f>
        <v>140</v>
      </c>
      <c r="E24" s="4" t="n">
        <f aca="false">SUM(E2:E23)</f>
        <v>79</v>
      </c>
      <c r="F24" s="4" t="n">
        <f aca="false">SUM(F2:F23)</f>
        <v>61</v>
      </c>
      <c r="G24" s="4"/>
      <c r="H24" s="4"/>
      <c r="I24" s="4"/>
      <c r="J24" s="4"/>
      <c r="K24" s="4"/>
      <c r="L24" s="4"/>
      <c r="M24" s="4"/>
      <c r="N24" s="4"/>
      <c r="O24" s="4" t="n">
        <f aca="false">SUM(O2:O23)</f>
        <v>32</v>
      </c>
    </row>
  </sheetData>
  <autoFilter ref="A1:M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8" min="7" style="0" width="10"/>
    <col collapsed="false" customWidth="true" hidden="false" outlineLevel="0" max="9" min="9" style="0" width="42"/>
    <col collapsed="false" customWidth="true" hidden="false" outlineLevel="0" max="10" min="10" style="0" width="32"/>
    <col collapsed="false" customWidth="true" hidden="false" outlineLevel="0" max="11" min="11" style="0" width="45"/>
    <col collapsed="false" customWidth="true" hidden="false" outlineLevel="0" max="12" min="12" style="0" width="30"/>
    <col collapsed="false" customWidth="true" hidden="false" outlineLevel="0" max="13" min="13" style="0" width="48"/>
    <col collapsed="false" customWidth="true" hidden="false" outlineLevel="0" max="14" min="14" style="0" width="44"/>
    <col collapsed="false" customWidth="true" hidden="false" outlineLevel="0" max="15" min="15" style="0" width="30"/>
    <col collapsed="false" customWidth="true" hidden="false" outlineLevel="0" max="16" min="16" style="0" width="34"/>
    <col collapsed="false" customWidth="true" hidden="false" outlineLevel="0" max="17" min="17" style="0" width="45"/>
    <col collapsed="false" customWidth="true" hidden="false" outlineLevel="0" max="18" min="18" style="0" width="48"/>
    <col collapsed="false" customWidth="true" hidden="false" outlineLevel="0" max="19" min="19" style="0" width="34"/>
    <col collapsed="false" customWidth="true" hidden="false" outlineLevel="0" max="20" min="20" style="0" width="28"/>
    <col collapsed="false" customWidth="true" hidden="false" outlineLevel="0" max="22" min="21" style="0" width="30"/>
    <col collapsed="false" customWidth="true" hidden="false" outlineLevel="0" max="23" min="23" style="0" width="34"/>
    <col collapsed="false" customWidth="true" hidden="false" outlineLevel="0" max="24" min="24" style="0" width="28"/>
    <col collapsed="false" customWidth="true" hidden="false" outlineLevel="0" max="25" min="25" style="0" width="24"/>
  </cols>
  <sheetData>
    <row r="1" customFormat="false" ht="87.75" hidden="false" customHeight="true" outlineLevel="0" collapsed="false">
      <c r="A1" s="1" t="s">
        <v>372</v>
      </c>
      <c r="B1" s="1" t="s">
        <v>212</v>
      </c>
      <c r="C1" s="1" t="s">
        <v>211</v>
      </c>
      <c r="D1" s="1" t="s">
        <v>213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217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  <c r="Q1" s="1" t="s">
        <v>384</v>
      </c>
      <c r="R1" s="1" t="s">
        <v>385</v>
      </c>
      <c r="S1" s="1" t="s">
        <v>386</v>
      </c>
      <c r="T1" s="1" t="s">
        <v>387</v>
      </c>
      <c r="U1" s="1" t="s">
        <v>388</v>
      </c>
      <c r="V1" s="1" t="s">
        <v>389</v>
      </c>
      <c r="W1" s="1" t="s">
        <v>390</v>
      </c>
      <c r="X1" s="1" t="s">
        <v>391</v>
      </c>
      <c r="Y1" s="1" t="s">
        <v>392</v>
      </c>
    </row>
    <row r="2" customFormat="false" ht="87.75" hidden="false" customHeight="true" outlineLevel="0" collapsed="false">
      <c r="A2" s="2" t="s">
        <v>393</v>
      </c>
      <c r="B2" s="2" t="s">
        <v>227</v>
      </c>
      <c r="C2" s="2" t="s">
        <v>226</v>
      </c>
      <c r="D2" s="2" t="s">
        <v>228</v>
      </c>
      <c r="E2" s="2" t="s">
        <v>394</v>
      </c>
      <c r="F2" s="2" t="s">
        <v>395</v>
      </c>
      <c r="G2" s="2" t="s">
        <v>396</v>
      </c>
      <c r="H2" s="5" t="n">
        <v>3</v>
      </c>
      <c r="I2" s="2" t="s">
        <v>397</v>
      </c>
      <c r="J2" s="2" t="s">
        <v>398</v>
      </c>
      <c r="K2" s="2" t="s">
        <v>229</v>
      </c>
      <c r="L2" s="2" t="s">
        <v>399</v>
      </c>
      <c r="M2" s="2" t="s">
        <v>400</v>
      </c>
      <c r="N2" s="2" t="s">
        <v>401</v>
      </c>
      <c r="O2" s="2" t="s">
        <v>402</v>
      </c>
      <c r="P2" s="2" t="s">
        <v>230</v>
      </c>
      <c r="Q2" s="2" t="s">
        <v>233</v>
      </c>
      <c r="R2" s="2" t="s">
        <v>403</v>
      </c>
      <c r="S2" s="2" t="s">
        <v>404</v>
      </c>
      <c r="T2" s="2" t="s">
        <v>405</v>
      </c>
      <c r="U2" s="2" t="s">
        <v>406</v>
      </c>
      <c r="V2" s="2" t="s">
        <v>407</v>
      </c>
      <c r="W2" s="2" t="s">
        <v>406</v>
      </c>
      <c r="X2" s="2" t="s">
        <v>408</v>
      </c>
      <c r="Y2" s="2" t="s">
        <v>409</v>
      </c>
    </row>
    <row r="3" customFormat="false" ht="87.75" hidden="false" customHeight="true" outlineLevel="0" collapsed="false">
      <c r="A3" s="2" t="s">
        <v>410</v>
      </c>
      <c r="B3" s="2" t="s">
        <v>227</v>
      </c>
      <c r="C3" s="2" t="s">
        <v>226</v>
      </c>
      <c r="D3" s="2" t="s">
        <v>228</v>
      </c>
      <c r="E3" s="2" t="s">
        <v>411</v>
      </c>
      <c r="F3" s="2" t="s">
        <v>412</v>
      </c>
      <c r="G3" s="2" t="s">
        <v>396</v>
      </c>
      <c r="H3" s="5" t="n">
        <v>2</v>
      </c>
      <c r="I3" s="2" t="s">
        <v>413</v>
      </c>
      <c r="J3" s="2" t="s">
        <v>414</v>
      </c>
      <c r="K3" s="2" t="s">
        <v>229</v>
      </c>
      <c r="L3" s="2" t="s">
        <v>415</v>
      </c>
      <c r="M3" s="2" t="s">
        <v>400</v>
      </c>
      <c r="N3" s="2" t="s">
        <v>401</v>
      </c>
      <c r="O3" s="2" t="s">
        <v>402</v>
      </c>
      <c r="P3" s="2" t="s">
        <v>230</v>
      </c>
      <c r="Q3" s="2" t="s">
        <v>233</v>
      </c>
      <c r="R3" s="2" t="s">
        <v>403</v>
      </c>
      <c r="S3" s="2" t="s">
        <v>404</v>
      </c>
      <c r="T3" s="2" t="s">
        <v>405</v>
      </c>
      <c r="U3" s="2" t="s">
        <v>406</v>
      </c>
      <c r="V3" s="2" t="s">
        <v>407</v>
      </c>
      <c r="W3" s="2" t="s">
        <v>406</v>
      </c>
      <c r="X3" s="2" t="s">
        <v>408</v>
      </c>
      <c r="Y3" s="2" t="s">
        <v>409</v>
      </c>
    </row>
    <row r="4" customFormat="false" ht="87.75" hidden="false" customHeight="true" outlineLevel="0" collapsed="false">
      <c r="A4" s="2" t="s">
        <v>416</v>
      </c>
      <c r="B4" s="2" t="s">
        <v>227</v>
      </c>
      <c r="C4" s="2" t="s">
        <v>226</v>
      </c>
      <c r="D4" s="2" t="s">
        <v>228</v>
      </c>
      <c r="E4" s="2" t="s">
        <v>417</v>
      </c>
      <c r="F4" s="2" t="s">
        <v>418</v>
      </c>
      <c r="G4" s="2" t="s">
        <v>396</v>
      </c>
      <c r="H4" s="5" t="n">
        <v>2</v>
      </c>
      <c r="I4" s="2" t="s">
        <v>419</v>
      </c>
      <c r="J4" s="2" t="s">
        <v>414</v>
      </c>
      <c r="K4" s="2" t="s">
        <v>229</v>
      </c>
      <c r="L4" s="2" t="s">
        <v>415</v>
      </c>
      <c r="M4" s="2" t="s">
        <v>400</v>
      </c>
      <c r="N4" s="2" t="s">
        <v>401</v>
      </c>
      <c r="O4" s="2" t="s">
        <v>402</v>
      </c>
      <c r="P4" s="2" t="s">
        <v>230</v>
      </c>
      <c r="Q4" s="2" t="s">
        <v>233</v>
      </c>
      <c r="R4" s="2" t="s">
        <v>403</v>
      </c>
      <c r="S4" s="2" t="s">
        <v>404</v>
      </c>
      <c r="T4" s="2" t="s">
        <v>405</v>
      </c>
      <c r="U4" s="2" t="s">
        <v>406</v>
      </c>
      <c r="V4" s="2" t="s">
        <v>407</v>
      </c>
      <c r="W4" s="2" t="s">
        <v>406</v>
      </c>
      <c r="X4" s="2" t="s">
        <v>408</v>
      </c>
      <c r="Y4" s="2" t="s">
        <v>409</v>
      </c>
    </row>
    <row r="5" customFormat="false" ht="87.75" hidden="false" customHeight="true" outlineLevel="0" collapsed="false">
      <c r="A5" s="2" t="s">
        <v>420</v>
      </c>
      <c r="B5" s="2" t="s">
        <v>227</v>
      </c>
      <c r="C5" s="2" t="s">
        <v>226</v>
      </c>
      <c r="D5" s="2" t="s">
        <v>228</v>
      </c>
      <c r="E5" s="2" t="s">
        <v>421</v>
      </c>
      <c r="F5" s="2" t="s">
        <v>422</v>
      </c>
      <c r="G5" s="2" t="s">
        <v>396</v>
      </c>
      <c r="H5" s="5" t="n">
        <v>1</v>
      </c>
      <c r="I5" s="2" t="s">
        <v>423</v>
      </c>
      <c r="J5" s="2" t="s">
        <v>424</v>
      </c>
      <c r="K5" s="2" t="s">
        <v>229</v>
      </c>
      <c r="L5" s="2" t="s">
        <v>415</v>
      </c>
      <c r="M5" s="2" t="s">
        <v>400</v>
      </c>
      <c r="N5" s="2" t="s">
        <v>401</v>
      </c>
      <c r="O5" s="2" t="s">
        <v>425</v>
      </c>
      <c r="P5" s="2" t="s">
        <v>230</v>
      </c>
      <c r="Q5" s="2" t="s">
        <v>233</v>
      </c>
      <c r="R5" s="2" t="s">
        <v>403</v>
      </c>
      <c r="S5" s="2" t="s">
        <v>404</v>
      </c>
      <c r="T5" s="2" t="s">
        <v>405</v>
      </c>
      <c r="U5" s="2" t="s">
        <v>406</v>
      </c>
      <c r="V5" s="2" t="s">
        <v>407</v>
      </c>
      <c r="W5" s="2" t="s">
        <v>406</v>
      </c>
      <c r="X5" s="2" t="s">
        <v>408</v>
      </c>
      <c r="Y5" s="2" t="s">
        <v>409</v>
      </c>
    </row>
    <row r="6" customFormat="false" ht="87.75" hidden="false" customHeight="true" outlineLevel="0" collapsed="false">
      <c r="A6" s="2" t="s">
        <v>426</v>
      </c>
      <c r="B6" s="2" t="s">
        <v>227</v>
      </c>
      <c r="C6" s="2" t="s">
        <v>226</v>
      </c>
      <c r="D6" s="2" t="s">
        <v>228</v>
      </c>
      <c r="E6" s="2" t="s">
        <v>427</v>
      </c>
      <c r="F6" s="2" t="s">
        <v>428</v>
      </c>
      <c r="G6" s="2" t="s">
        <v>429</v>
      </c>
      <c r="H6" s="5" t="n">
        <v>2</v>
      </c>
      <c r="I6" s="2" t="s">
        <v>430</v>
      </c>
      <c r="J6" s="2" t="s">
        <v>414</v>
      </c>
      <c r="K6" s="2" t="s">
        <v>229</v>
      </c>
      <c r="L6" s="2" t="s">
        <v>415</v>
      </c>
      <c r="M6" s="2" t="s">
        <v>400</v>
      </c>
      <c r="N6" s="2" t="s">
        <v>431</v>
      </c>
      <c r="O6" s="2" t="s">
        <v>402</v>
      </c>
      <c r="P6" s="2" t="s">
        <v>230</v>
      </c>
      <c r="Q6" s="2" t="s">
        <v>233</v>
      </c>
      <c r="R6" s="2" t="s">
        <v>403</v>
      </c>
      <c r="S6" s="2" t="s">
        <v>432</v>
      </c>
      <c r="T6" s="2" t="s">
        <v>405</v>
      </c>
      <c r="U6" s="2" t="s">
        <v>406</v>
      </c>
      <c r="V6" s="2" t="s">
        <v>407</v>
      </c>
      <c r="W6" s="2" t="s">
        <v>406</v>
      </c>
      <c r="X6" s="2" t="s">
        <v>408</v>
      </c>
      <c r="Y6" s="2" t="s">
        <v>409</v>
      </c>
    </row>
    <row r="7" customFormat="false" ht="87.75" hidden="false" customHeight="true" outlineLevel="0" collapsed="false">
      <c r="A7" s="6" t="s">
        <v>433</v>
      </c>
      <c r="B7" s="2" t="s">
        <v>227</v>
      </c>
      <c r="C7" s="2" t="s">
        <v>226</v>
      </c>
      <c r="D7" s="2" t="s">
        <v>228</v>
      </c>
      <c r="E7" s="2" t="s">
        <v>434</v>
      </c>
      <c r="F7" s="2" t="s">
        <v>435</v>
      </c>
      <c r="G7" s="2" t="s">
        <v>396</v>
      </c>
      <c r="H7" s="5" t="n">
        <v>3</v>
      </c>
      <c r="I7" s="2" t="s">
        <v>436</v>
      </c>
      <c r="J7" s="2" t="s">
        <v>414</v>
      </c>
      <c r="K7" s="2" t="s">
        <v>229</v>
      </c>
      <c r="L7" s="2" t="s">
        <v>399</v>
      </c>
      <c r="M7" s="2" t="s">
        <v>400</v>
      </c>
      <c r="N7" s="2" t="s">
        <v>401</v>
      </c>
      <c r="O7" s="2" t="s">
        <v>425</v>
      </c>
      <c r="P7" s="2" t="s">
        <v>230</v>
      </c>
      <c r="Q7" s="2" t="s">
        <v>233</v>
      </c>
      <c r="R7" s="2" t="s">
        <v>403</v>
      </c>
      <c r="S7" s="2" t="s">
        <v>404</v>
      </c>
      <c r="T7" s="2" t="s">
        <v>405</v>
      </c>
      <c r="U7" s="2" t="s">
        <v>406</v>
      </c>
      <c r="V7" s="2" t="s">
        <v>407</v>
      </c>
      <c r="W7" s="2" t="s">
        <v>406</v>
      </c>
      <c r="X7" s="2" t="s">
        <v>408</v>
      </c>
      <c r="Y7" s="6" t="s">
        <v>437</v>
      </c>
    </row>
    <row r="8" customFormat="false" ht="87.75" hidden="false" customHeight="true" outlineLevel="0" collapsed="false">
      <c r="A8" s="2" t="s">
        <v>438</v>
      </c>
      <c r="B8" s="2" t="s">
        <v>227</v>
      </c>
      <c r="C8" s="2" t="s">
        <v>226</v>
      </c>
      <c r="D8" s="2" t="s">
        <v>228</v>
      </c>
      <c r="E8" s="2" t="s">
        <v>439</v>
      </c>
      <c r="F8" s="2" t="s">
        <v>440</v>
      </c>
      <c r="G8" s="2" t="s">
        <v>429</v>
      </c>
      <c r="H8" s="5" t="n">
        <v>1</v>
      </c>
      <c r="I8" s="2" t="s">
        <v>441</v>
      </c>
      <c r="J8" s="2" t="s">
        <v>414</v>
      </c>
      <c r="K8" s="2" t="s">
        <v>229</v>
      </c>
      <c r="L8" s="2" t="s">
        <v>415</v>
      </c>
      <c r="M8" s="2" t="s">
        <v>400</v>
      </c>
      <c r="N8" s="2" t="s">
        <v>431</v>
      </c>
      <c r="O8" s="2" t="s">
        <v>402</v>
      </c>
      <c r="P8" s="2" t="s">
        <v>230</v>
      </c>
      <c r="Q8" s="2" t="s">
        <v>233</v>
      </c>
      <c r="R8" s="2" t="s">
        <v>403</v>
      </c>
      <c r="S8" s="2" t="s">
        <v>432</v>
      </c>
      <c r="T8" s="2" t="s">
        <v>405</v>
      </c>
      <c r="U8" s="2" t="s">
        <v>406</v>
      </c>
      <c r="V8" s="2" t="s">
        <v>407</v>
      </c>
      <c r="W8" s="2" t="s">
        <v>406</v>
      </c>
      <c r="X8" s="2" t="s">
        <v>408</v>
      </c>
      <c r="Y8" s="2" t="s">
        <v>409</v>
      </c>
    </row>
    <row r="9" customFormat="false" ht="87.75" hidden="false" customHeight="true" outlineLevel="0" collapsed="false">
      <c r="A9" s="3" t="s">
        <v>442</v>
      </c>
      <c r="B9" s="2" t="s">
        <v>227</v>
      </c>
      <c r="C9" s="2" t="s">
        <v>226</v>
      </c>
      <c r="D9" s="2" t="s">
        <v>228</v>
      </c>
      <c r="E9" s="2" t="s">
        <v>443</v>
      </c>
      <c r="F9" s="2" t="s">
        <v>444</v>
      </c>
      <c r="G9" s="2" t="s">
        <v>396</v>
      </c>
      <c r="H9" s="5" t="n">
        <v>3</v>
      </c>
      <c r="I9" s="2" t="s">
        <v>445</v>
      </c>
      <c r="J9" s="2" t="s">
        <v>446</v>
      </c>
      <c r="K9" s="2" t="s">
        <v>229</v>
      </c>
      <c r="L9" s="2" t="s">
        <v>415</v>
      </c>
      <c r="M9" s="2" t="s">
        <v>400</v>
      </c>
      <c r="N9" s="2" t="s">
        <v>447</v>
      </c>
      <c r="O9" s="2" t="s">
        <v>425</v>
      </c>
      <c r="P9" s="2" t="s">
        <v>230</v>
      </c>
      <c r="Q9" s="2" t="s">
        <v>233</v>
      </c>
      <c r="R9" s="2" t="s">
        <v>403</v>
      </c>
      <c r="S9" s="2" t="s">
        <v>404</v>
      </c>
      <c r="T9" s="2" t="s">
        <v>405</v>
      </c>
      <c r="U9" s="2" t="s">
        <v>406</v>
      </c>
      <c r="V9" s="2" t="s">
        <v>407</v>
      </c>
      <c r="W9" s="2" t="s">
        <v>448</v>
      </c>
      <c r="X9" s="2" t="s">
        <v>449</v>
      </c>
      <c r="Y9" s="3" t="s">
        <v>225</v>
      </c>
    </row>
    <row r="10" customFormat="false" ht="87.75" hidden="false" customHeight="true" outlineLevel="0" collapsed="false">
      <c r="A10" s="2" t="s">
        <v>450</v>
      </c>
      <c r="B10" s="2" t="s">
        <v>227</v>
      </c>
      <c r="C10" s="2" t="s">
        <v>237</v>
      </c>
      <c r="D10" s="2" t="s">
        <v>238</v>
      </c>
      <c r="E10" s="2" t="s">
        <v>451</v>
      </c>
      <c r="F10" s="2" t="s">
        <v>452</v>
      </c>
      <c r="G10" s="2" t="s">
        <v>396</v>
      </c>
      <c r="H10" s="5" t="n">
        <v>3</v>
      </c>
      <c r="I10" s="2" t="s">
        <v>453</v>
      </c>
      <c r="J10" s="2" t="s">
        <v>424</v>
      </c>
      <c r="K10" s="2" t="s">
        <v>229</v>
      </c>
      <c r="L10" s="2" t="s">
        <v>399</v>
      </c>
      <c r="M10" s="2" t="s">
        <v>400</v>
      </c>
      <c r="N10" s="2" t="s">
        <v>401</v>
      </c>
      <c r="O10" s="2" t="s">
        <v>454</v>
      </c>
      <c r="P10" s="2" t="s">
        <v>230</v>
      </c>
      <c r="Q10" s="2" t="s">
        <v>240</v>
      </c>
      <c r="R10" s="2" t="s">
        <v>403</v>
      </c>
      <c r="S10" s="2" t="s">
        <v>404</v>
      </c>
      <c r="T10" s="2" t="s">
        <v>405</v>
      </c>
      <c r="U10" s="2" t="s">
        <v>406</v>
      </c>
      <c r="V10" s="2" t="s">
        <v>407</v>
      </c>
      <c r="W10" s="2" t="s">
        <v>406</v>
      </c>
      <c r="X10" s="2" t="s">
        <v>408</v>
      </c>
      <c r="Y10" s="2" t="s">
        <v>409</v>
      </c>
    </row>
    <row r="11" customFormat="false" ht="87.75" hidden="false" customHeight="true" outlineLevel="0" collapsed="false">
      <c r="A11" s="2" t="s">
        <v>455</v>
      </c>
      <c r="B11" s="2" t="s">
        <v>227</v>
      </c>
      <c r="C11" s="2" t="s">
        <v>237</v>
      </c>
      <c r="D11" s="2" t="s">
        <v>238</v>
      </c>
      <c r="E11" s="2" t="s">
        <v>456</v>
      </c>
      <c r="F11" s="2" t="s">
        <v>457</v>
      </c>
      <c r="G11" s="2" t="s">
        <v>396</v>
      </c>
      <c r="H11" s="5" t="n">
        <v>3</v>
      </c>
      <c r="I11" s="2" t="s">
        <v>458</v>
      </c>
      <c r="J11" s="2" t="s">
        <v>459</v>
      </c>
      <c r="K11" s="2" t="s">
        <v>229</v>
      </c>
      <c r="L11" s="2" t="s">
        <v>399</v>
      </c>
      <c r="M11" s="2" t="s">
        <v>400</v>
      </c>
      <c r="N11" s="2" t="s">
        <v>401</v>
      </c>
      <c r="O11" s="2" t="s">
        <v>454</v>
      </c>
      <c r="P11" s="2" t="s">
        <v>230</v>
      </c>
      <c r="Q11" s="2" t="s">
        <v>240</v>
      </c>
      <c r="R11" s="2" t="s">
        <v>403</v>
      </c>
      <c r="S11" s="2" t="s">
        <v>404</v>
      </c>
      <c r="T11" s="2" t="s">
        <v>405</v>
      </c>
      <c r="U11" s="2" t="s">
        <v>406</v>
      </c>
      <c r="V11" s="2" t="s">
        <v>407</v>
      </c>
      <c r="W11" s="2" t="s">
        <v>406</v>
      </c>
      <c r="X11" s="2" t="s">
        <v>408</v>
      </c>
      <c r="Y11" s="2" t="s">
        <v>409</v>
      </c>
    </row>
    <row r="12" customFormat="false" ht="87.75" hidden="false" customHeight="true" outlineLevel="0" collapsed="false">
      <c r="A12" s="2" t="s">
        <v>460</v>
      </c>
      <c r="B12" s="2" t="s">
        <v>227</v>
      </c>
      <c r="C12" s="2" t="s">
        <v>237</v>
      </c>
      <c r="D12" s="2" t="s">
        <v>238</v>
      </c>
      <c r="E12" s="2" t="s">
        <v>461</v>
      </c>
      <c r="F12" s="2" t="s">
        <v>462</v>
      </c>
      <c r="G12" s="2" t="s">
        <v>396</v>
      </c>
      <c r="H12" s="5" t="n">
        <v>3</v>
      </c>
      <c r="I12" s="2" t="s">
        <v>463</v>
      </c>
      <c r="J12" s="2" t="s">
        <v>459</v>
      </c>
      <c r="K12" s="2" t="s">
        <v>229</v>
      </c>
      <c r="L12" s="2" t="s">
        <v>399</v>
      </c>
      <c r="M12" s="2" t="s">
        <v>400</v>
      </c>
      <c r="N12" s="2" t="s">
        <v>401</v>
      </c>
      <c r="O12" s="2" t="s">
        <v>454</v>
      </c>
      <c r="P12" s="2" t="s">
        <v>230</v>
      </c>
      <c r="Q12" s="2" t="s">
        <v>240</v>
      </c>
      <c r="R12" s="2" t="s">
        <v>403</v>
      </c>
      <c r="S12" s="2" t="s">
        <v>404</v>
      </c>
      <c r="T12" s="2" t="s">
        <v>405</v>
      </c>
      <c r="U12" s="2" t="s">
        <v>406</v>
      </c>
      <c r="V12" s="2" t="s">
        <v>407</v>
      </c>
      <c r="W12" s="2" t="s">
        <v>406</v>
      </c>
      <c r="X12" s="2" t="s">
        <v>408</v>
      </c>
      <c r="Y12" s="2" t="s">
        <v>409</v>
      </c>
    </row>
    <row r="13" customFormat="false" ht="87.75" hidden="false" customHeight="true" outlineLevel="0" collapsed="false">
      <c r="A13" s="2" t="s">
        <v>464</v>
      </c>
      <c r="B13" s="2" t="s">
        <v>227</v>
      </c>
      <c r="C13" s="2" t="s">
        <v>237</v>
      </c>
      <c r="D13" s="2" t="s">
        <v>238</v>
      </c>
      <c r="E13" s="2" t="s">
        <v>465</v>
      </c>
      <c r="F13" s="2" t="s">
        <v>466</v>
      </c>
      <c r="G13" s="2" t="s">
        <v>396</v>
      </c>
      <c r="H13" s="5" t="n">
        <v>2</v>
      </c>
      <c r="I13" s="2" t="s">
        <v>467</v>
      </c>
      <c r="J13" s="2" t="s">
        <v>468</v>
      </c>
      <c r="K13" s="2" t="s">
        <v>229</v>
      </c>
      <c r="L13" s="2" t="s">
        <v>415</v>
      </c>
      <c r="M13" s="2" t="s">
        <v>400</v>
      </c>
      <c r="N13" s="2" t="s">
        <v>401</v>
      </c>
      <c r="O13" s="2" t="s">
        <v>454</v>
      </c>
      <c r="P13" s="2" t="s">
        <v>230</v>
      </c>
      <c r="Q13" s="2" t="s">
        <v>240</v>
      </c>
      <c r="R13" s="2" t="s">
        <v>403</v>
      </c>
      <c r="S13" s="2" t="s">
        <v>404</v>
      </c>
      <c r="T13" s="2" t="s">
        <v>405</v>
      </c>
      <c r="U13" s="2" t="s">
        <v>406</v>
      </c>
      <c r="V13" s="2" t="s">
        <v>407</v>
      </c>
      <c r="W13" s="2" t="s">
        <v>406</v>
      </c>
      <c r="X13" s="2" t="s">
        <v>408</v>
      </c>
      <c r="Y13" s="2" t="s">
        <v>409</v>
      </c>
    </row>
    <row r="14" customFormat="false" ht="87.75" hidden="false" customHeight="true" outlineLevel="0" collapsed="false">
      <c r="A14" s="2" t="s">
        <v>469</v>
      </c>
      <c r="B14" s="2" t="s">
        <v>227</v>
      </c>
      <c r="C14" s="2" t="s">
        <v>237</v>
      </c>
      <c r="D14" s="2" t="s">
        <v>238</v>
      </c>
      <c r="E14" s="2" t="s">
        <v>470</v>
      </c>
      <c r="F14" s="2" t="s">
        <v>471</v>
      </c>
      <c r="G14" s="2" t="s">
        <v>396</v>
      </c>
      <c r="H14" s="5" t="n">
        <v>3</v>
      </c>
      <c r="I14" s="2" t="s">
        <v>472</v>
      </c>
      <c r="J14" s="2" t="s">
        <v>473</v>
      </c>
      <c r="K14" s="2" t="s">
        <v>229</v>
      </c>
      <c r="L14" s="2" t="s">
        <v>399</v>
      </c>
      <c r="M14" s="2" t="s">
        <v>400</v>
      </c>
      <c r="N14" s="2" t="s">
        <v>401</v>
      </c>
      <c r="O14" s="2" t="s">
        <v>454</v>
      </c>
      <c r="P14" s="2" t="s">
        <v>230</v>
      </c>
      <c r="Q14" s="2" t="s">
        <v>240</v>
      </c>
      <c r="R14" s="2" t="s">
        <v>403</v>
      </c>
      <c r="S14" s="2" t="s">
        <v>404</v>
      </c>
      <c r="T14" s="2" t="s">
        <v>405</v>
      </c>
      <c r="U14" s="2" t="s">
        <v>406</v>
      </c>
      <c r="V14" s="2" t="s">
        <v>407</v>
      </c>
      <c r="W14" s="2" t="s">
        <v>406</v>
      </c>
      <c r="X14" s="2" t="s">
        <v>408</v>
      </c>
      <c r="Y14" s="2" t="s">
        <v>409</v>
      </c>
    </row>
    <row r="15" customFormat="false" ht="87.75" hidden="false" customHeight="true" outlineLevel="0" collapsed="false">
      <c r="A15" s="2" t="s">
        <v>474</v>
      </c>
      <c r="B15" s="2" t="s">
        <v>227</v>
      </c>
      <c r="C15" s="2" t="s">
        <v>237</v>
      </c>
      <c r="D15" s="2" t="s">
        <v>238</v>
      </c>
      <c r="E15" s="2" t="s">
        <v>475</v>
      </c>
      <c r="F15" s="2" t="s">
        <v>476</v>
      </c>
      <c r="G15" s="2" t="s">
        <v>429</v>
      </c>
      <c r="H15" s="5" t="n">
        <v>2</v>
      </c>
      <c r="I15" s="2" t="s">
        <v>477</v>
      </c>
      <c r="J15" s="2" t="s">
        <v>478</v>
      </c>
      <c r="K15" s="2" t="s">
        <v>229</v>
      </c>
      <c r="L15" s="2" t="s">
        <v>415</v>
      </c>
      <c r="M15" s="2" t="s">
        <v>400</v>
      </c>
      <c r="N15" s="2" t="s">
        <v>431</v>
      </c>
      <c r="O15" s="2" t="s">
        <v>479</v>
      </c>
      <c r="P15" s="2" t="s">
        <v>230</v>
      </c>
      <c r="Q15" s="2" t="s">
        <v>240</v>
      </c>
      <c r="R15" s="2" t="s">
        <v>403</v>
      </c>
      <c r="S15" s="2" t="s">
        <v>432</v>
      </c>
      <c r="T15" s="2" t="s">
        <v>405</v>
      </c>
      <c r="U15" s="2" t="s">
        <v>406</v>
      </c>
      <c r="V15" s="2" t="s">
        <v>407</v>
      </c>
      <c r="W15" s="2" t="s">
        <v>406</v>
      </c>
      <c r="X15" s="2" t="s">
        <v>408</v>
      </c>
      <c r="Y15" s="2" t="s">
        <v>409</v>
      </c>
    </row>
    <row r="16" customFormat="false" ht="87.75" hidden="false" customHeight="true" outlineLevel="0" collapsed="false">
      <c r="A16" s="2" t="s">
        <v>480</v>
      </c>
      <c r="B16" s="2" t="s">
        <v>227</v>
      </c>
      <c r="C16" s="2" t="s">
        <v>237</v>
      </c>
      <c r="D16" s="2" t="s">
        <v>238</v>
      </c>
      <c r="E16" s="2" t="s">
        <v>481</v>
      </c>
      <c r="F16" s="2" t="s">
        <v>482</v>
      </c>
      <c r="G16" s="2" t="s">
        <v>396</v>
      </c>
      <c r="H16" s="5" t="n">
        <v>2</v>
      </c>
      <c r="I16" s="2" t="s">
        <v>483</v>
      </c>
      <c r="J16" s="2" t="s">
        <v>484</v>
      </c>
      <c r="K16" s="2" t="s">
        <v>229</v>
      </c>
      <c r="L16" s="2" t="s">
        <v>415</v>
      </c>
      <c r="M16" s="2" t="s">
        <v>400</v>
      </c>
      <c r="N16" s="2" t="s">
        <v>401</v>
      </c>
      <c r="O16" s="2" t="s">
        <v>454</v>
      </c>
      <c r="P16" s="2" t="s">
        <v>230</v>
      </c>
      <c r="Q16" s="2" t="s">
        <v>240</v>
      </c>
      <c r="R16" s="2" t="s">
        <v>403</v>
      </c>
      <c r="S16" s="2" t="s">
        <v>404</v>
      </c>
      <c r="T16" s="2" t="s">
        <v>405</v>
      </c>
      <c r="U16" s="2" t="s">
        <v>406</v>
      </c>
      <c r="V16" s="2" t="s">
        <v>407</v>
      </c>
      <c r="W16" s="2" t="s">
        <v>406</v>
      </c>
      <c r="X16" s="2" t="s">
        <v>485</v>
      </c>
      <c r="Y16" s="2" t="s">
        <v>409</v>
      </c>
    </row>
    <row r="17" customFormat="false" ht="87.75" hidden="false" customHeight="true" outlineLevel="0" collapsed="false">
      <c r="A17" s="6" t="s">
        <v>486</v>
      </c>
      <c r="B17" s="2" t="s">
        <v>227</v>
      </c>
      <c r="C17" s="2" t="s">
        <v>237</v>
      </c>
      <c r="D17" s="2" t="s">
        <v>238</v>
      </c>
      <c r="E17" s="2" t="s">
        <v>487</v>
      </c>
      <c r="F17" s="2" t="s">
        <v>488</v>
      </c>
      <c r="G17" s="2" t="s">
        <v>429</v>
      </c>
      <c r="H17" s="5" t="n">
        <v>1</v>
      </c>
      <c r="I17" s="2" t="s">
        <v>489</v>
      </c>
      <c r="J17" s="2" t="s">
        <v>490</v>
      </c>
      <c r="K17" s="2" t="s">
        <v>229</v>
      </c>
      <c r="L17" s="2" t="s">
        <v>415</v>
      </c>
      <c r="M17" s="2" t="s">
        <v>400</v>
      </c>
      <c r="N17" s="2" t="s">
        <v>431</v>
      </c>
      <c r="O17" s="2" t="s">
        <v>491</v>
      </c>
      <c r="P17" s="2" t="s">
        <v>230</v>
      </c>
      <c r="Q17" s="2" t="s">
        <v>240</v>
      </c>
      <c r="R17" s="2" t="s">
        <v>403</v>
      </c>
      <c r="S17" s="2" t="s">
        <v>432</v>
      </c>
      <c r="T17" s="2" t="s">
        <v>405</v>
      </c>
      <c r="U17" s="2" t="s">
        <v>406</v>
      </c>
      <c r="V17" s="2" t="s">
        <v>407</v>
      </c>
      <c r="W17" s="2" t="s">
        <v>448</v>
      </c>
      <c r="X17" s="2" t="s">
        <v>492</v>
      </c>
      <c r="Y17" s="6" t="s">
        <v>437</v>
      </c>
    </row>
    <row r="18" customFormat="false" ht="87.75" hidden="false" customHeight="true" outlineLevel="0" collapsed="false">
      <c r="A18" s="3" t="s">
        <v>493</v>
      </c>
      <c r="B18" s="2" t="s">
        <v>227</v>
      </c>
      <c r="C18" s="2" t="s">
        <v>237</v>
      </c>
      <c r="D18" s="2" t="s">
        <v>238</v>
      </c>
      <c r="E18" s="2" t="s">
        <v>494</v>
      </c>
      <c r="F18" s="2" t="s">
        <v>495</v>
      </c>
      <c r="G18" s="2" t="s">
        <v>396</v>
      </c>
      <c r="H18" s="5" t="n">
        <v>2</v>
      </c>
      <c r="I18" s="2" t="s">
        <v>496</v>
      </c>
      <c r="J18" s="2" t="s">
        <v>497</v>
      </c>
      <c r="K18" s="2" t="s">
        <v>229</v>
      </c>
      <c r="L18" s="2" t="s">
        <v>415</v>
      </c>
      <c r="M18" s="2" t="s">
        <v>400</v>
      </c>
      <c r="N18" s="2" t="s">
        <v>447</v>
      </c>
      <c r="O18" s="2" t="s">
        <v>454</v>
      </c>
      <c r="P18" s="2" t="s">
        <v>230</v>
      </c>
      <c r="Q18" s="2" t="s">
        <v>240</v>
      </c>
      <c r="R18" s="2" t="s">
        <v>403</v>
      </c>
      <c r="S18" s="2" t="s">
        <v>404</v>
      </c>
      <c r="T18" s="2" t="s">
        <v>405</v>
      </c>
      <c r="U18" s="2" t="s">
        <v>406</v>
      </c>
      <c r="V18" s="2" t="s">
        <v>407</v>
      </c>
      <c r="W18" s="2" t="s">
        <v>448</v>
      </c>
      <c r="X18" s="2" t="s">
        <v>492</v>
      </c>
      <c r="Y18" s="3" t="s">
        <v>225</v>
      </c>
    </row>
    <row r="19" customFormat="false" ht="87.75" hidden="false" customHeight="true" outlineLevel="0" collapsed="false">
      <c r="A19" s="3" t="s">
        <v>498</v>
      </c>
      <c r="B19" s="2" t="s">
        <v>227</v>
      </c>
      <c r="C19" s="2" t="s">
        <v>237</v>
      </c>
      <c r="D19" s="2" t="s">
        <v>238</v>
      </c>
      <c r="E19" s="2" t="s">
        <v>499</v>
      </c>
      <c r="F19" s="2" t="s">
        <v>500</v>
      </c>
      <c r="G19" s="2" t="s">
        <v>429</v>
      </c>
      <c r="H19" s="5" t="n">
        <v>1</v>
      </c>
      <c r="I19" s="2" t="s">
        <v>501</v>
      </c>
      <c r="J19" s="2" t="s">
        <v>490</v>
      </c>
      <c r="K19" s="2" t="s">
        <v>229</v>
      </c>
      <c r="L19" s="2" t="s">
        <v>415</v>
      </c>
      <c r="M19" s="2" t="s">
        <v>400</v>
      </c>
      <c r="N19" s="2" t="s">
        <v>431</v>
      </c>
      <c r="O19" s="2" t="s">
        <v>491</v>
      </c>
      <c r="P19" s="2" t="s">
        <v>230</v>
      </c>
      <c r="Q19" s="2" t="s">
        <v>240</v>
      </c>
      <c r="R19" s="2" t="s">
        <v>403</v>
      </c>
      <c r="S19" s="2" t="s">
        <v>432</v>
      </c>
      <c r="T19" s="2" t="s">
        <v>405</v>
      </c>
      <c r="U19" s="2" t="s">
        <v>406</v>
      </c>
      <c r="V19" s="2" t="s">
        <v>407</v>
      </c>
      <c r="W19" s="2" t="s">
        <v>502</v>
      </c>
      <c r="X19" s="2" t="s">
        <v>503</v>
      </c>
      <c r="Y19" s="3" t="s">
        <v>225</v>
      </c>
    </row>
    <row r="20" customFormat="false" ht="87.75" hidden="false" customHeight="true" outlineLevel="0" collapsed="false">
      <c r="A20" s="2" t="s">
        <v>504</v>
      </c>
      <c r="B20" s="2" t="s">
        <v>227</v>
      </c>
      <c r="C20" s="2" t="s">
        <v>242</v>
      </c>
      <c r="D20" s="2" t="s">
        <v>243</v>
      </c>
      <c r="E20" s="2" t="s">
        <v>505</v>
      </c>
      <c r="F20" s="2" t="s">
        <v>506</v>
      </c>
      <c r="G20" s="2" t="s">
        <v>396</v>
      </c>
      <c r="H20" s="5" t="n">
        <v>3</v>
      </c>
      <c r="I20" s="2" t="s">
        <v>507</v>
      </c>
      <c r="J20" s="2" t="s">
        <v>508</v>
      </c>
      <c r="K20" s="2" t="s">
        <v>244</v>
      </c>
      <c r="L20" s="2" t="s">
        <v>399</v>
      </c>
      <c r="M20" s="2" t="s">
        <v>400</v>
      </c>
      <c r="N20" s="2" t="s">
        <v>401</v>
      </c>
      <c r="O20" s="2" t="s">
        <v>402</v>
      </c>
      <c r="P20" s="2" t="s">
        <v>245</v>
      </c>
      <c r="Q20" s="2" t="s">
        <v>248</v>
      </c>
      <c r="R20" s="2" t="s">
        <v>403</v>
      </c>
      <c r="S20" s="2" t="s">
        <v>404</v>
      </c>
      <c r="T20" s="2" t="s">
        <v>405</v>
      </c>
      <c r="U20" s="2" t="s">
        <v>406</v>
      </c>
      <c r="V20" s="2" t="s">
        <v>407</v>
      </c>
      <c r="W20" s="2" t="s">
        <v>406</v>
      </c>
      <c r="X20" s="2" t="s">
        <v>509</v>
      </c>
      <c r="Y20" s="2" t="s">
        <v>409</v>
      </c>
    </row>
    <row r="21" customFormat="false" ht="87.75" hidden="false" customHeight="true" outlineLevel="0" collapsed="false">
      <c r="A21" s="2" t="s">
        <v>510</v>
      </c>
      <c r="B21" s="2" t="s">
        <v>227</v>
      </c>
      <c r="C21" s="2" t="s">
        <v>242</v>
      </c>
      <c r="D21" s="2" t="s">
        <v>243</v>
      </c>
      <c r="E21" s="2" t="s">
        <v>511</v>
      </c>
      <c r="F21" s="2" t="s">
        <v>512</v>
      </c>
      <c r="G21" s="2" t="s">
        <v>396</v>
      </c>
      <c r="H21" s="5" t="n">
        <v>2</v>
      </c>
      <c r="I21" s="2" t="s">
        <v>513</v>
      </c>
      <c r="J21" s="2" t="s">
        <v>514</v>
      </c>
      <c r="K21" s="2" t="s">
        <v>244</v>
      </c>
      <c r="L21" s="2" t="s">
        <v>415</v>
      </c>
      <c r="M21" s="2" t="s">
        <v>400</v>
      </c>
      <c r="N21" s="2" t="s">
        <v>401</v>
      </c>
      <c r="O21" s="2" t="s">
        <v>491</v>
      </c>
      <c r="P21" s="2" t="s">
        <v>245</v>
      </c>
      <c r="Q21" s="2" t="s">
        <v>248</v>
      </c>
      <c r="R21" s="2" t="s">
        <v>403</v>
      </c>
      <c r="S21" s="2" t="s">
        <v>404</v>
      </c>
      <c r="T21" s="2" t="s">
        <v>405</v>
      </c>
      <c r="U21" s="2" t="s">
        <v>406</v>
      </c>
      <c r="V21" s="2" t="s">
        <v>407</v>
      </c>
      <c r="W21" s="2" t="s">
        <v>406</v>
      </c>
      <c r="X21" s="2" t="s">
        <v>509</v>
      </c>
      <c r="Y21" s="2" t="s">
        <v>409</v>
      </c>
    </row>
    <row r="22" customFormat="false" ht="87.75" hidden="false" customHeight="true" outlineLevel="0" collapsed="false">
      <c r="A22" s="2" t="s">
        <v>515</v>
      </c>
      <c r="B22" s="2" t="s">
        <v>227</v>
      </c>
      <c r="C22" s="2" t="s">
        <v>242</v>
      </c>
      <c r="D22" s="2" t="s">
        <v>243</v>
      </c>
      <c r="E22" s="2" t="s">
        <v>516</v>
      </c>
      <c r="F22" s="2" t="s">
        <v>517</v>
      </c>
      <c r="G22" s="2" t="s">
        <v>396</v>
      </c>
      <c r="H22" s="5" t="n">
        <v>3</v>
      </c>
      <c r="I22" s="2" t="s">
        <v>518</v>
      </c>
      <c r="J22" s="2" t="s">
        <v>519</v>
      </c>
      <c r="K22" s="2" t="s">
        <v>244</v>
      </c>
      <c r="L22" s="2" t="s">
        <v>520</v>
      </c>
      <c r="M22" s="2" t="s">
        <v>400</v>
      </c>
      <c r="N22" s="2" t="s">
        <v>401</v>
      </c>
      <c r="O22" s="2" t="s">
        <v>402</v>
      </c>
      <c r="P22" s="2" t="s">
        <v>245</v>
      </c>
      <c r="Q22" s="2" t="s">
        <v>248</v>
      </c>
      <c r="R22" s="2" t="s">
        <v>403</v>
      </c>
      <c r="S22" s="2" t="s">
        <v>404</v>
      </c>
      <c r="T22" s="2" t="s">
        <v>405</v>
      </c>
      <c r="U22" s="2" t="s">
        <v>406</v>
      </c>
      <c r="V22" s="2" t="s">
        <v>407</v>
      </c>
      <c r="W22" s="2" t="s">
        <v>406</v>
      </c>
      <c r="X22" s="2" t="s">
        <v>521</v>
      </c>
      <c r="Y22" s="2" t="s">
        <v>409</v>
      </c>
    </row>
    <row r="23" customFormat="false" ht="87.75" hidden="false" customHeight="true" outlineLevel="0" collapsed="false">
      <c r="A23" s="2" t="s">
        <v>522</v>
      </c>
      <c r="B23" s="2" t="s">
        <v>227</v>
      </c>
      <c r="C23" s="2" t="s">
        <v>242</v>
      </c>
      <c r="D23" s="2" t="s">
        <v>243</v>
      </c>
      <c r="E23" s="2" t="s">
        <v>523</v>
      </c>
      <c r="F23" s="2" t="s">
        <v>524</v>
      </c>
      <c r="G23" s="2" t="s">
        <v>396</v>
      </c>
      <c r="H23" s="5" t="n">
        <v>2</v>
      </c>
      <c r="I23" s="2" t="s">
        <v>525</v>
      </c>
      <c r="J23" s="2" t="s">
        <v>526</v>
      </c>
      <c r="K23" s="2" t="s">
        <v>244</v>
      </c>
      <c r="L23" s="2" t="s">
        <v>415</v>
      </c>
      <c r="M23" s="2" t="s">
        <v>400</v>
      </c>
      <c r="N23" s="2" t="s">
        <v>401</v>
      </c>
      <c r="O23" s="2" t="s">
        <v>402</v>
      </c>
      <c r="P23" s="2" t="s">
        <v>245</v>
      </c>
      <c r="Q23" s="2" t="s">
        <v>248</v>
      </c>
      <c r="R23" s="2" t="s">
        <v>403</v>
      </c>
      <c r="S23" s="2" t="s">
        <v>404</v>
      </c>
      <c r="T23" s="2" t="s">
        <v>405</v>
      </c>
      <c r="U23" s="2" t="s">
        <v>406</v>
      </c>
      <c r="V23" s="2" t="s">
        <v>407</v>
      </c>
      <c r="W23" s="2" t="s">
        <v>406</v>
      </c>
      <c r="X23" s="2" t="s">
        <v>527</v>
      </c>
      <c r="Y23" s="2" t="s">
        <v>409</v>
      </c>
    </row>
    <row r="24" customFormat="false" ht="87.75" hidden="false" customHeight="true" outlineLevel="0" collapsed="false">
      <c r="A24" s="2" t="s">
        <v>528</v>
      </c>
      <c r="B24" s="2" t="s">
        <v>227</v>
      </c>
      <c r="C24" s="2" t="s">
        <v>242</v>
      </c>
      <c r="D24" s="2" t="s">
        <v>243</v>
      </c>
      <c r="E24" s="2" t="s">
        <v>529</v>
      </c>
      <c r="F24" s="2" t="s">
        <v>530</v>
      </c>
      <c r="G24" s="2" t="s">
        <v>396</v>
      </c>
      <c r="H24" s="5" t="n">
        <v>3</v>
      </c>
      <c r="I24" s="2" t="s">
        <v>531</v>
      </c>
      <c r="J24" s="2" t="s">
        <v>532</v>
      </c>
      <c r="K24" s="2" t="s">
        <v>244</v>
      </c>
      <c r="L24" s="2" t="s">
        <v>399</v>
      </c>
      <c r="M24" s="2" t="s">
        <v>400</v>
      </c>
      <c r="N24" s="2" t="s">
        <v>401</v>
      </c>
      <c r="O24" s="2" t="s">
        <v>402</v>
      </c>
      <c r="P24" s="2" t="s">
        <v>245</v>
      </c>
      <c r="Q24" s="2" t="s">
        <v>248</v>
      </c>
      <c r="R24" s="2" t="s">
        <v>403</v>
      </c>
      <c r="S24" s="2" t="s">
        <v>404</v>
      </c>
      <c r="T24" s="2" t="s">
        <v>405</v>
      </c>
      <c r="U24" s="2" t="s">
        <v>406</v>
      </c>
      <c r="V24" s="2" t="s">
        <v>407</v>
      </c>
      <c r="W24" s="2" t="s">
        <v>406</v>
      </c>
      <c r="X24" s="2" t="s">
        <v>521</v>
      </c>
      <c r="Y24" s="2" t="s">
        <v>409</v>
      </c>
    </row>
    <row r="25" customFormat="false" ht="87.75" hidden="false" customHeight="true" outlineLevel="0" collapsed="false">
      <c r="A25" s="2" t="s">
        <v>533</v>
      </c>
      <c r="B25" s="2" t="s">
        <v>227</v>
      </c>
      <c r="C25" s="2" t="s">
        <v>242</v>
      </c>
      <c r="D25" s="2" t="s">
        <v>243</v>
      </c>
      <c r="E25" s="2" t="s">
        <v>534</v>
      </c>
      <c r="F25" s="2" t="s">
        <v>535</v>
      </c>
      <c r="G25" s="2" t="s">
        <v>396</v>
      </c>
      <c r="H25" s="5" t="n">
        <v>3</v>
      </c>
      <c r="I25" s="2" t="s">
        <v>536</v>
      </c>
      <c r="J25" s="2" t="s">
        <v>537</v>
      </c>
      <c r="K25" s="2" t="s">
        <v>244</v>
      </c>
      <c r="L25" s="2" t="s">
        <v>538</v>
      </c>
      <c r="M25" s="2" t="s">
        <v>400</v>
      </c>
      <c r="N25" s="2" t="s">
        <v>401</v>
      </c>
      <c r="O25" s="2" t="s">
        <v>491</v>
      </c>
      <c r="P25" s="2" t="s">
        <v>245</v>
      </c>
      <c r="Q25" s="2" t="s">
        <v>248</v>
      </c>
      <c r="R25" s="2" t="s">
        <v>403</v>
      </c>
      <c r="S25" s="2" t="s">
        <v>404</v>
      </c>
      <c r="T25" s="2" t="s">
        <v>405</v>
      </c>
      <c r="U25" s="2" t="s">
        <v>406</v>
      </c>
      <c r="V25" s="2" t="s">
        <v>407</v>
      </c>
      <c r="W25" s="2" t="s">
        <v>406</v>
      </c>
      <c r="X25" s="2" t="s">
        <v>521</v>
      </c>
      <c r="Y25" s="2" t="s">
        <v>409</v>
      </c>
    </row>
    <row r="26" customFormat="false" ht="87.75" hidden="false" customHeight="true" outlineLevel="0" collapsed="false">
      <c r="A26" s="2" t="s">
        <v>539</v>
      </c>
      <c r="B26" s="2" t="s">
        <v>227</v>
      </c>
      <c r="C26" s="2" t="s">
        <v>242</v>
      </c>
      <c r="D26" s="2" t="s">
        <v>243</v>
      </c>
      <c r="E26" s="2" t="s">
        <v>540</v>
      </c>
      <c r="F26" s="2" t="s">
        <v>541</v>
      </c>
      <c r="G26" s="2" t="s">
        <v>429</v>
      </c>
      <c r="H26" s="5" t="n">
        <v>2</v>
      </c>
      <c r="I26" s="2" t="s">
        <v>542</v>
      </c>
      <c r="J26" s="2" t="s">
        <v>514</v>
      </c>
      <c r="K26" s="2" t="s">
        <v>244</v>
      </c>
      <c r="L26" s="2" t="s">
        <v>543</v>
      </c>
      <c r="M26" s="2" t="s">
        <v>400</v>
      </c>
      <c r="N26" s="2" t="s">
        <v>431</v>
      </c>
      <c r="O26" s="2" t="s">
        <v>402</v>
      </c>
      <c r="P26" s="2" t="s">
        <v>245</v>
      </c>
      <c r="Q26" s="2" t="s">
        <v>248</v>
      </c>
      <c r="R26" s="2" t="s">
        <v>403</v>
      </c>
      <c r="S26" s="2" t="s">
        <v>432</v>
      </c>
      <c r="T26" s="2" t="s">
        <v>405</v>
      </c>
      <c r="U26" s="2" t="s">
        <v>406</v>
      </c>
      <c r="V26" s="2" t="s">
        <v>407</v>
      </c>
      <c r="W26" s="2" t="s">
        <v>406</v>
      </c>
      <c r="X26" s="2" t="s">
        <v>509</v>
      </c>
      <c r="Y26" s="2" t="s">
        <v>409</v>
      </c>
    </row>
    <row r="27" customFormat="false" ht="87.75" hidden="false" customHeight="true" outlineLevel="0" collapsed="false">
      <c r="A27" s="2" t="s">
        <v>544</v>
      </c>
      <c r="B27" s="2" t="s">
        <v>227</v>
      </c>
      <c r="C27" s="2" t="s">
        <v>250</v>
      </c>
      <c r="D27" s="2" t="s">
        <v>251</v>
      </c>
      <c r="E27" s="2" t="s">
        <v>545</v>
      </c>
      <c r="F27" s="2" t="s">
        <v>546</v>
      </c>
      <c r="G27" s="2" t="s">
        <v>396</v>
      </c>
      <c r="H27" s="5" t="n">
        <v>3</v>
      </c>
      <c r="I27" s="2" t="s">
        <v>547</v>
      </c>
      <c r="J27" s="2" t="s">
        <v>532</v>
      </c>
      <c r="K27" s="2" t="s">
        <v>229</v>
      </c>
      <c r="L27" s="2" t="s">
        <v>399</v>
      </c>
      <c r="M27" s="2" t="s">
        <v>400</v>
      </c>
      <c r="N27" s="2" t="s">
        <v>401</v>
      </c>
      <c r="O27" s="2" t="s">
        <v>402</v>
      </c>
      <c r="P27" s="2" t="s">
        <v>230</v>
      </c>
      <c r="Q27" s="2" t="s">
        <v>253</v>
      </c>
      <c r="R27" s="2" t="s">
        <v>403</v>
      </c>
      <c r="S27" s="2" t="s">
        <v>404</v>
      </c>
      <c r="T27" s="2" t="s">
        <v>405</v>
      </c>
      <c r="U27" s="2" t="s">
        <v>406</v>
      </c>
      <c r="V27" s="2" t="s">
        <v>407</v>
      </c>
      <c r="W27" s="2" t="s">
        <v>406</v>
      </c>
      <c r="X27" s="2" t="s">
        <v>548</v>
      </c>
      <c r="Y27" s="2" t="s">
        <v>409</v>
      </c>
    </row>
    <row r="28" customFormat="false" ht="87.75" hidden="false" customHeight="true" outlineLevel="0" collapsed="false">
      <c r="A28" s="2" t="s">
        <v>549</v>
      </c>
      <c r="B28" s="2" t="s">
        <v>227</v>
      </c>
      <c r="C28" s="2" t="s">
        <v>250</v>
      </c>
      <c r="D28" s="2" t="s">
        <v>251</v>
      </c>
      <c r="E28" s="2" t="s">
        <v>550</v>
      </c>
      <c r="F28" s="2" t="s">
        <v>546</v>
      </c>
      <c r="G28" s="2" t="s">
        <v>396</v>
      </c>
      <c r="H28" s="5" t="n">
        <v>3</v>
      </c>
      <c r="I28" s="2" t="s">
        <v>551</v>
      </c>
      <c r="J28" s="2" t="s">
        <v>552</v>
      </c>
      <c r="K28" s="2" t="s">
        <v>229</v>
      </c>
      <c r="L28" s="2" t="s">
        <v>399</v>
      </c>
      <c r="M28" s="2" t="s">
        <v>400</v>
      </c>
      <c r="N28" s="2" t="s">
        <v>401</v>
      </c>
      <c r="O28" s="2" t="s">
        <v>402</v>
      </c>
      <c r="P28" s="2" t="s">
        <v>230</v>
      </c>
      <c r="Q28" s="2" t="s">
        <v>253</v>
      </c>
      <c r="R28" s="2" t="s">
        <v>403</v>
      </c>
      <c r="S28" s="2" t="s">
        <v>404</v>
      </c>
      <c r="T28" s="2" t="s">
        <v>405</v>
      </c>
      <c r="U28" s="2" t="s">
        <v>406</v>
      </c>
      <c r="V28" s="2" t="s">
        <v>407</v>
      </c>
      <c r="W28" s="2" t="s">
        <v>406</v>
      </c>
      <c r="X28" s="2" t="s">
        <v>548</v>
      </c>
      <c r="Y28" s="2" t="s">
        <v>409</v>
      </c>
    </row>
    <row r="29" customFormat="false" ht="87.75" hidden="false" customHeight="true" outlineLevel="0" collapsed="false">
      <c r="A29" s="2" t="s">
        <v>553</v>
      </c>
      <c r="B29" s="2" t="s">
        <v>227</v>
      </c>
      <c r="C29" s="2" t="s">
        <v>250</v>
      </c>
      <c r="D29" s="2" t="s">
        <v>251</v>
      </c>
      <c r="E29" s="2" t="s">
        <v>554</v>
      </c>
      <c r="F29" s="2" t="s">
        <v>555</v>
      </c>
      <c r="G29" s="2" t="s">
        <v>396</v>
      </c>
      <c r="H29" s="5" t="n">
        <v>2</v>
      </c>
      <c r="I29" s="2" t="s">
        <v>556</v>
      </c>
      <c r="J29" s="2" t="s">
        <v>552</v>
      </c>
      <c r="K29" s="2" t="s">
        <v>229</v>
      </c>
      <c r="L29" s="2" t="s">
        <v>415</v>
      </c>
      <c r="M29" s="2" t="s">
        <v>400</v>
      </c>
      <c r="N29" s="2" t="s">
        <v>401</v>
      </c>
      <c r="O29" s="2" t="s">
        <v>402</v>
      </c>
      <c r="P29" s="2" t="s">
        <v>230</v>
      </c>
      <c r="Q29" s="2" t="s">
        <v>253</v>
      </c>
      <c r="R29" s="2" t="s">
        <v>403</v>
      </c>
      <c r="S29" s="2" t="s">
        <v>404</v>
      </c>
      <c r="T29" s="2" t="s">
        <v>405</v>
      </c>
      <c r="U29" s="2" t="s">
        <v>406</v>
      </c>
      <c r="V29" s="2" t="s">
        <v>407</v>
      </c>
      <c r="W29" s="2" t="s">
        <v>406</v>
      </c>
      <c r="X29" s="2" t="s">
        <v>548</v>
      </c>
      <c r="Y29" s="2" t="s">
        <v>409</v>
      </c>
    </row>
    <row r="30" customFormat="false" ht="87.75" hidden="false" customHeight="true" outlineLevel="0" collapsed="false">
      <c r="A30" s="2" t="s">
        <v>557</v>
      </c>
      <c r="B30" s="2" t="s">
        <v>227</v>
      </c>
      <c r="C30" s="2" t="s">
        <v>250</v>
      </c>
      <c r="D30" s="2" t="s">
        <v>251</v>
      </c>
      <c r="E30" s="2" t="s">
        <v>558</v>
      </c>
      <c r="F30" s="2" t="s">
        <v>559</v>
      </c>
      <c r="G30" s="2" t="s">
        <v>429</v>
      </c>
      <c r="H30" s="5" t="n">
        <v>2</v>
      </c>
      <c r="I30" s="2" t="s">
        <v>560</v>
      </c>
      <c r="J30" s="2" t="s">
        <v>552</v>
      </c>
      <c r="K30" s="2" t="s">
        <v>229</v>
      </c>
      <c r="L30" s="2" t="s">
        <v>561</v>
      </c>
      <c r="M30" s="2" t="s">
        <v>400</v>
      </c>
      <c r="N30" s="2" t="s">
        <v>431</v>
      </c>
      <c r="O30" s="2" t="s">
        <v>491</v>
      </c>
      <c r="P30" s="2" t="s">
        <v>230</v>
      </c>
      <c r="Q30" s="2" t="s">
        <v>253</v>
      </c>
      <c r="R30" s="2" t="s">
        <v>403</v>
      </c>
      <c r="S30" s="2" t="s">
        <v>432</v>
      </c>
      <c r="T30" s="2" t="s">
        <v>405</v>
      </c>
      <c r="U30" s="2" t="s">
        <v>406</v>
      </c>
      <c r="V30" s="2" t="s">
        <v>407</v>
      </c>
      <c r="W30" s="2" t="s">
        <v>406</v>
      </c>
      <c r="X30" s="2" t="s">
        <v>548</v>
      </c>
      <c r="Y30" s="2" t="s">
        <v>409</v>
      </c>
    </row>
    <row r="31" customFormat="false" ht="87.75" hidden="false" customHeight="true" outlineLevel="0" collapsed="false">
      <c r="A31" s="2" t="s">
        <v>562</v>
      </c>
      <c r="B31" s="2" t="s">
        <v>227</v>
      </c>
      <c r="C31" s="2" t="s">
        <v>250</v>
      </c>
      <c r="D31" s="2" t="s">
        <v>251</v>
      </c>
      <c r="E31" s="2" t="s">
        <v>563</v>
      </c>
      <c r="F31" s="2" t="s">
        <v>564</v>
      </c>
      <c r="G31" s="2" t="s">
        <v>396</v>
      </c>
      <c r="H31" s="5" t="n">
        <v>2</v>
      </c>
      <c r="I31" s="2" t="s">
        <v>565</v>
      </c>
      <c r="J31" s="2" t="s">
        <v>566</v>
      </c>
      <c r="K31" s="2" t="s">
        <v>229</v>
      </c>
      <c r="L31" s="2" t="s">
        <v>415</v>
      </c>
      <c r="M31" s="2" t="s">
        <v>400</v>
      </c>
      <c r="N31" s="2" t="s">
        <v>401</v>
      </c>
      <c r="O31" s="2" t="s">
        <v>425</v>
      </c>
      <c r="P31" s="2" t="s">
        <v>230</v>
      </c>
      <c r="Q31" s="2" t="s">
        <v>253</v>
      </c>
      <c r="R31" s="2" t="s">
        <v>403</v>
      </c>
      <c r="S31" s="2" t="s">
        <v>404</v>
      </c>
      <c r="T31" s="2" t="s">
        <v>405</v>
      </c>
      <c r="U31" s="2" t="s">
        <v>406</v>
      </c>
      <c r="V31" s="2" t="s">
        <v>407</v>
      </c>
      <c r="W31" s="2" t="s">
        <v>406</v>
      </c>
      <c r="X31" s="2" t="s">
        <v>548</v>
      </c>
      <c r="Y31" s="2" t="s">
        <v>409</v>
      </c>
    </row>
    <row r="32" customFormat="false" ht="87.75" hidden="false" customHeight="true" outlineLevel="0" collapsed="false">
      <c r="A32" s="6" t="s">
        <v>567</v>
      </c>
      <c r="B32" s="2" t="s">
        <v>227</v>
      </c>
      <c r="C32" s="2" t="s">
        <v>250</v>
      </c>
      <c r="D32" s="2" t="s">
        <v>251</v>
      </c>
      <c r="E32" s="2" t="s">
        <v>568</v>
      </c>
      <c r="F32" s="2" t="s">
        <v>569</v>
      </c>
      <c r="G32" s="2" t="s">
        <v>396</v>
      </c>
      <c r="H32" s="5" t="n">
        <v>2</v>
      </c>
      <c r="I32" s="2" t="s">
        <v>570</v>
      </c>
      <c r="J32" s="2" t="s">
        <v>552</v>
      </c>
      <c r="K32" s="2" t="s">
        <v>229</v>
      </c>
      <c r="L32" s="2" t="s">
        <v>415</v>
      </c>
      <c r="M32" s="2" t="s">
        <v>400</v>
      </c>
      <c r="N32" s="2" t="s">
        <v>447</v>
      </c>
      <c r="O32" s="2" t="s">
        <v>402</v>
      </c>
      <c r="P32" s="2" t="s">
        <v>230</v>
      </c>
      <c r="Q32" s="2" t="s">
        <v>253</v>
      </c>
      <c r="R32" s="2" t="s">
        <v>403</v>
      </c>
      <c r="S32" s="2" t="s">
        <v>404</v>
      </c>
      <c r="T32" s="2" t="s">
        <v>405</v>
      </c>
      <c r="U32" s="2" t="s">
        <v>406</v>
      </c>
      <c r="V32" s="2" t="s">
        <v>407</v>
      </c>
      <c r="W32" s="2" t="s">
        <v>448</v>
      </c>
      <c r="X32" s="2" t="s">
        <v>571</v>
      </c>
      <c r="Y32" s="6" t="s">
        <v>437</v>
      </c>
    </row>
    <row r="33" customFormat="false" ht="87.75" hidden="false" customHeight="true" outlineLevel="0" collapsed="false">
      <c r="A33" s="2" t="s">
        <v>572</v>
      </c>
      <c r="B33" s="2" t="s">
        <v>227</v>
      </c>
      <c r="C33" s="2" t="s">
        <v>250</v>
      </c>
      <c r="D33" s="2" t="s">
        <v>251</v>
      </c>
      <c r="E33" s="2" t="s">
        <v>573</v>
      </c>
      <c r="F33" s="2" t="s">
        <v>574</v>
      </c>
      <c r="G33" s="2" t="s">
        <v>429</v>
      </c>
      <c r="H33" s="5" t="n">
        <v>1</v>
      </c>
      <c r="I33" s="2" t="s">
        <v>575</v>
      </c>
      <c r="J33" s="2" t="s">
        <v>552</v>
      </c>
      <c r="K33" s="2" t="s">
        <v>229</v>
      </c>
      <c r="L33" s="2" t="s">
        <v>415</v>
      </c>
      <c r="M33" s="2" t="s">
        <v>400</v>
      </c>
      <c r="N33" s="2" t="s">
        <v>431</v>
      </c>
      <c r="O33" s="2" t="s">
        <v>402</v>
      </c>
      <c r="P33" s="2" t="s">
        <v>230</v>
      </c>
      <c r="Q33" s="2" t="s">
        <v>253</v>
      </c>
      <c r="R33" s="2" t="s">
        <v>403</v>
      </c>
      <c r="S33" s="2" t="s">
        <v>432</v>
      </c>
      <c r="T33" s="2" t="s">
        <v>405</v>
      </c>
      <c r="U33" s="2" t="s">
        <v>406</v>
      </c>
      <c r="V33" s="2" t="s">
        <v>407</v>
      </c>
      <c r="W33" s="2" t="s">
        <v>406</v>
      </c>
      <c r="X33" s="2" t="s">
        <v>548</v>
      </c>
      <c r="Y33" s="2" t="s">
        <v>409</v>
      </c>
    </row>
    <row r="34" customFormat="false" ht="87.75" hidden="false" customHeight="true" outlineLevel="0" collapsed="false">
      <c r="A34" s="2" t="s">
        <v>576</v>
      </c>
      <c r="B34" s="2" t="s">
        <v>227</v>
      </c>
      <c r="C34" s="2" t="s">
        <v>250</v>
      </c>
      <c r="D34" s="2" t="s">
        <v>251</v>
      </c>
      <c r="E34" s="2" t="s">
        <v>577</v>
      </c>
      <c r="F34" s="2" t="s">
        <v>578</v>
      </c>
      <c r="G34" s="2" t="s">
        <v>396</v>
      </c>
      <c r="H34" s="5" t="n">
        <v>2</v>
      </c>
      <c r="I34" s="2" t="s">
        <v>579</v>
      </c>
      <c r="J34" s="2" t="s">
        <v>552</v>
      </c>
      <c r="K34" s="2" t="s">
        <v>229</v>
      </c>
      <c r="L34" s="2" t="s">
        <v>415</v>
      </c>
      <c r="M34" s="2" t="s">
        <v>400</v>
      </c>
      <c r="N34" s="2" t="s">
        <v>401</v>
      </c>
      <c r="O34" s="2" t="s">
        <v>402</v>
      </c>
      <c r="P34" s="2" t="s">
        <v>230</v>
      </c>
      <c r="Q34" s="2" t="s">
        <v>253</v>
      </c>
      <c r="R34" s="2" t="s">
        <v>403</v>
      </c>
      <c r="S34" s="2" t="s">
        <v>404</v>
      </c>
      <c r="T34" s="2" t="s">
        <v>405</v>
      </c>
      <c r="U34" s="2" t="s">
        <v>406</v>
      </c>
      <c r="V34" s="2" t="s">
        <v>407</v>
      </c>
      <c r="W34" s="2" t="s">
        <v>406</v>
      </c>
      <c r="X34" s="2" t="s">
        <v>548</v>
      </c>
      <c r="Y34" s="2" t="s">
        <v>409</v>
      </c>
    </row>
    <row r="35" customFormat="false" ht="87.75" hidden="false" customHeight="true" outlineLevel="0" collapsed="false">
      <c r="A35" s="3" t="s">
        <v>580</v>
      </c>
      <c r="B35" s="2" t="s">
        <v>227</v>
      </c>
      <c r="C35" s="2" t="s">
        <v>250</v>
      </c>
      <c r="D35" s="2" t="s">
        <v>251</v>
      </c>
      <c r="E35" s="2" t="s">
        <v>581</v>
      </c>
      <c r="F35" s="2" t="s">
        <v>582</v>
      </c>
      <c r="G35" s="2" t="s">
        <v>429</v>
      </c>
      <c r="H35" s="5" t="n">
        <v>2</v>
      </c>
      <c r="I35" s="2" t="s">
        <v>583</v>
      </c>
      <c r="J35" s="2" t="s">
        <v>552</v>
      </c>
      <c r="K35" s="2" t="s">
        <v>229</v>
      </c>
      <c r="L35" s="2" t="s">
        <v>415</v>
      </c>
      <c r="M35" s="2" t="s">
        <v>400</v>
      </c>
      <c r="N35" s="2" t="s">
        <v>431</v>
      </c>
      <c r="O35" s="2" t="s">
        <v>402</v>
      </c>
      <c r="P35" s="2" t="s">
        <v>230</v>
      </c>
      <c r="Q35" s="2" t="s">
        <v>253</v>
      </c>
      <c r="R35" s="2" t="s">
        <v>403</v>
      </c>
      <c r="S35" s="2" t="s">
        <v>432</v>
      </c>
      <c r="T35" s="2" t="s">
        <v>405</v>
      </c>
      <c r="U35" s="2" t="s">
        <v>406</v>
      </c>
      <c r="V35" s="2" t="s">
        <v>407</v>
      </c>
      <c r="W35" s="2" t="s">
        <v>502</v>
      </c>
      <c r="X35" s="2" t="s">
        <v>584</v>
      </c>
      <c r="Y35" s="3" t="s">
        <v>225</v>
      </c>
    </row>
    <row r="36" customFormat="false" ht="87.75" hidden="false" customHeight="true" outlineLevel="0" collapsed="false">
      <c r="A36" s="2" t="s">
        <v>585</v>
      </c>
      <c r="B36" s="2" t="s">
        <v>227</v>
      </c>
      <c r="C36" s="2" t="s">
        <v>255</v>
      </c>
      <c r="D36" s="2" t="s">
        <v>256</v>
      </c>
      <c r="E36" s="2" t="s">
        <v>586</v>
      </c>
      <c r="F36" s="2" t="s">
        <v>587</v>
      </c>
      <c r="G36" s="2" t="s">
        <v>396</v>
      </c>
      <c r="H36" s="5" t="n">
        <v>3</v>
      </c>
      <c r="I36" s="2" t="s">
        <v>588</v>
      </c>
      <c r="J36" s="2" t="s">
        <v>589</v>
      </c>
      <c r="K36" s="2" t="s">
        <v>257</v>
      </c>
      <c r="L36" s="2" t="s">
        <v>538</v>
      </c>
      <c r="M36" s="2" t="s">
        <v>400</v>
      </c>
      <c r="N36" s="2" t="s">
        <v>401</v>
      </c>
      <c r="O36" s="2" t="s">
        <v>491</v>
      </c>
      <c r="P36" s="2" t="s">
        <v>258</v>
      </c>
      <c r="Q36" s="2" t="s">
        <v>260</v>
      </c>
      <c r="R36" s="2" t="s">
        <v>403</v>
      </c>
      <c r="S36" s="2" t="s">
        <v>404</v>
      </c>
      <c r="T36" s="2" t="s">
        <v>405</v>
      </c>
      <c r="U36" s="2" t="s">
        <v>406</v>
      </c>
      <c r="V36" s="2" t="s">
        <v>407</v>
      </c>
      <c r="W36" s="2" t="s">
        <v>406</v>
      </c>
      <c r="X36" s="2" t="s">
        <v>590</v>
      </c>
      <c r="Y36" s="2" t="s">
        <v>409</v>
      </c>
    </row>
    <row r="37" customFormat="false" ht="87.75" hidden="false" customHeight="true" outlineLevel="0" collapsed="false">
      <c r="A37" s="2" t="s">
        <v>591</v>
      </c>
      <c r="B37" s="2" t="s">
        <v>227</v>
      </c>
      <c r="C37" s="2" t="s">
        <v>255</v>
      </c>
      <c r="D37" s="2" t="s">
        <v>256</v>
      </c>
      <c r="E37" s="2" t="s">
        <v>592</v>
      </c>
      <c r="F37" s="2" t="s">
        <v>593</v>
      </c>
      <c r="G37" s="2" t="s">
        <v>396</v>
      </c>
      <c r="H37" s="5" t="n">
        <v>3</v>
      </c>
      <c r="I37" s="2" t="s">
        <v>594</v>
      </c>
      <c r="J37" s="2" t="s">
        <v>514</v>
      </c>
      <c r="K37" s="2" t="s">
        <v>257</v>
      </c>
      <c r="L37" s="2" t="s">
        <v>399</v>
      </c>
      <c r="M37" s="2" t="s">
        <v>400</v>
      </c>
      <c r="N37" s="2" t="s">
        <v>401</v>
      </c>
      <c r="O37" s="2" t="s">
        <v>491</v>
      </c>
      <c r="P37" s="2" t="s">
        <v>258</v>
      </c>
      <c r="Q37" s="2" t="s">
        <v>260</v>
      </c>
      <c r="R37" s="2" t="s">
        <v>403</v>
      </c>
      <c r="S37" s="2" t="s">
        <v>404</v>
      </c>
      <c r="T37" s="2" t="s">
        <v>405</v>
      </c>
      <c r="U37" s="2" t="s">
        <v>406</v>
      </c>
      <c r="V37" s="2" t="s">
        <v>407</v>
      </c>
      <c r="W37" s="2" t="s">
        <v>406</v>
      </c>
      <c r="X37" s="2" t="s">
        <v>590</v>
      </c>
      <c r="Y37" s="2" t="s">
        <v>409</v>
      </c>
    </row>
    <row r="38" customFormat="false" ht="87.75" hidden="false" customHeight="true" outlineLevel="0" collapsed="false">
      <c r="A38" s="2" t="s">
        <v>595</v>
      </c>
      <c r="B38" s="2" t="s">
        <v>227</v>
      </c>
      <c r="C38" s="2" t="s">
        <v>255</v>
      </c>
      <c r="D38" s="2" t="s">
        <v>256</v>
      </c>
      <c r="E38" s="2" t="s">
        <v>596</v>
      </c>
      <c r="F38" s="2" t="s">
        <v>597</v>
      </c>
      <c r="G38" s="2" t="s">
        <v>396</v>
      </c>
      <c r="H38" s="5" t="n">
        <v>2</v>
      </c>
      <c r="I38" s="2" t="s">
        <v>598</v>
      </c>
      <c r="J38" s="2" t="s">
        <v>589</v>
      </c>
      <c r="K38" s="2" t="s">
        <v>257</v>
      </c>
      <c r="L38" s="2" t="s">
        <v>415</v>
      </c>
      <c r="M38" s="2" t="s">
        <v>400</v>
      </c>
      <c r="N38" s="2" t="s">
        <v>401</v>
      </c>
      <c r="O38" s="2" t="s">
        <v>491</v>
      </c>
      <c r="P38" s="2" t="s">
        <v>258</v>
      </c>
      <c r="Q38" s="2" t="s">
        <v>260</v>
      </c>
      <c r="R38" s="2" t="s">
        <v>403</v>
      </c>
      <c r="S38" s="2" t="s">
        <v>404</v>
      </c>
      <c r="T38" s="2" t="s">
        <v>405</v>
      </c>
      <c r="U38" s="2" t="s">
        <v>406</v>
      </c>
      <c r="V38" s="2" t="s">
        <v>407</v>
      </c>
      <c r="W38" s="2" t="s">
        <v>406</v>
      </c>
      <c r="X38" s="2" t="s">
        <v>590</v>
      </c>
      <c r="Y38" s="2" t="s">
        <v>409</v>
      </c>
    </row>
    <row r="39" customFormat="false" ht="87.75" hidden="false" customHeight="true" outlineLevel="0" collapsed="false">
      <c r="A39" s="2" t="s">
        <v>599</v>
      </c>
      <c r="B39" s="2" t="s">
        <v>227</v>
      </c>
      <c r="C39" s="2" t="s">
        <v>255</v>
      </c>
      <c r="D39" s="2" t="s">
        <v>256</v>
      </c>
      <c r="E39" s="2" t="s">
        <v>600</v>
      </c>
      <c r="F39" s="2" t="s">
        <v>601</v>
      </c>
      <c r="G39" s="2" t="s">
        <v>429</v>
      </c>
      <c r="H39" s="5" t="n">
        <v>2</v>
      </c>
      <c r="I39" s="2" t="s">
        <v>602</v>
      </c>
      <c r="J39" s="2" t="s">
        <v>603</v>
      </c>
      <c r="K39" s="2" t="s">
        <v>257</v>
      </c>
      <c r="L39" s="2" t="s">
        <v>415</v>
      </c>
      <c r="M39" s="2" t="s">
        <v>400</v>
      </c>
      <c r="N39" s="2" t="s">
        <v>431</v>
      </c>
      <c r="O39" s="2" t="s">
        <v>491</v>
      </c>
      <c r="P39" s="2" t="s">
        <v>258</v>
      </c>
      <c r="Q39" s="2" t="s">
        <v>260</v>
      </c>
      <c r="R39" s="2" t="s">
        <v>403</v>
      </c>
      <c r="S39" s="2" t="s">
        <v>432</v>
      </c>
      <c r="T39" s="2" t="s">
        <v>405</v>
      </c>
      <c r="U39" s="2" t="s">
        <v>406</v>
      </c>
      <c r="V39" s="2" t="s">
        <v>407</v>
      </c>
      <c r="W39" s="2" t="s">
        <v>406</v>
      </c>
      <c r="X39" s="2" t="s">
        <v>590</v>
      </c>
      <c r="Y39" s="2" t="s">
        <v>409</v>
      </c>
    </row>
    <row r="40" customFormat="false" ht="87.75" hidden="false" customHeight="true" outlineLevel="0" collapsed="false">
      <c r="A40" s="2" t="s">
        <v>604</v>
      </c>
      <c r="B40" s="2" t="s">
        <v>227</v>
      </c>
      <c r="C40" s="2" t="s">
        <v>255</v>
      </c>
      <c r="D40" s="2" t="s">
        <v>256</v>
      </c>
      <c r="E40" s="2" t="s">
        <v>605</v>
      </c>
      <c r="F40" s="2" t="s">
        <v>606</v>
      </c>
      <c r="G40" s="2" t="s">
        <v>396</v>
      </c>
      <c r="H40" s="5" t="n">
        <v>2</v>
      </c>
      <c r="I40" s="2" t="s">
        <v>607</v>
      </c>
      <c r="J40" s="2" t="s">
        <v>608</v>
      </c>
      <c r="K40" s="2" t="s">
        <v>257</v>
      </c>
      <c r="L40" s="2" t="s">
        <v>415</v>
      </c>
      <c r="M40" s="2" t="s">
        <v>400</v>
      </c>
      <c r="N40" s="2" t="s">
        <v>401</v>
      </c>
      <c r="O40" s="2" t="s">
        <v>491</v>
      </c>
      <c r="P40" s="2" t="s">
        <v>258</v>
      </c>
      <c r="Q40" s="2" t="s">
        <v>260</v>
      </c>
      <c r="R40" s="2" t="s">
        <v>403</v>
      </c>
      <c r="S40" s="2" t="s">
        <v>404</v>
      </c>
      <c r="T40" s="2" t="s">
        <v>405</v>
      </c>
      <c r="U40" s="2" t="s">
        <v>406</v>
      </c>
      <c r="V40" s="2" t="s">
        <v>407</v>
      </c>
      <c r="W40" s="2" t="s">
        <v>406</v>
      </c>
      <c r="X40" s="2" t="s">
        <v>609</v>
      </c>
      <c r="Y40" s="2" t="s">
        <v>409</v>
      </c>
    </row>
    <row r="41" customFormat="false" ht="87.75" hidden="false" customHeight="true" outlineLevel="0" collapsed="false">
      <c r="A41" s="2" t="s">
        <v>610</v>
      </c>
      <c r="B41" s="2" t="s">
        <v>227</v>
      </c>
      <c r="C41" s="2" t="s">
        <v>255</v>
      </c>
      <c r="D41" s="2" t="s">
        <v>256</v>
      </c>
      <c r="E41" s="2" t="s">
        <v>611</v>
      </c>
      <c r="F41" s="2" t="s">
        <v>612</v>
      </c>
      <c r="G41" s="2" t="s">
        <v>429</v>
      </c>
      <c r="H41" s="5" t="n">
        <v>1</v>
      </c>
      <c r="I41" s="2" t="s">
        <v>613</v>
      </c>
      <c r="J41" s="2" t="s">
        <v>608</v>
      </c>
      <c r="K41" s="2" t="s">
        <v>257</v>
      </c>
      <c r="L41" s="2" t="s">
        <v>415</v>
      </c>
      <c r="M41" s="2" t="s">
        <v>400</v>
      </c>
      <c r="N41" s="2" t="s">
        <v>431</v>
      </c>
      <c r="O41" s="2" t="s">
        <v>491</v>
      </c>
      <c r="P41" s="2" t="s">
        <v>258</v>
      </c>
      <c r="Q41" s="2" t="s">
        <v>260</v>
      </c>
      <c r="R41" s="2" t="s">
        <v>403</v>
      </c>
      <c r="S41" s="2" t="s">
        <v>432</v>
      </c>
      <c r="T41" s="2" t="s">
        <v>405</v>
      </c>
      <c r="U41" s="2" t="s">
        <v>406</v>
      </c>
      <c r="V41" s="2" t="s">
        <v>407</v>
      </c>
      <c r="W41" s="2" t="s">
        <v>406</v>
      </c>
      <c r="X41" s="2" t="s">
        <v>590</v>
      </c>
      <c r="Y41" s="2" t="s">
        <v>409</v>
      </c>
    </row>
    <row r="42" customFormat="false" ht="87.75" hidden="false" customHeight="true" outlineLevel="0" collapsed="false">
      <c r="A42" s="3" t="s">
        <v>614</v>
      </c>
      <c r="B42" s="2" t="s">
        <v>227</v>
      </c>
      <c r="C42" s="2" t="s">
        <v>255</v>
      </c>
      <c r="D42" s="2" t="s">
        <v>256</v>
      </c>
      <c r="E42" s="2" t="s">
        <v>615</v>
      </c>
      <c r="F42" s="2" t="s">
        <v>616</v>
      </c>
      <c r="G42" s="2" t="s">
        <v>429</v>
      </c>
      <c r="H42" s="5" t="n">
        <v>2</v>
      </c>
      <c r="I42" s="2" t="s">
        <v>617</v>
      </c>
      <c r="J42" s="2" t="s">
        <v>608</v>
      </c>
      <c r="K42" s="2" t="s">
        <v>257</v>
      </c>
      <c r="L42" s="2" t="s">
        <v>399</v>
      </c>
      <c r="M42" s="2" t="s">
        <v>400</v>
      </c>
      <c r="N42" s="2" t="s">
        <v>431</v>
      </c>
      <c r="O42" s="2" t="s">
        <v>491</v>
      </c>
      <c r="P42" s="2" t="s">
        <v>258</v>
      </c>
      <c r="Q42" s="2" t="s">
        <v>260</v>
      </c>
      <c r="R42" s="2" t="s">
        <v>403</v>
      </c>
      <c r="S42" s="2" t="s">
        <v>432</v>
      </c>
      <c r="T42" s="2" t="s">
        <v>405</v>
      </c>
      <c r="U42" s="2" t="s">
        <v>406</v>
      </c>
      <c r="V42" s="2" t="s">
        <v>407</v>
      </c>
      <c r="W42" s="2" t="s">
        <v>502</v>
      </c>
      <c r="X42" s="2" t="s">
        <v>618</v>
      </c>
      <c r="Y42" s="3" t="s">
        <v>225</v>
      </c>
    </row>
    <row r="43" customFormat="false" ht="87.75" hidden="false" customHeight="true" outlineLevel="0" collapsed="false">
      <c r="A43" s="3" t="s">
        <v>619</v>
      </c>
      <c r="B43" s="2" t="s">
        <v>227</v>
      </c>
      <c r="C43" s="2" t="s">
        <v>255</v>
      </c>
      <c r="D43" s="2" t="s">
        <v>256</v>
      </c>
      <c r="E43" s="2" t="s">
        <v>620</v>
      </c>
      <c r="F43" s="2" t="s">
        <v>621</v>
      </c>
      <c r="G43" s="2" t="s">
        <v>429</v>
      </c>
      <c r="H43" s="5" t="n">
        <v>2</v>
      </c>
      <c r="I43" s="2" t="s">
        <v>622</v>
      </c>
      <c r="J43" s="2" t="s">
        <v>519</v>
      </c>
      <c r="K43" s="2" t="s">
        <v>257</v>
      </c>
      <c r="L43" s="2" t="s">
        <v>415</v>
      </c>
      <c r="M43" s="2" t="s">
        <v>400</v>
      </c>
      <c r="N43" s="2" t="s">
        <v>431</v>
      </c>
      <c r="O43" s="2" t="s">
        <v>491</v>
      </c>
      <c r="P43" s="2" t="s">
        <v>258</v>
      </c>
      <c r="Q43" s="2" t="s">
        <v>260</v>
      </c>
      <c r="R43" s="2" t="s">
        <v>403</v>
      </c>
      <c r="S43" s="2" t="s">
        <v>432</v>
      </c>
      <c r="T43" s="2" t="s">
        <v>405</v>
      </c>
      <c r="U43" s="2" t="s">
        <v>406</v>
      </c>
      <c r="V43" s="2" t="s">
        <v>407</v>
      </c>
      <c r="W43" s="2" t="s">
        <v>623</v>
      </c>
      <c r="X43" s="2" t="s">
        <v>624</v>
      </c>
      <c r="Y43" s="3" t="s">
        <v>225</v>
      </c>
    </row>
    <row r="44" customFormat="false" ht="87.75" hidden="false" customHeight="true" outlineLevel="0" collapsed="false">
      <c r="A44" s="3" t="s">
        <v>625</v>
      </c>
      <c r="B44" s="2" t="s">
        <v>227</v>
      </c>
      <c r="C44" s="2" t="s">
        <v>255</v>
      </c>
      <c r="D44" s="2" t="s">
        <v>256</v>
      </c>
      <c r="E44" s="2" t="s">
        <v>626</v>
      </c>
      <c r="F44" s="2" t="s">
        <v>627</v>
      </c>
      <c r="G44" s="2" t="s">
        <v>429</v>
      </c>
      <c r="H44" s="5" t="n">
        <v>1</v>
      </c>
      <c r="I44" s="2" t="s">
        <v>628</v>
      </c>
      <c r="J44" s="2" t="s">
        <v>608</v>
      </c>
      <c r="K44" s="2" t="s">
        <v>257</v>
      </c>
      <c r="L44" s="2" t="s">
        <v>415</v>
      </c>
      <c r="M44" s="2" t="s">
        <v>400</v>
      </c>
      <c r="N44" s="2" t="s">
        <v>431</v>
      </c>
      <c r="O44" s="2" t="s">
        <v>491</v>
      </c>
      <c r="P44" s="2" t="s">
        <v>258</v>
      </c>
      <c r="Q44" s="2" t="s">
        <v>260</v>
      </c>
      <c r="R44" s="2" t="s">
        <v>403</v>
      </c>
      <c r="S44" s="2" t="s">
        <v>432</v>
      </c>
      <c r="T44" s="2" t="s">
        <v>405</v>
      </c>
      <c r="U44" s="2" t="s">
        <v>406</v>
      </c>
      <c r="V44" s="2" t="s">
        <v>407</v>
      </c>
      <c r="W44" s="2" t="s">
        <v>502</v>
      </c>
      <c r="X44" s="2" t="s">
        <v>618</v>
      </c>
      <c r="Y44" s="3" t="s">
        <v>225</v>
      </c>
    </row>
    <row r="45" customFormat="false" ht="87.75" hidden="false" customHeight="true" outlineLevel="0" collapsed="false">
      <c r="A45" s="2" t="s">
        <v>629</v>
      </c>
      <c r="B45" s="2" t="s">
        <v>227</v>
      </c>
      <c r="C45" s="2" t="s">
        <v>262</v>
      </c>
      <c r="D45" s="2" t="s">
        <v>263</v>
      </c>
      <c r="E45" s="2" t="s">
        <v>630</v>
      </c>
      <c r="F45" s="2" t="s">
        <v>631</v>
      </c>
      <c r="G45" s="2" t="s">
        <v>396</v>
      </c>
      <c r="H45" s="5" t="n">
        <v>3</v>
      </c>
      <c r="I45" s="2" t="s">
        <v>632</v>
      </c>
      <c r="J45" s="2" t="s">
        <v>537</v>
      </c>
      <c r="K45" s="2" t="s">
        <v>264</v>
      </c>
      <c r="L45" s="2" t="s">
        <v>520</v>
      </c>
      <c r="M45" s="2" t="s">
        <v>400</v>
      </c>
      <c r="N45" s="2" t="s">
        <v>401</v>
      </c>
      <c r="O45" s="2" t="s">
        <v>402</v>
      </c>
      <c r="P45" s="2" t="s">
        <v>265</v>
      </c>
      <c r="Q45" s="2" t="s">
        <v>267</v>
      </c>
      <c r="R45" s="2" t="s">
        <v>403</v>
      </c>
      <c r="S45" s="2" t="s">
        <v>404</v>
      </c>
      <c r="T45" s="2" t="s">
        <v>405</v>
      </c>
      <c r="U45" s="2" t="s">
        <v>406</v>
      </c>
      <c r="V45" s="2" t="s">
        <v>407</v>
      </c>
      <c r="W45" s="2" t="s">
        <v>406</v>
      </c>
      <c r="X45" s="2" t="s">
        <v>633</v>
      </c>
      <c r="Y45" s="2" t="s">
        <v>409</v>
      </c>
    </row>
    <row r="46" customFormat="false" ht="87.75" hidden="false" customHeight="true" outlineLevel="0" collapsed="false">
      <c r="A46" s="6" t="s">
        <v>634</v>
      </c>
      <c r="B46" s="2" t="s">
        <v>227</v>
      </c>
      <c r="C46" s="2" t="s">
        <v>262</v>
      </c>
      <c r="D46" s="2" t="s">
        <v>263</v>
      </c>
      <c r="E46" s="2" t="s">
        <v>635</v>
      </c>
      <c r="F46" s="2" t="s">
        <v>636</v>
      </c>
      <c r="G46" s="2" t="s">
        <v>396</v>
      </c>
      <c r="H46" s="5" t="n">
        <v>3</v>
      </c>
      <c r="I46" s="2" t="s">
        <v>637</v>
      </c>
      <c r="J46" s="2" t="s">
        <v>638</v>
      </c>
      <c r="K46" s="2" t="s">
        <v>264</v>
      </c>
      <c r="L46" s="2" t="s">
        <v>399</v>
      </c>
      <c r="M46" s="2" t="s">
        <v>400</v>
      </c>
      <c r="N46" s="2" t="s">
        <v>401</v>
      </c>
      <c r="O46" s="2" t="s">
        <v>425</v>
      </c>
      <c r="P46" s="2" t="s">
        <v>265</v>
      </c>
      <c r="Q46" s="2" t="s">
        <v>267</v>
      </c>
      <c r="R46" s="2" t="s">
        <v>403</v>
      </c>
      <c r="S46" s="2" t="s">
        <v>404</v>
      </c>
      <c r="T46" s="2" t="s">
        <v>405</v>
      </c>
      <c r="U46" s="2" t="s">
        <v>406</v>
      </c>
      <c r="V46" s="2" t="s">
        <v>407</v>
      </c>
      <c r="W46" s="2" t="s">
        <v>448</v>
      </c>
      <c r="X46" s="2" t="s">
        <v>639</v>
      </c>
      <c r="Y46" s="6" t="s">
        <v>437</v>
      </c>
    </row>
    <row r="47" customFormat="false" ht="87.75" hidden="false" customHeight="true" outlineLevel="0" collapsed="false">
      <c r="A47" s="2" t="s">
        <v>640</v>
      </c>
      <c r="B47" s="2" t="s">
        <v>227</v>
      </c>
      <c r="C47" s="2" t="s">
        <v>262</v>
      </c>
      <c r="D47" s="2" t="s">
        <v>263</v>
      </c>
      <c r="E47" s="2" t="s">
        <v>641</v>
      </c>
      <c r="F47" s="2" t="s">
        <v>642</v>
      </c>
      <c r="G47" s="2" t="s">
        <v>396</v>
      </c>
      <c r="H47" s="5" t="n">
        <v>3</v>
      </c>
      <c r="I47" s="2" t="s">
        <v>643</v>
      </c>
      <c r="J47" s="2" t="s">
        <v>644</v>
      </c>
      <c r="K47" s="2" t="s">
        <v>264</v>
      </c>
      <c r="L47" s="2" t="s">
        <v>520</v>
      </c>
      <c r="M47" s="2" t="s">
        <v>400</v>
      </c>
      <c r="N47" s="2" t="s">
        <v>401</v>
      </c>
      <c r="O47" s="2" t="s">
        <v>402</v>
      </c>
      <c r="P47" s="2" t="s">
        <v>265</v>
      </c>
      <c r="Q47" s="2" t="s">
        <v>267</v>
      </c>
      <c r="R47" s="2" t="s">
        <v>403</v>
      </c>
      <c r="S47" s="2" t="s">
        <v>404</v>
      </c>
      <c r="T47" s="2" t="s">
        <v>405</v>
      </c>
      <c r="U47" s="2" t="s">
        <v>406</v>
      </c>
      <c r="V47" s="2" t="s">
        <v>407</v>
      </c>
      <c r="W47" s="2" t="s">
        <v>406</v>
      </c>
      <c r="X47" s="2" t="s">
        <v>633</v>
      </c>
      <c r="Y47" s="2" t="s">
        <v>409</v>
      </c>
    </row>
    <row r="48" customFormat="false" ht="87.75" hidden="false" customHeight="true" outlineLevel="0" collapsed="false">
      <c r="A48" s="2" t="s">
        <v>645</v>
      </c>
      <c r="B48" s="2" t="s">
        <v>227</v>
      </c>
      <c r="C48" s="2" t="s">
        <v>262</v>
      </c>
      <c r="D48" s="2" t="s">
        <v>263</v>
      </c>
      <c r="E48" s="2" t="s">
        <v>646</v>
      </c>
      <c r="F48" s="2" t="s">
        <v>647</v>
      </c>
      <c r="G48" s="2" t="s">
        <v>429</v>
      </c>
      <c r="H48" s="5" t="n">
        <v>2</v>
      </c>
      <c r="I48" s="2" t="s">
        <v>648</v>
      </c>
      <c r="J48" s="2" t="s">
        <v>644</v>
      </c>
      <c r="K48" s="2" t="s">
        <v>264</v>
      </c>
      <c r="L48" s="2" t="s">
        <v>543</v>
      </c>
      <c r="M48" s="2" t="s">
        <v>400</v>
      </c>
      <c r="N48" s="2" t="s">
        <v>431</v>
      </c>
      <c r="O48" s="2" t="s">
        <v>402</v>
      </c>
      <c r="P48" s="2" t="s">
        <v>265</v>
      </c>
      <c r="Q48" s="2" t="s">
        <v>267</v>
      </c>
      <c r="R48" s="2" t="s">
        <v>403</v>
      </c>
      <c r="S48" s="2" t="s">
        <v>432</v>
      </c>
      <c r="T48" s="2" t="s">
        <v>405</v>
      </c>
      <c r="U48" s="2" t="s">
        <v>406</v>
      </c>
      <c r="V48" s="2" t="s">
        <v>407</v>
      </c>
      <c r="W48" s="2" t="s">
        <v>406</v>
      </c>
      <c r="X48" s="2" t="s">
        <v>633</v>
      </c>
      <c r="Y48" s="2" t="s">
        <v>409</v>
      </c>
    </row>
    <row r="49" customFormat="false" ht="87.75" hidden="false" customHeight="true" outlineLevel="0" collapsed="false">
      <c r="A49" s="2" t="s">
        <v>649</v>
      </c>
      <c r="B49" s="2" t="s">
        <v>227</v>
      </c>
      <c r="C49" s="2" t="s">
        <v>262</v>
      </c>
      <c r="D49" s="2" t="s">
        <v>263</v>
      </c>
      <c r="E49" s="2" t="s">
        <v>650</v>
      </c>
      <c r="F49" s="2" t="s">
        <v>651</v>
      </c>
      <c r="G49" s="2" t="s">
        <v>429</v>
      </c>
      <c r="H49" s="5" t="n">
        <v>1</v>
      </c>
      <c r="I49" s="2" t="s">
        <v>652</v>
      </c>
      <c r="J49" s="2" t="s">
        <v>653</v>
      </c>
      <c r="K49" s="2" t="s">
        <v>264</v>
      </c>
      <c r="L49" s="2" t="s">
        <v>415</v>
      </c>
      <c r="M49" s="2" t="s">
        <v>400</v>
      </c>
      <c r="N49" s="2" t="s">
        <v>431</v>
      </c>
      <c r="O49" s="2" t="s">
        <v>491</v>
      </c>
      <c r="P49" s="2" t="s">
        <v>265</v>
      </c>
      <c r="Q49" s="2" t="s">
        <v>267</v>
      </c>
      <c r="R49" s="2" t="s">
        <v>403</v>
      </c>
      <c r="S49" s="2" t="s">
        <v>432</v>
      </c>
      <c r="T49" s="2" t="s">
        <v>405</v>
      </c>
      <c r="U49" s="2" t="s">
        <v>406</v>
      </c>
      <c r="V49" s="2" t="s">
        <v>407</v>
      </c>
      <c r="W49" s="2" t="s">
        <v>406</v>
      </c>
      <c r="X49" s="2" t="s">
        <v>633</v>
      </c>
      <c r="Y49" s="2" t="s">
        <v>409</v>
      </c>
    </row>
    <row r="50" customFormat="false" ht="87.75" hidden="false" customHeight="true" outlineLevel="0" collapsed="false">
      <c r="A50" s="2" t="s">
        <v>654</v>
      </c>
      <c r="B50" s="2" t="s">
        <v>227</v>
      </c>
      <c r="C50" s="2" t="s">
        <v>262</v>
      </c>
      <c r="D50" s="2" t="s">
        <v>263</v>
      </c>
      <c r="E50" s="2" t="s">
        <v>655</v>
      </c>
      <c r="F50" s="2" t="s">
        <v>656</v>
      </c>
      <c r="G50" s="2" t="s">
        <v>429</v>
      </c>
      <c r="H50" s="5" t="n">
        <v>1</v>
      </c>
      <c r="I50" s="2" t="s">
        <v>657</v>
      </c>
      <c r="J50" s="2" t="s">
        <v>490</v>
      </c>
      <c r="K50" s="2" t="s">
        <v>264</v>
      </c>
      <c r="L50" s="2" t="s">
        <v>415</v>
      </c>
      <c r="M50" s="2" t="s">
        <v>400</v>
      </c>
      <c r="N50" s="2" t="s">
        <v>431</v>
      </c>
      <c r="O50" s="2" t="s">
        <v>402</v>
      </c>
      <c r="P50" s="2" t="s">
        <v>265</v>
      </c>
      <c r="Q50" s="2" t="s">
        <v>267</v>
      </c>
      <c r="R50" s="2" t="s">
        <v>403</v>
      </c>
      <c r="S50" s="2" t="s">
        <v>432</v>
      </c>
      <c r="T50" s="2" t="s">
        <v>405</v>
      </c>
      <c r="U50" s="2" t="s">
        <v>406</v>
      </c>
      <c r="V50" s="2" t="s">
        <v>407</v>
      </c>
      <c r="W50" s="2" t="s">
        <v>406</v>
      </c>
      <c r="X50" s="2" t="s">
        <v>633</v>
      </c>
      <c r="Y50" s="2" t="s">
        <v>409</v>
      </c>
    </row>
    <row r="51" customFormat="false" ht="87.75" hidden="false" customHeight="true" outlineLevel="0" collapsed="false">
      <c r="A51" s="3" t="s">
        <v>658</v>
      </c>
      <c r="B51" s="2" t="s">
        <v>227</v>
      </c>
      <c r="C51" s="2" t="s">
        <v>262</v>
      </c>
      <c r="D51" s="2" t="s">
        <v>263</v>
      </c>
      <c r="E51" s="2" t="s">
        <v>659</v>
      </c>
      <c r="F51" s="2" t="s">
        <v>660</v>
      </c>
      <c r="G51" s="2" t="s">
        <v>396</v>
      </c>
      <c r="H51" s="5" t="n">
        <v>2</v>
      </c>
      <c r="I51" s="2" t="s">
        <v>661</v>
      </c>
      <c r="J51" s="2" t="s">
        <v>662</v>
      </c>
      <c r="K51" s="2" t="s">
        <v>264</v>
      </c>
      <c r="L51" s="2" t="s">
        <v>415</v>
      </c>
      <c r="M51" s="2" t="s">
        <v>400</v>
      </c>
      <c r="N51" s="2" t="s">
        <v>447</v>
      </c>
      <c r="O51" s="2" t="s">
        <v>425</v>
      </c>
      <c r="P51" s="2" t="s">
        <v>265</v>
      </c>
      <c r="Q51" s="2" t="s">
        <v>267</v>
      </c>
      <c r="R51" s="2" t="s">
        <v>403</v>
      </c>
      <c r="S51" s="2" t="s">
        <v>404</v>
      </c>
      <c r="T51" s="2" t="s">
        <v>405</v>
      </c>
      <c r="U51" s="2" t="s">
        <v>406</v>
      </c>
      <c r="V51" s="2" t="s">
        <v>407</v>
      </c>
      <c r="W51" s="2" t="s">
        <v>448</v>
      </c>
      <c r="X51" s="2" t="s">
        <v>639</v>
      </c>
      <c r="Y51" s="3" t="s">
        <v>225</v>
      </c>
    </row>
    <row r="52" customFormat="false" ht="87.75" hidden="false" customHeight="true" outlineLevel="0" collapsed="false">
      <c r="A52" s="2" t="s">
        <v>663</v>
      </c>
      <c r="B52" s="2" t="s">
        <v>227</v>
      </c>
      <c r="C52" s="2" t="s">
        <v>269</v>
      </c>
      <c r="D52" s="2" t="s">
        <v>270</v>
      </c>
      <c r="E52" s="2" t="s">
        <v>664</v>
      </c>
      <c r="F52" s="2" t="s">
        <v>665</v>
      </c>
      <c r="G52" s="2" t="s">
        <v>396</v>
      </c>
      <c r="H52" s="5" t="n">
        <v>2</v>
      </c>
      <c r="I52" s="2" t="s">
        <v>666</v>
      </c>
      <c r="J52" s="2" t="s">
        <v>478</v>
      </c>
      <c r="K52" s="2" t="s">
        <v>244</v>
      </c>
      <c r="L52" s="2" t="s">
        <v>543</v>
      </c>
      <c r="M52" s="2" t="s">
        <v>400</v>
      </c>
      <c r="N52" s="2" t="s">
        <v>401</v>
      </c>
      <c r="O52" s="2" t="s">
        <v>479</v>
      </c>
      <c r="P52" s="2" t="s">
        <v>245</v>
      </c>
      <c r="Q52" s="2" t="s">
        <v>272</v>
      </c>
      <c r="R52" s="2" t="s">
        <v>403</v>
      </c>
      <c r="S52" s="2" t="s">
        <v>404</v>
      </c>
      <c r="T52" s="2" t="s">
        <v>405</v>
      </c>
      <c r="U52" s="2" t="s">
        <v>406</v>
      </c>
      <c r="V52" s="2" t="s">
        <v>407</v>
      </c>
      <c r="W52" s="2" t="s">
        <v>406</v>
      </c>
      <c r="X52" s="2" t="s">
        <v>667</v>
      </c>
      <c r="Y52" s="2" t="s">
        <v>409</v>
      </c>
    </row>
    <row r="53" customFormat="false" ht="87.75" hidden="false" customHeight="true" outlineLevel="0" collapsed="false">
      <c r="A53" s="2" t="s">
        <v>668</v>
      </c>
      <c r="B53" s="2" t="s">
        <v>227</v>
      </c>
      <c r="C53" s="2" t="s">
        <v>269</v>
      </c>
      <c r="D53" s="2" t="s">
        <v>270</v>
      </c>
      <c r="E53" s="2" t="s">
        <v>669</v>
      </c>
      <c r="F53" s="2" t="s">
        <v>670</v>
      </c>
      <c r="G53" s="2" t="s">
        <v>396</v>
      </c>
      <c r="H53" s="5" t="n">
        <v>2</v>
      </c>
      <c r="I53" s="2" t="s">
        <v>671</v>
      </c>
      <c r="J53" s="2" t="s">
        <v>490</v>
      </c>
      <c r="K53" s="2" t="s">
        <v>244</v>
      </c>
      <c r="L53" s="2" t="s">
        <v>561</v>
      </c>
      <c r="M53" s="2" t="s">
        <v>400</v>
      </c>
      <c r="N53" s="2" t="s">
        <v>401</v>
      </c>
      <c r="O53" s="2" t="s">
        <v>479</v>
      </c>
      <c r="P53" s="2" t="s">
        <v>245</v>
      </c>
      <c r="Q53" s="2" t="s">
        <v>272</v>
      </c>
      <c r="R53" s="2" t="s">
        <v>403</v>
      </c>
      <c r="S53" s="2" t="s">
        <v>404</v>
      </c>
      <c r="T53" s="2" t="s">
        <v>405</v>
      </c>
      <c r="U53" s="2" t="s">
        <v>406</v>
      </c>
      <c r="V53" s="2" t="s">
        <v>407</v>
      </c>
      <c r="W53" s="2" t="s">
        <v>406</v>
      </c>
      <c r="X53" s="2" t="s">
        <v>667</v>
      </c>
      <c r="Y53" s="2" t="s">
        <v>409</v>
      </c>
    </row>
    <row r="54" customFormat="false" ht="87.75" hidden="false" customHeight="true" outlineLevel="0" collapsed="false">
      <c r="A54" s="2" t="s">
        <v>672</v>
      </c>
      <c r="B54" s="2" t="s">
        <v>227</v>
      </c>
      <c r="C54" s="2" t="s">
        <v>269</v>
      </c>
      <c r="D54" s="2" t="s">
        <v>270</v>
      </c>
      <c r="E54" s="2" t="s">
        <v>673</v>
      </c>
      <c r="F54" s="2" t="s">
        <v>674</v>
      </c>
      <c r="G54" s="2" t="s">
        <v>429</v>
      </c>
      <c r="H54" s="5" t="n">
        <v>2</v>
      </c>
      <c r="I54" s="2" t="s">
        <v>675</v>
      </c>
      <c r="J54" s="2" t="s">
        <v>490</v>
      </c>
      <c r="K54" s="2" t="s">
        <v>244</v>
      </c>
      <c r="L54" s="2" t="s">
        <v>543</v>
      </c>
      <c r="M54" s="2" t="s">
        <v>400</v>
      </c>
      <c r="N54" s="2" t="s">
        <v>431</v>
      </c>
      <c r="O54" s="2" t="s">
        <v>402</v>
      </c>
      <c r="P54" s="2" t="s">
        <v>245</v>
      </c>
      <c r="Q54" s="2" t="s">
        <v>272</v>
      </c>
      <c r="R54" s="2" t="s">
        <v>403</v>
      </c>
      <c r="S54" s="2" t="s">
        <v>432</v>
      </c>
      <c r="T54" s="2" t="s">
        <v>405</v>
      </c>
      <c r="U54" s="2" t="s">
        <v>406</v>
      </c>
      <c r="V54" s="2" t="s">
        <v>407</v>
      </c>
      <c r="W54" s="2" t="s">
        <v>406</v>
      </c>
      <c r="X54" s="2" t="s">
        <v>667</v>
      </c>
      <c r="Y54" s="2" t="s">
        <v>409</v>
      </c>
    </row>
    <row r="55" customFormat="false" ht="87.75" hidden="false" customHeight="true" outlineLevel="0" collapsed="false">
      <c r="A55" s="2" t="s">
        <v>676</v>
      </c>
      <c r="B55" s="2" t="s">
        <v>227</v>
      </c>
      <c r="C55" s="2" t="s">
        <v>269</v>
      </c>
      <c r="D55" s="2" t="s">
        <v>270</v>
      </c>
      <c r="E55" s="2" t="s">
        <v>677</v>
      </c>
      <c r="F55" s="2" t="s">
        <v>678</v>
      </c>
      <c r="G55" s="2" t="s">
        <v>396</v>
      </c>
      <c r="H55" s="5" t="n">
        <v>3</v>
      </c>
      <c r="I55" s="2" t="s">
        <v>679</v>
      </c>
      <c r="J55" s="2" t="s">
        <v>680</v>
      </c>
      <c r="K55" s="2" t="s">
        <v>244</v>
      </c>
      <c r="L55" s="2" t="s">
        <v>520</v>
      </c>
      <c r="M55" s="2" t="s">
        <v>400</v>
      </c>
      <c r="N55" s="2" t="s">
        <v>401</v>
      </c>
      <c r="O55" s="2" t="s">
        <v>402</v>
      </c>
      <c r="P55" s="2" t="s">
        <v>245</v>
      </c>
      <c r="Q55" s="2" t="s">
        <v>272</v>
      </c>
      <c r="R55" s="2" t="s">
        <v>403</v>
      </c>
      <c r="S55" s="2" t="s">
        <v>404</v>
      </c>
      <c r="T55" s="2" t="s">
        <v>405</v>
      </c>
      <c r="U55" s="2" t="s">
        <v>406</v>
      </c>
      <c r="V55" s="2" t="s">
        <v>407</v>
      </c>
      <c r="W55" s="2" t="s">
        <v>406</v>
      </c>
      <c r="X55" s="2" t="s">
        <v>667</v>
      </c>
      <c r="Y55" s="2" t="s">
        <v>409</v>
      </c>
    </row>
    <row r="56" customFormat="false" ht="87.75" hidden="false" customHeight="true" outlineLevel="0" collapsed="false">
      <c r="A56" s="2" t="s">
        <v>681</v>
      </c>
      <c r="B56" s="2" t="s">
        <v>227</v>
      </c>
      <c r="C56" s="2" t="s">
        <v>269</v>
      </c>
      <c r="D56" s="2" t="s">
        <v>270</v>
      </c>
      <c r="E56" s="2" t="s">
        <v>682</v>
      </c>
      <c r="F56" s="2" t="s">
        <v>683</v>
      </c>
      <c r="G56" s="2" t="s">
        <v>396</v>
      </c>
      <c r="H56" s="5" t="n">
        <v>2</v>
      </c>
      <c r="I56" s="2" t="s">
        <v>684</v>
      </c>
      <c r="J56" s="2" t="s">
        <v>685</v>
      </c>
      <c r="K56" s="2" t="s">
        <v>244</v>
      </c>
      <c r="L56" s="2" t="s">
        <v>520</v>
      </c>
      <c r="M56" s="2" t="s">
        <v>400</v>
      </c>
      <c r="N56" s="2" t="s">
        <v>401</v>
      </c>
      <c r="O56" s="2" t="s">
        <v>686</v>
      </c>
      <c r="P56" s="2" t="s">
        <v>245</v>
      </c>
      <c r="Q56" s="2" t="s">
        <v>272</v>
      </c>
      <c r="R56" s="2" t="s">
        <v>403</v>
      </c>
      <c r="S56" s="2" t="s">
        <v>404</v>
      </c>
      <c r="T56" s="2" t="s">
        <v>405</v>
      </c>
      <c r="U56" s="2" t="s">
        <v>406</v>
      </c>
      <c r="V56" s="2" t="s">
        <v>407</v>
      </c>
      <c r="W56" s="2" t="s">
        <v>406</v>
      </c>
      <c r="X56" s="2" t="s">
        <v>687</v>
      </c>
      <c r="Y56" s="2" t="s">
        <v>409</v>
      </c>
    </row>
    <row r="57" customFormat="false" ht="87.75" hidden="false" customHeight="true" outlineLevel="0" collapsed="false">
      <c r="A57" s="6" t="s">
        <v>688</v>
      </c>
      <c r="B57" s="2" t="s">
        <v>227</v>
      </c>
      <c r="C57" s="2" t="s">
        <v>269</v>
      </c>
      <c r="D57" s="2" t="s">
        <v>270</v>
      </c>
      <c r="E57" s="2" t="s">
        <v>689</v>
      </c>
      <c r="F57" s="2" t="s">
        <v>690</v>
      </c>
      <c r="G57" s="2" t="s">
        <v>396</v>
      </c>
      <c r="H57" s="5" t="n">
        <v>2</v>
      </c>
      <c r="I57" s="2" t="s">
        <v>691</v>
      </c>
      <c r="J57" s="2" t="s">
        <v>692</v>
      </c>
      <c r="K57" s="2" t="s">
        <v>244</v>
      </c>
      <c r="L57" s="2" t="s">
        <v>543</v>
      </c>
      <c r="M57" s="2" t="s">
        <v>400</v>
      </c>
      <c r="N57" s="2" t="s">
        <v>401</v>
      </c>
      <c r="O57" s="2" t="s">
        <v>402</v>
      </c>
      <c r="P57" s="2" t="s">
        <v>245</v>
      </c>
      <c r="Q57" s="2" t="s">
        <v>272</v>
      </c>
      <c r="R57" s="2" t="s">
        <v>403</v>
      </c>
      <c r="S57" s="2" t="s">
        <v>404</v>
      </c>
      <c r="T57" s="2" t="s">
        <v>405</v>
      </c>
      <c r="U57" s="2" t="s">
        <v>406</v>
      </c>
      <c r="V57" s="2" t="s">
        <v>407</v>
      </c>
      <c r="W57" s="2" t="s">
        <v>623</v>
      </c>
      <c r="X57" s="2" t="s">
        <v>693</v>
      </c>
      <c r="Y57" s="6" t="s">
        <v>437</v>
      </c>
    </row>
    <row r="58" customFormat="false" ht="87.75" hidden="false" customHeight="true" outlineLevel="0" collapsed="false">
      <c r="A58" s="2" t="s">
        <v>694</v>
      </c>
      <c r="B58" s="2" t="s">
        <v>227</v>
      </c>
      <c r="C58" s="2" t="s">
        <v>269</v>
      </c>
      <c r="D58" s="2" t="s">
        <v>270</v>
      </c>
      <c r="E58" s="2" t="s">
        <v>695</v>
      </c>
      <c r="F58" s="2" t="s">
        <v>696</v>
      </c>
      <c r="G58" s="2" t="s">
        <v>429</v>
      </c>
      <c r="H58" s="5" t="n">
        <v>1</v>
      </c>
      <c r="I58" s="2" t="s">
        <v>697</v>
      </c>
      <c r="J58" s="2" t="s">
        <v>490</v>
      </c>
      <c r="K58" s="2" t="s">
        <v>244</v>
      </c>
      <c r="L58" s="2" t="s">
        <v>561</v>
      </c>
      <c r="M58" s="2" t="s">
        <v>400</v>
      </c>
      <c r="N58" s="2" t="s">
        <v>431</v>
      </c>
      <c r="O58" s="2" t="s">
        <v>479</v>
      </c>
      <c r="P58" s="2" t="s">
        <v>245</v>
      </c>
      <c r="Q58" s="2" t="s">
        <v>272</v>
      </c>
      <c r="R58" s="2" t="s">
        <v>403</v>
      </c>
      <c r="S58" s="2" t="s">
        <v>432</v>
      </c>
      <c r="T58" s="2" t="s">
        <v>405</v>
      </c>
      <c r="U58" s="2" t="s">
        <v>406</v>
      </c>
      <c r="V58" s="2" t="s">
        <v>407</v>
      </c>
      <c r="W58" s="2" t="s">
        <v>406</v>
      </c>
      <c r="X58" s="2" t="s">
        <v>667</v>
      </c>
      <c r="Y58" s="2" t="s">
        <v>409</v>
      </c>
    </row>
    <row r="59" customFormat="false" ht="87.75" hidden="false" customHeight="true" outlineLevel="0" collapsed="false">
      <c r="A59" s="3" t="s">
        <v>698</v>
      </c>
      <c r="B59" s="2" t="s">
        <v>227</v>
      </c>
      <c r="C59" s="2" t="s">
        <v>269</v>
      </c>
      <c r="D59" s="2" t="s">
        <v>270</v>
      </c>
      <c r="E59" s="2" t="s">
        <v>699</v>
      </c>
      <c r="F59" s="2" t="s">
        <v>700</v>
      </c>
      <c r="G59" s="2" t="s">
        <v>429</v>
      </c>
      <c r="H59" s="5" t="n">
        <v>1</v>
      </c>
      <c r="I59" s="2" t="s">
        <v>701</v>
      </c>
      <c r="J59" s="2" t="s">
        <v>490</v>
      </c>
      <c r="K59" s="2" t="s">
        <v>244</v>
      </c>
      <c r="L59" s="2" t="s">
        <v>415</v>
      </c>
      <c r="M59" s="2" t="s">
        <v>400</v>
      </c>
      <c r="N59" s="2" t="s">
        <v>431</v>
      </c>
      <c r="O59" s="2" t="s">
        <v>479</v>
      </c>
      <c r="P59" s="2" t="s">
        <v>245</v>
      </c>
      <c r="Q59" s="2" t="s">
        <v>272</v>
      </c>
      <c r="R59" s="2" t="s">
        <v>403</v>
      </c>
      <c r="S59" s="2" t="s">
        <v>432</v>
      </c>
      <c r="T59" s="2" t="s">
        <v>405</v>
      </c>
      <c r="U59" s="2" t="s">
        <v>406</v>
      </c>
      <c r="V59" s="2" t="s">
        <v>407</v>
      </c>
      <c r="W59" s="2" t="s">
        <v>502</v>
      </c>
      <c r="X59" s="2" t="s">
        <v>702</v>
      </c>
      <c r="Y59" s="3" t="s">
        <v>225</v>
      </c>
    </row>
    <row r="60" customFormat="false" ht="87.75" hidden="false" customHeight="true" outlineLevel="0" collapsed="false">
      <c r="A60" s="3" t="s">
        <v>703</v>
      </c>
      <c r="B60" s="2" t="s">
        <v>227</v>
      </c>
      <c r="C60" s="2" t="s">
        <v>269</v>
      </c>
      <c r="D60" s="2" t="s">
        <v>270</v>
      </c>
      <c r="E60" s="2" t="s">
        <v>704</v>
      </c>
      <c r="F60" s="2" t="s">
        <v>705</v>
      </c>
      <c r="G60" s="2" t="s">
        <v>429</v>
      </c>
      <c r="H60" s="5" t="n">
        <v>2</v>
      </c>
      <c r="I60" s="2" t="s">
        <v>706</v>
      </c>
      <c r="J60" s="2" t="s">
        <v>680</v>
      </c>
      <c r="K60" s="2" t="s">
        <v>244</v>
      </c>
      <c r="L60" s="2" t="s">
        <v>543</v>
      </c>
      <c r="M60" s="2" t="s">
        <v>400</v>
      </c>
      <c r="N60" s="2" t="s">
        <v>431</v>
      </c>
      <c r="O60" s="2" t="s">
        <v>425</v>
      </c>
      <c r="P60" s="2" t="s">
        <v>245</v>
      </c>
      <c r="Q60" s="2" t="s">
        <v>272</v>
      </c>
      <c r="R60" s="2" t="s">
        <v>403</v>
      </c>
      <c r="S60" s="2" t="s">
        <v>432</v>
      </c>
      <c r="T60" s="2" t="s">
        <v>405</v>
      </c>
      <c r="U60" s="2" t="s">
        <v>406</v>
      </c>
      <c r="V60" s="2" t="s">
        <v>407</v>
      </c>
      <c r="W60" s="2" t="s">
        <v>502</v>
      </c>
      <c r="X60" s="2" t="s">
        <v>702</v>
      </c>
      <c r="Y60" s="3" t="s">
        <v>225</v>
      </c>
    </row>
    <row r="61" customFormat="false" ht="87.75" hidden="false" customHeight="true" outlineLevel="0" collapsed="false">
      <c r="A61" s="2" t="s">
        <v>707</v>
      </c>
      <c r="B61" s="2" t="s">
        <v>227</v>
      </c>
      <c r="C61" s="2" t="s">
        <v>274</v>
      </c>
      <c r="D61" s="2" t="s">
        <v>275</v>
      </c>
      <c r="E61" s="2" t="s">
        <v>708</v>
      </c>
      <c r="F61" s="2" t="s">
        <v>709</v>
      </c>
      <c r="G61" s="2" t="s">
        <v>396</v>
      </c>
      <c r="H61" s="5" t="n">
        <v>3</v>
      </c>
      <c r="I61" s="2" t="s">
        <v>710</v>
      </c>
      <c r="J61" s="2" t="s">
        <v>711</v>
      </c>
      <c r="K61" s="2" t="s">
        <v>276</v>
      </c>
      <c r="L61" s="2" t="s">
        <v>399</v>
      </c>
      <c r="M61" s="2" t="s">
        <v>400</v>
      </c>
      <c r="N61" s="2" t="s">
        <v>401</v>
      </c>
      <c r="O61" s="2" t="s">
        <v>454</v>
      </c>
      <c r="P61" s="2" t="s">
        <v>277</v>
      </c>
      <c r="Q61" s="2" t="s">
        <v>279</v>
      </c>
      <c r="R61" s="2" t="s">
        <v>403</v>
      </c>
      <c r="S61" s="2" t="s">
        <v>404</v>
      </c>
      <c r="T61" s="2" t="s">
        <v>405</v>
      </c>
      <c r="U61" s="2" t="s">
        <v>406</v>
      </c>
      <c r="V61" s="2" t="s">
        <v>407</v>
      </c>
      <c r="W61" s="2" t="s">
        <v>406</v>
      </c>
      <c r="X61" s="2" t="s">
        <v>712</v>
      </c>
      <c r="Y61" s="2" t="s">
        <v>409</v>
      </c>
    </row>
    <row r="62" customFormat="false" ht="87.75" hidden="false" customHeight="true" outlineLevel="0" collapsed="false">
      <c r="A62" s="2" t="s">
        <v>713</v>
      </c>
      <c r="B62" s="2" t="s">
        <v>227</v>
      </c>
      <c r="C62" s="2" t="s">
        <v>274</v>
      </c>
      <c r="D62" s="2" t="s">
        <v>275</v>
      </c>
      <c r="E62" s="2" t="s">
        <v>714</v>
      </c>
      <c r="F62" s="2" t="s">
        <v>715</v>
      </c>
      <c r="G62" s="2" t="s">
        <v>396</v>
      </c>
      <c r="H62" s="5" t="n">
        <v>3</v>
      </c>
      <c r="I62" s="2" t="s">
        <v>716</v>
      </c>
      <c r="J62" s="2" t="s">
        <v>644</v>
      </c>
      <c r="K62" s="2" t="s">
        <v>276</v>
      </c>
      <c r="L62" s="2" t="s">
        <v>399</v>
      </c>
      <c r="M62" s="2" t="s">
        <v>400</v>
      </c>
      <c r="N62" s="2" t="s">
        <v>401</v>
      </c>
      <c r="O62" s="2" t="s">
        <v>402</v>
      </c>
      <c r="P62" s="2" t="s">
        <v>277</v>
      </c>
      <c r="Q62" s="2" t="s">
        <v>279</v>
      </c>
      <c r="R62" s="2" t="s">
        <v>403</v>
      </c>
      <c r="S62" s="2" t="s">
        <v>404</v>
      </c>
      <c r="T62" s="2" t="s">
        <v>405</v>
      </c>
      <c r="U62" s="2" t="s">
        <v>406</v>
      </c>
      <c r="V62" s="2" t="s">
        <v>407</v>
      </c>
      <c r="W62" s="2" t="s">
        <v>406</v>
      </c>
      <c r="X62" s="2" t="s">
        <v>712</v>
      </c>
      <c r="Y62" s="2" t="s">
        <v>409</v>
      </c>
    </row>
    <row r="63" customFormat="false" ht="87.75" hidden="false" customHeight="true" outlineLevel="0" collapsed="false">
      <c r="A63" s="2" t="s">
        <v>717</v>
      </c>
      <c r="B63" s="2" t="s">
        <v>227</v>
      </c>
      <c r="C63" s="2" t="s">
        <v>274</v>
      </c>
      <c r="D63" s="2" t="s">
        <v>275</v>
      </c>
      <c r="E63" s="2" t="s">
        <v>718</v>
      </c>
      <c r="F63" s="2" t="s">
        <v>719</v>
      </c>
      <c r="G63" s="2" t="s">
        <v>396</v>
      </c>
      <c r="H63" s="5" t="n">
        <v>2</v>
      </c>
      <c r="I63" s="2" t="s">
        <v>720</v>
      </c>
      <c r="J63" s="2" t="s">
        <v>680</v>
      </c>
      <c r="K63" s="2" t="s">
        <v>276</v>
      </c>
      <c r="L63" s="2" t="s">
        <v>520</v>
      </c>
      <c r="M63" s="2" t="s">
        <v>400</v>
      </c>
      <c r="N63" s="2" t="s">
        <v>401</v>
      </c>
      <c r="O63" s="2" t="s">
        <v>686</v>
      </c>
      <c r="P63" s="2" t="s">
        <v>277</v>
      </c>
      <c r="Q63" s="2" t="s">
        <v>279</v>
      </c>
      <c r="R63" s="2" t="s">
        <v>403</v>
      </c>
      <c r="S63" s="2" t="s">
        <v>404</v>
      </c>
      <c r="T63" s="2" t="s">
        <v>405</v>
      </c>
      <c r="U63" s="2" t="s">
        <v>406</v>
      </c>
      <c r="V63" s="2" t="s">
        <v>407</v>
      </c>
      <c r="W63" s="2" t="s">
        <v>406</v>
      </c>
      <c r="X63" s="2" t="s">
        <v>721</v>
      </c>
      <c r="Y63" s="2" t="s">
        <v>409</v>
      </c>
    </row>
    <row r="64" customFormat="false" ht="87.75" hidden="false" customHeight="true" outlineLevel="0" collapsed="false">
      <c r="A64" s="2" t="s">
        <v>722</v>
      </c>
      <c r="B64" s="2" t="s">
        <v>227</v>
      </c>
      <c r="C64" s="2" t="s">
        <v>274</v>
      </c>
      <c r="D64" s="2" t="s">
        <v>275</v>
      </c>
      <c r="E64" s="2" t="s">
        <v>723</v>
      </c>
      <c r="F64" s="2" t="s">
        <v>724</v>
      </c>
      <c r="G64" s="2" t="s">
        <v>429</v>
      </c>
      <c r="H64" s="5" t="n">
        <v>2</v>
      </c>
      <c r="I64" s="2" t="s">
        <v>725</v>
      </c>
      <c r="J64" s="2" t="s">
        <v>362</v>
      </c>
      <c r="K64" s="2" t="s">
        <v>276</v>
      </c>
      <c r="L64" s="2" t="s">
        <v>520</v>
      </c>
      <c r="M64" s="2" t="s">
        <v>400</v>
      </c>
      <c r="N64" s="2" t="s">
        <v>431</v>
      </c>
      <c r="O64" s="2" t="s">
        <v>425</v>
      </c>
      <c r="P64" s="2" t="s">
        <v>277</v>
      </c>
      <c r="Q64" s="2" t="s">
        <v>279</v>
      </c>
      <c r="R64" s="2" t="s">
        <v>403</v>
      </c>
      <c r="S64" s="2" t="s">
        <v>432</v>
      </c>
      <c r="T64" s="2" t="s">
        <v>405</v>
      </c>
      <c r="U64" s="2" t="s">
        <v>406</v>
      </c>
      <c r="V64" s="2" t="s">
        <v>407</v>
      </c>
      <c r="W64" s="2" t="s">
        <v>406</v>
      </c>
      <c r="X64" s="2" t="s">
        <v>712</v>
      </c>
      <c r="Y64" s="2" t="s">
        <v>409</v>
      </c>
    </row>
    <row r="65" customFormat="false" ht="87.75" hidden="false" customHeight="true" outlineLevel="0" collapsed="false">
      <c r="A65" s="2" t="s">
        <v>726</v>
      </c>
      <c r="B65" s="2" t="s">
        <v>227</v>
      </c>
      <c r="C65" s="2" t="s">
        <v>274</v>
      </c>
      <c r="D65" s="2" t="s">
        <v>275</v>
      </c>
      <c r="E65" s="2" t="s">
        <v>727</v>
      </c>
      <c r="F65" s="2" t="s">
        <v>728</v>
      </c>
      <c r="G65" s="2" t="s">
        <v>396</v>
      </c>
      <c r="H65" s="5" t="n">
        <v>2</v>
      </c>
      <c r="I65" s="2" t="s">
        <v>729</v>
      </c>
      <c r="J65" s="2" t="s">
        <v>362</v>
      </c>
      <c r="K65" s="2" t="s">
        <v>276</v>
      </c>
      <c r="L65" s="2" t="s">
        <v>415</v>
      </c>
      <c r="M65" s="2" t="s">
        <v>400</v>
      </c>
      <c r="N65" s="2" t="s">
        <v>401</v>
      </c>
      <c r="O65" s="2" t="s">
        <v>454</v>
      </c>
      <c r="P65" s="2" t="s">
        <v>277</v>
      </c>
      <c r="Q65" s="2" t="s">
        <v>279</v>
      </c>
      <c r="R65" s="2" t="s">
        <v>403</v>
      </c>
      <c r="S65" s="2" t="s">
        <v>404</v>
      </c>
      <c r="T65" s="2" t="s">
        <v>405</v>
      </c>
      <c r="U65" s="2" t="s">
        <v>406</v>
      </c>
      <c r="V65" s="2" t="s">
        <v>407</v>
      </c>
      <c r="W65" s="2" t="s">
        <v>406</v>
      </c>
      <c r="X65" s="2" t="s">
        <v>712</v>
      </c>
      <c r="Y65" s="2" t="s">
        <v>409</v>
      </c>
    </row>
    <row r="66" customFormat="false" ht="87.75" hidden="false" customHeight="true" outlineLevel="0" collapsed="false">
      <c r="A66" s="6" t="s">
        <v>730</v>
      </c>
      <c r="B66" s="2" t="s">
        <v>227</v>
      </c>
      <c r="C66" s="2" t="s">
        <v>274</v>
      </c>
      <c r="D66" s="2" t="s">
        <v>275</v>
      </c>
      <c r="E66" s="2" t="s">
        <v>731</v>
      </c>
      <c r="F66" s="2" t="s">
        <v>732</v>
      </c>
      <c r="G66" s="2" t="s">
        <v>396</v>
      </c>
      <c r="H66" s="5" t="n">
        <v>3</v>
      </c>
      <c r="I66" s="2" t="s">
        <v>733</v>
      </c>
      <c r="J66" s="2" t="s">
        <v>734</v>
      </c>
      <c r="K66" s="2" t="s">
        <v>276</v>
      </c>
      <c r="L66" s="2" t="s">
        <v>399</v>
      </c>
      <c r="M66" s="2" t="s">
        <v>400</v>
      </c>
      <c r="N66" s="2" t="s">
        <v>401</v>
      </c>
      <c r="O66" s="2" t="s">
        <v>402</v>
      </c>
      <c r="P66" s="2" t="s">
        <v>277</v>
      </c>
      <c r="Q66" s="2" t="s">
        <v>279</v>
      </c>
      <c r="R66" s="2" t="s">
        <v>403</v>
      </c>
      <c r="S66" s="2" t="s">
        <v>404</v>
      </c>
      <c r="T66" s="2" t="s">
        <v>405</v>
      </c>
      <c r="U66" s="2" t="s">
        <v>406</v>
      </c>
      <c r="V66" s="2" t="s">
        <v>407</v>
      </c>
      <c r="W66" s="2" t="s">
        <v>448</v>
      </c>
      <c r="X66" s="2" t="s">
        <v>735</v>
      </c>
      <c r="Y66" s="6" t="s">
        <v>437</v>
      </c>
    </row>
    <row r="67" customFormat="false" ht="87.75" hidden="false" customHeight="true" outlineLevel="0" collapsed="false">
      <c r="A67" s="2" t="s">
        <v>736</v>
      </c>
      <c r="B67" s="2" t="s">
        <v>227</v>
      </c>
      <c r="C67" s="2" t="s">
        <v>274</v>
      </c>
      <c r="D67" s="2" t="s">
        <v>275</v>
      </c>
      <c r="E67" s="2" t="s">
        <v>737</v>
      </c>
      <c r="F67" s="2" t="s">
        <v>738</v>
      </c>
      <c r="G67" s="2" t="s">
        <v>396</v>
      </c>
      <c r="H67" s="5" t="n">
        <v>2</v>
      </c>
      <c r="I67" s="2" t="s">
        <v>739</v>
      </c>
      <c r="J67" s="2" t="s">
        <v>644</v>
      </c>
      <c r="K67" s="2" t="s">
        <v>276</v>
      </c>
      <c r="L67" s="2" t="s">
        <v>415</v>
      </c>
      <c r="M67" s="2" t="s">
        <v>400</v>
      </c>
      <c r="N67" s="2" t="s">
        <v>401</v>
      </c>
      <c r="O67" s="2" t="s">
        <v>402</v>
      </c>
      <c r="P67" s="2" t="s">
        <v>277</v>
      </c>
      <c r="Q67" s="2" t="s">
        <v>279</v>
      </c>
      <c r="R67" s="2" t="s">
        <v>403</v>
      </c>
      <c r="S67" s="2" t="s">
        <v>404</v>
      </c>
      <c r="T67" s="2" t="s">
        <v>405</v>
      </c>
      <c r="U67" s="2" t="s">
        <v>406</v>
      </c>
      <c r="V67" s="2" t="s">
        <v>407</v>
      </c>
      <c r="W67" s="2" t="s">
        <v>406</v>
      </c>
      <c r="X67" s="2" t="s">
        <v>712</v>
      </c>
      <c r="Y67" s="2" t="s">
        <v>409</v>
      </c>
    </row>
    <row r="68" customFormat="false" ht="87.75" hidden="false" customHeight="true" outlineLevel="0" collapsed="false">
      <c r="A68" s="3" t="s">
        <v>740</v>
      </c>
      <c r="B68" s="2" t="s">
        <v>227</v>
      </c>
      <c r="C68" s="2" t="s">
        <v>274</v>
      </c>
      <c r="D68" s="2" t="s">
        <v>275</v>
      </c>
      <c r="E68" s="2" t="s">
        <v>741</v>
      </c>
      <c r="F68" s="2" t="s">
        <v>742</v>
      </c>
      <c r="G68" s="2" t="s">
        <v>396</v>
      </c>
      <c r="H68" s="5" t="n">
        <v>3</v>
      </c>
      <c r="I68" s="2" t="s">
        <v>743</v>
      </c>
      <c r="J68" s="2" t="s">
        <v>744</v>
      </c>
      <c r="K68" s="2" t="s">
        <v>276</v>
      </c>
      <c r="L68" s="2" t="s">
        <v>415</v>
      </c>
      <c r="M68" s="2" t="s">
        <v>400</v>
      </c>
      <c r="N68" s="2" t="s">
        <v>447</v>
      </c>
      <c r="O68" s="2" t="s">
        <v>425</v>
      </c>
      <c r="P68" s="2" t="s">
        <v>277</v>
      </c>
      <c r="Q68" s="2" t="s">
        <v>279</v>
      </c>
      <c r="R68" s="2" t="s">
        <v>403</v>
      </c>
      <c r="S68" s="2" t="s">
        <v>404</v>
      </c>
      <c r="T68" s="2" t="s">
        <v>405</v>
      </c>
      <c r="U68" s="2" t="s">
        <v>406</v>
      </c>
      <c r="V68" s="2" t="s">
        <v>407</v>
      </c>
      <c r="W68" s="2" t="s">
        <v>448</v>
      </c>
      <c r="X68" s="2" t="s">
        <v>745</v>
      </c>
      <c r="Y68" s="3" t="s">
        <v>225</v>
      </c>
    </row>
    <row r="69" customFormat="false" ht="87.75" hidden="false" customHeight="true" outlineLevel="0" collapsed="false">
      <c r="A69" s="3" t="s">
        <v>746</v>
      </c>
      <c r="B69" s="2" t="s">
        <v>227</v>
      </c>
      <c r="C69" s="2" t="s">
        <v>274</v>
      </c>
      <c r="D69" s="2" t="s">
        <v>275</v>
      </c>
      <c r="E69" s="2" t="s">
        <v>747</v>
      </c>
      <c r="F69" s="2" t="s">
        <v>748</v>
      </c>
      <c r="G69" s="2" t="s">
        <v>396</v>
      </c>
      <c r="H69" s="5" t="n">
        <v>2</v>
      </c>
      <c r="I69" s="2" t="s">
        <v>749</v>
      </c>
      <c r="J69" s="2" t="s">
        <v>644</v>
      </c>
      <c r="K69" s="2" t="s">
        <v>276</v>
      </c>
      <c r="L69" s="2" t="s">
        <v>415</v>
      </c>
      <c r="M69" s="2" t="s">
        <v>400</v>
      </c>
      <c r="N69" s="2" t="s">
        <v>447</v>
      </c>
      <c r="O69" s="2" t="s">
        <v>425</v>
      </c>
      <c r="P69" s="2" t="s">
        <v>277</v>
      </c>
      <c r="Q69" s="2" t="s">
        <v>279</v>
      </c>
      <c r="R69" s="2" t="s">
        <v>403</v>
      </c>
      <c r="S69" s="2" t="s">
        <v>404</v>
      </c>
      <c r="T69" s="2" t="s">
        <v>405</v>
      </c>
      <c r="U69" s="2" t="s">
        <v>406</v>
      </c>
      <c r="V69" s="2" t="s">
        <v>407</v>
      </c>
      <c r="W69" s="2" t="s">
        <v>448</v>
      </c>
      <c r="X69" s="2" t="s">
        <v>735</v>
      </c>
      <c r="Y69" s="3" t="s">
        <v>225</v>
      </c>
    </row>
    <row r="70" customFormat="false" ht="87.75" hidden="false" customHeight="true" outlineLevel="0" collapsed="false">
      <c r="A70" s="2" t="s">
        <v>750</v>
      </c>
      <c r="B70" s="2" t="s">
        <v>227</v>
      </c>
      <c r="C70" s="2" t="s">
        <v>281</v>
      </c>
      <c r="D70" s="2" t="s">
        <v>282</v>
      </c>
      <c r="E70" s="2" t="s">
        <v>751</v>
      </c>
      <c r="F70" s="2" t="s">
        <v>752</v>
      </c>
      <c r="G70" s="2" t="s">
        <v>429</v>
      </c>
      <c r="H70" s="5" t="n">
        <v>2</v>
      </c>
      <c r="I70" s="2" t="s">
        <v>753</v>
      </c>
      <c r="J70" s="2" t="s">
        <v>754</v>
      </c>
      <c r="K70" s="2" t="s">
        <v>283</v>
      </c>
      <c r="L70" s="2" t="s">
        <v>415</v>
      </c>
      <c r="M70" s="2" t="s">
        <v>400</v>
      </c>
      <c r="N70" s="2" t="s">
        <v>431</v>
      </c>
      <c r="O70" s="2" t="s">
        <v>402</v>
      </c>
      <c r="P70" s="2" t="s">
        <v>284</v>
      </c>
      <c r="Q70" s="2" t="s">
        <v>286</v>
      </c>
      <c r="R70" s="2" t="s">
        <v>403</v>
      </c>
      <c r="S70" s="2" t="s">
        <v>432</v>
      </c>
      <c r="T70" s="2" t="s">
        <v>405</v>
      </c>
      <c r="U70" s="2" t="s">
        <v>406</v>
      </c>
      <c r="V70" s="2" t="s">
        <v>407</v>
      </c>
      <c r="W70" s="2" t="s">
        <v>406</v>
      </c>
      <c r="X70" s="2" t="s">
        <v>755</v>
      </c>
      <c r="Y70" s="2" t="s">
        <v>409</v>
      </c>
    </row>
    <row r="71" customFormat="false" ht="87.75" hidden="false" customHeight="true" outlineLevel="0" collapsed="false">
      <c r="A71" s="2" t="s">
        <v>756</v>
      </c>
      <c r="B71" s="2" t="s">
        <v>227</v>
      </c>
      <c r="C71" s="2" t="s">
        <v>281</v>
      </c>
      <c r="D71" s="2" t="s">
        <v>282</v>
      </c>
      <c r="E71" s="2" t="s">
        <v>757</v>
      </c>
      <c r="F71" s="2" t="s">
        <v>758</v>
      </c>
      <c r="G71" s="2" t="s">
        <v>396</v>
      </c>
      <c r="H71" s="5" t="n">
        <v>2</v>
      </c>
      <c r="I71" s="2" t="s">
        <v>759</v>
      </c>
      <c r="J71" s="2" t="s">
        <v>760</v>
      </c>
      <c r="K71" s="2" t="s">
        <v>283</v>
      </c>
      <c r="L71" s="2" t="s">
        <v>415</v>
      </c>
      <c r="M71" s="2" t="s">
        <v>400</v>
      </c>
      <c r="N71" s="2" t="s">
        <v>401</v>
      </c>
      <c r="O71" s="2" t="s">
        <v>402</v>
      </c>
      <c r="P71" s="2" t="s">
        <v>284</v>
      </c>
      <c r="Q71" s="2" t="s">
        <v>286</v>
      </c>
      <c r="R71" s="2" t="s">
        <v>403</v>
      </c>
      <c r="S71" s="2" t="s">
        <v>404</v>
      </c>
      <c r="T71" s="2" t="s">
        <v>405</v>
      </c>
      <c r="U71" s="2" t="s">
        <v>406</v>
      </c>
      <c r="V71" s="2" t="s">
        <v>407</v>
      </c>
      <c r="W71" s="2" t="s">
        <v>406</v>
      </c>
      <c r="X71" s="2" t="s">
        <v>755</v>
      </c>
      <c r="Y71" s="2" t="s">
        <v>409</v>
      </c>
    </row>
    <row r="72" customFormat="false" ht="87.75" hidden="false" customHeight="true" outlineLevel="0" collapsed="false">
      <c r="A72" s="2" t="s">
        <v>761</v>
      </c>
      <c r="B72" s="2" t="s">
        <v>227</v>
      </c>
      <c r="C72" s="2" t="s">
        <v>281</v>
      </c>
      <c r="D72" s="2" t="s">
        <v>282</v>
      </c>
      <c r="E72" s="2" t="s">
        <v>762</v>
      </c>
      <c r="F72" s="2" t="s">
        <v>763</v>
      </c>
      <c r="G72" s="2" t="s">
        <v>429</v>
      </c>
      <c r="H72" s="5" t="n">
        <v>1</v>
      </c>
      <c r="I72" s="2" t="s">
        <v>764</v>
      </c>
      <c r="J72" s="2" t="s">
        <v>760</v>
      </c>
      <c r="K72" s="2" t="s">
        <v>283</v>
      </c>
      <c r="L72" s="2" t="s">
        <v>415</v>
      </c>
      <c r="M72" s="2" t="s">
        <v>400</v>
      </c>
      <c r="N72" s="2" t="s">
        <v>431</v>
      </c>
      <c r="O72" s="2" t="s">
        <v>491</v>
      </c>
      <c r="P72" s="2" t="s">
        <v>284</v>
      </c>
      <c r="Q72" s="2" t="s">
        <v>286</v>
      </c>
      <c r="R72" s="2" t="s">
        <v>403</v>
      </c>
      <c r="S72" s="2" t="s">
        <v>432</v>
      </c>
      <c r="T72" s="2" t="s">
        <v>405</v>
      </c>
      <c r="U72" s="2" t="s">
        <v>406</v>
      </c>
      <c r="V72" s="2" t="s">
        <v>407</v>
      </c>
      <c r="W72" s="2" t="s">
        <v>406</v>
      </c>
      <c r="X72" s="2" t="s">
        <v>755</v>
      </c>
      <c r="Y72" s="2" t="s">
        <v>409</v>
      </c>
    </row>
    <row r="73" customFormat="false" ht="87.75" hidden="false" customHeight="true" outlineLevel="0" collapsed="false">
      <c r="A73" s="2" t="s">
        <v>765</v>
      </c>
      <c r="B73" s="2" t="s">
        <v>227</v>
      </c>
      <c r="C73" s="2" t="s">
        <v>281</v>
      </c>
      <c r="D73" s="2" t="s">
        <v>282</v>
      </c>
      <c r="E73" s="2" t="s">
        <v>766</v>
      </c>
      <c r="F73" s="2" t="s">
        <v>767</v>
      </c>
      <c r="G73" s="2" t="s">
        <v>429</v>
      </c>
      <c r="H73" s="5" t="n">
        <v>1</v>
      </c>
      <c r="I73" s="2" t="s">
        <v>768</v>
      </c>
      <c r="J73" s="2" t="s">
        <v>760</v>
      </c>
      <c r="K73" s="2" t="s">
        <v>283</v>
      </c>
      <c r="L73" s="2" t="s">
        <v>415</v>
      </c>
      <c r="M73" s="2" t="s">
        <v>400</v>
      </c>
      <c r="N73" s="2" t="s">
        <v>431</v>
      </c>
      <c r="O73" s="2" t="s">
        <v>402</v>
      </c>
      <c r="P73" s="2" t="s">
        <v>284</v>
      </c>
      <c r="Q73" s="2" t="s">
        <v>286</v>
      </c>
      <c r="R73" s="2" t="s">
        <v>403</v>
      </c>
      <c r="S73" s="2" t="s">
        <v>432</v>
      </c>
      <c r="T73" s="2" t="s">
        <v>405</v>
      </c>
      <c r="U73" s="2" t="s">
        <v>406</v>
      </c>
      <c r="V73" s="2" t="s">
        <v>407</v>
      </c>
      <c r="W73" s="2" t="s">
        <v>406</v>
      </c>
      <c r="X73" s="2" t="s">
        <v>755</v>
      </c>
      <c r="Y73" s="2" t="s">
        <v>409</v>
      </c>
    </row>
    <row r="74" customFormat="false" ht="87.75" hidden="false" customHeight="true" outlineLevel="0" collapsed="false">
      <c r="A74" s="3" t="s">
        <v>769</v>
      </c>
      <c r="B74" s="2" t="s">
        <v>227</v>
      </c>
      <c r="C74" s="2" t="s">
        <v>281</v>
      </c>
      <c r="D74" s="2" t="s">
        <v>282</v>
      </c>
      <c r="E74" s="2" t="s">
        <v>770</v>
      </c>
      <c r="F74" s="2" t="s">
        <v>771</v>
      </c>
      <c r="G74" s="2" t="s">
        <v>429</v>
      </c>
      <c r="H74" s="5" t="n">
        <v>2</v>
      </c>
      <c r="I74" s="2" t="s">
        <v>772</v>
      </c>
      <c r="J74" s="2" t="s">
        <v>760</v>
      </c>
      <c r="K74" s="2" t="s">
        <v>283</v>
      </c>
      <c r="L74" s="2" t="s">
        <v>415</v>
      </c>
      <c r="M74" s="2" t="s">
        <v>400</v>
      </c>
      <c r="N74" s="2" t="s">
        <v>431</v>
      </c>
      <c r="O74" s="2" t="s">
        <v>402</v>
      </c>
      <c r="P74" s="2" t="s">
        <v>284</v>
      </c>
      <c r="Q74" s="2" t="s">
        <v>286</v>
      </c>
      <c r="R74" s="2" t="s">
        <v>403</v>
      </c>
      <c r="S74" s="2" t="s">
        <v>432</v>
      </c>
      <c r="T74" s="2" t="s">
        <v>405</v>
      </c>
      <c r="U74" s="2" t="s">
        <v>406</v>
      </c>
      <c r="V74" s="2" t="s">
        <v>407</v>
      </c>
      <c r="W74" s="2" t="s">
        <v>502</v>
      </c>
      <c r="X74" s="2" t="s">
        <v>773</v>
      </c>
      <c r="Y74" s="3" t="s">
        <v>225</v>
      </c>
    </row>
    <row r="75" customFormat="false" ht="87.75" hidden="false" customHeight="true" outlineLevel="0" collapsed="false">
      <c r="A75" s="2" t="s">
        <v>774</v>
      </c>
      <c r="B75" s="2" t="s">
        <v>227</v>
      </c>
      <c r="C75" s="2" t="s">
        <v>288</v>
      </c>
      <c r="D75" s="2" t="s">
        <v>289</v>
      </c>
      <c r="E75" s="2" t="s">
        <v>775</v>
      </c>
      <c r="F75" s="2" t="s">
        <v>776</v>
      </c>
      <c r="G75" s="2" t="s">
        <v>429</v>
      </c>
      <c r="H75" s="5" t="n">
        <v>2</v>
      </c>
      <c r="I75" s="2" t="s">
        <v>777</v>
      </c>
      <c r="J75" s="2" t="s">
        <v>778</v>
      </c>
      <c r="K75" s="2" t="s">
        <v>229</v>
      </c>
      <c r="L75" s="2" t="s">
        <v>415</v>
      </c>
      <c r="M75" s="2" t="s">
        <v>400</v>
      </c>
      <c r="N75" s="2" t="s">
        <v>431</v>
      </c>
      <c r="O75" s="2" t="s">
        <v>402</v>
      </c>
      <c r="P75" s="2" t="s">
        <v>290</v>
      </c>
      <c r="Q75" s="2" t="s">
        <v>292</v>
      </c>
      <c r="R75" s="2" t="s">
        <v>403</v>
      </c>
      <c r="S75" s="2" t="s">
        <v>432</v>
      </c>
      <c r="T75" s="2" t="s">
        <v>405</v>
      </c>
      <c r="U75" s="2" t="s">
        <v>406</v>
      </c>
      <c r="V75" s="2" t="s">
        <v>407</v>
      </c>
      <c r="W75" s="2" t="s">
        <v>406</v>
      </c>
      <c r="X75" s="2" t="s">
        <v>408</v>
      </c>
      <c r="Y75" s="2" t="s">
        <v>409</v>
      </c>
    </row>
    <row r="76" customFormat="false" ht="87.75" hidden="false" customHeight="true" outlineLevel="0" collapsed="false">
      <c r="A76" s="6" t="s">
        <v>779</v>
      </c>
      <c r="B76" s="2" t="s">
        <v>227</v>
      </c>
      <c r="C76" s="2" t="s">
        <v>288</v>
      </c>
      <c r="D76" s="2" t="s">
        <v>289</v>
      </c>
      <c r="E76" s="2" t="s">
        <v>780</v>
      </c>
      <c r="F76" s="2" t="s">
        <v>781</v>
      </c>
      <c r="G76" s="2" t="s">
        <v>429</v>
      </c>
      <c r="H76" s="5" t="n">
        <v>1</v>
      </c>
      <c r="I76" s="2" t="s">
        <v>782</v>
      </c>
      <c r="J76" s="2" t="s">
        <v>367</v>
      </c>
      <c r="K76" s="2" t="s">
        <v>229</v>
      </c>
      <c r="L76" s="2" t="s">
        <v>415</v>
      </c>
      <c r="M76" s="2" t="s">
        <v>400</v>
      </c>
      <c r="N76" s="2" t="s">
        <v>431</v>
      </c>
      <c r="O76" s="2" t="s">
        <v>402</v>
      </c>
      <c r="P76" s="2" t="s">
        <v>290</v>
      </c>
      <c r="Q76" s="2" t="s">
        <v>292</v>
      </c>
      <c r="R76" s="2" t="s">
        <v>403</v>
      </c>
      <c r="S76" s="2" t="s">
        <v>432</v>
      </c>
      <c r="T76" s="2" t="s">
        <v>405</v>
      </c>
      <c r="U76" s="2" t="s">
        <v>406</v>
      </c>
      <c r="V76" s="2" t="s">
        <v>407</v>
      </c>
      <c r="W76" s="2" t="s">
        <v>502</v>
      </c>
      <c r="X76" s="2" t="s">
        <v>503</v>
      </c>
      <c r="Y76" s="6" t="s">
        <v>437</v>
      </c>
    </row>
    <row r="77" customFormat="false" ht="87.75" hidden="false" customHeight="true" outlineLevel="0" collapsed="false">
      <c r="A77" s="2" t="s">
        <v>783</v>
      </c>
      <c r="B77" s="2" t="s">
        <v>227</v>
      </c>
      <c r="C77" s="2" t="s">
        <v>288</v>
      </c>
      <c r="D77" s="2" t="s">
        <v>289</v>
      </c>
      <c r="E77" s="2" t="s">
        <v>784</v>
      </c>
      <c r="F77" s="2" t="s">
        <v>785</v>
      </c>
      <c r="G77" s="2" t="s">
        <v>396</v>
      </c>
      <c r="H77" s="5" t="n">
        <v>2</v>
      </c>
      <c r="I77" s="2" t="s">
        <v>786</v>
      </c>
      <c r="J77" s="2" t="s">
        <v>787</v>
      </c>
      <c r="K77" s="2" t="s">
        <v>229</v>
      </c>
      <c r="L77" s="2" t="s">
        <v>415</v>
      </c>
      <c r="M77" s="2" t="s">
        <v>400</v>
      </c>
      <c r="N77" s="2" t="s">
        <v>401</v>
      </c>
      <c r="O77" s="2" t="s">
        <v>491</v>
      </c>
      <c r="P77" s="2" t="s">
        <v>290</v>
      </c>
      <c r="Q77" s="2" t="s">
        <v>292</v>
      </c>
      <c r="R77" s="2" t="s">
        <v>403</v>
      </c>
      <c r="S77" s="2" t="s">
        <v>404</v>
      </c>
      <c r="T77" s="2" t="s">
        <v>405</v>
      </c>
      <c r="U77" s="2" t="s">
        <v>406</v>
      </c>
      <c r="V77" s="2" t="s">
        <v>407</v>
      </c>
      <c r="W77" s="2" t="s">
        <v>406</v>
      </c>
      <c r="X77" s="2" t="s">
        <v>788</v>
      </c>
      <c r="Y77" s="2" t="s">
        <v>409</v>
      </c>
    </row>
    <row r="78" customFormat="false" ht="87.75" hidden="false" customHeight="true" outlineLevel="0" collapsed="false">
      <c r="A78" s="2" t="s">
        <v>789</v>
      </c>
      <c r="B78" s="2" t="s">
        <v>227</v>
      </c>
      <c r="C78" s="2" t="s">
        <v>288</v>
      </c>
      <c r="D78" s="2" t="s">
        <v>289</v>
      </c>
      <c r="E78" s="2" t="s">
        <v>790</v>
      </c>
      <c r="F78" s="2" t="s">
        <v>791</v>
      </c>
      <c r="G78" s="2" t="s">
        <v>396</v>
      </c>
      <c r="H78" s="5" t="n">
        <v>2</v>
      </c>
      <c r="I78" s="2" t="s">
        <v>792</v>
      </c>
      <c r="J78" s="2" t="s">
        <v>608</v>
      </c>
      <c r="K78" s="2" t="s">
        <v>229</v>
      </c>
      <c r="L78" s="2" t="s">
        <v>415</v>
      </c>
      <c r="M78" s="2" t="s">
        <v>400</v>
      </c>
      <c r="N78" s="2" t="s">
        <v>401</v>
      </c>
      <c r="O78" s="2" t="s">
        <v>402</v>
      </c>
      <c r="P78" s="2" t="s">
        <v>290</v>
      </c>
      <c r="Q78" s="2" t="s">
        <v>292</v>
      </c>
      <c r="R78" s="2" t="s">
        <v>403</v>
      </c>
      <c r="S78" s="2" t="s">
        <v>404</v>
      </c>
      <c r="T78" s="2" t="s">
        <v>405</v>
      </c>
      <c r="U78" s="2" t="s">
        <v>406</v>
      </c>
      <c r="V78" s="2" t="s">
        <v>407</v>
      </c>
      <c r="W78" s="2" t="s">
        <v>406</v>
      </c>
      <c r="X78" s="2" t="s">
        <v>793</v>
      </c>
      <c r="Y78" s="2" t="s">
        <v>409</v>
      </c>
    </row>
    <row r="79" customFormat="false" ht="87.75" hidden="false" customHeight="true" outlineLevel="0" collapsed="false">
      <c r="A79" s="2" t="s">
        <v>794</v>
      </c>
      <c r="B79" s="2" t="s">
        <v>227</v>
      </c>
      <c r="C79" s="2" t="s">
        <v>288</v>
      </c>
      <c r="D79" s="2" t="s">
        <v>289</v>
      </c>
      <c r="E79" s="2" t="s">
        <v>795</v>
      </c>
      <c r="F79" s="2" t="s">
        <v>796</v>
      </c>
      <c r="G79" s="2" t="s">
        <v>396</v>
      </c>
      <c r="H79" s="5" t="n">
        <v>1</v>
      </c>
      <c r="I79" s="2" t="s">
        <v>797</v>
      </c>
      <c r="J79" s="2" t="s">
        <v>552</v>
      </c>
      <c r="K79" s="2" t="s">
        <v>229</v>
      </c>
      <c r="L79" s="2" t="s">
        <v>415</v>
      </c>
      <c r="M79" s="2" t="s">
        <v>400</v>
      </c>
      <c r="N79" s="2" t="s">
        <v>401</v>
      </c>
      <c r="O79" s="2" t="s">
        <v>402</v>
      </c>
      <c r="P79" s="2" t="s">
        <v>290</v>
      </c>
      <c r="Q79" s="2" t="s">
        <v>292</v>
      </c>
      <c r="R79" s="2" t="s">
        <v>403</v>
      </c>
      <c r="S79" s="2" t="s">
        <v>404</v>
      </c>
      <c r="T79" s="2" t="s">
        <v>405</v>
      </c>
      <c r="U79" s="2" t="s">
        <v>406</v>
      </c>
      <c r="V79" s="2" t="s">
        <v>407</v>
      </c>
      <c r="W79" s="2" t="s">
        <v>406</v>
      </c>
      <c r="X79" s="2" t="s">
        <v>793</v>
      </c>
      <c r="Y79" s="2" t="s">
        <v>409</v>
      </c>
    </row>
    <row r="80" customFormat="false" ht="87.75" hidden="false" customHeight="true" outlineLevel="0" collapsed="false">
      <c r="A80" s="2" t="s">
        <v>798</v>
      </c>
      <c r="B80" s="2" t="s">
        <v>227</v>
      </c>
      <c r="C80" s="2" t="s">
        <v>288</v>
      </c>
      <c r="D80" s="2" t="s">
        <v>289</v>
      </c>
      <c r="E80" s="2" t="s">
        <v>799</v>
      </c>
      <c r="F80" s="2" t="s">
        <v>800</v>
      </c>
      <c r="G80" s="2" t="s">
        <v>429</v>
      </c>
      <c r="H80" s="5" t="n">
        <v>2</v>
      </c>
      <c r="I80" s="2" t="s">
        <v>801</v>
      </c>
      <c r="J80" s="2" t="s">
        <v>608</v>
      </c>
      <c r="K80" s="2" t="s">
        <v>229</v>
      </c>
      <c r="L80" s="2" t="s">
        <v>561</v>
      </c>
      <c r="M80" s="2" t="s">
        <v>400</v>
      </c>
      <c r="N80" s="2" t="s">
        <v>431</v>
      </c>
      <c r="O80" s="2" t="s">
        <v>402</v>
      </c>
      <c r="P80" s="2" t="s">
        <v>290</v>
      </c>
      <c r="Q80" s="2" t="s">
        <v>292</v>
      </c>
      <c r="R80" s="2" t="s">
        <v>403</v>
      </c>
      <c r="S80" s="2" t="s">
        <v>432</v>
      </c>
      <c r="T80" s="2" t="s">
        <v>405</v>
      </c>
      <c r="U80" s="2" t="s">
        <v>406</v>
      </c>
      <c r="V80" s="2" t="s">
        <v>407</v>
      </c>
      <c r="W80" s="2" t="s">
        <v>406</v>
      </c>
      <c r="X80" s="2" t="s">
        <v>793</v>
      </c>
      <c r="Y80" s="2" t="s">
        <v>409</v>
      </c>
    </row>
    <row r="81" customFormat="false" ht="87.75" hidden="false" customHeight="true" outlineLevel="0" collapsed="false">
      <c r="A81" s="2" t="s">
        <v>802</v>
      </c>
      <c r="B81" s="2" t="s">
        <v>227</v>
      </c>
      <c r="C81" s="2" t="s">
        <v>288</v>
      </c>
      <c r="D81" s="2" t="s">
        <v>289</v>
      </c>
      <c r="E81" s="2" t="s">
        <v>803</v>
      </c>
      <c r="F81" s="2" t="s">
        <v>804</v>
      </c>
      <c r="G81" s="2" t="s">
        <v>429</v>
      </c>
      <c r="H81" s="5" t="n">
        <v>1</v>
      </c>
      <c r="I81" s="2" t="s">
        <v>805</v>
      </c>
      <c r="J81" s="2" t="s">
        <v>608</v>
      </c>
      <c r="K81" s="2" t="s">
        <v>229</v>
      </c>
      <c r="L81" s="2" t="s">
        <v>415</v>
      </c>
      <c r="M81" s="2" t="s">
        <v>400</v>
      </c>
      <c r="N81" s="2" t="s">
        <v>431</v>
      </c>
      <c r="O81" s="2" t="s">
        <v>402</v>
      </c>
      <c r="P81" s="2" t="s">
        <v>290</v>
      </c>
      <c r="Q81" s="2" t="s">
        <v>292</v>
      </c>
      <c r="R81" s="2" t="s">
        <v>403</v>
      </c>
      <c r="S81" s="2" t="s">
        <v>432</v>
      </c>
      <c r="T81" s="2" t="s">
        <v>405</v>
      </c>
      <c r="U81" s="2" t="s">
        <v>406</v>
      </c>
      <c r="V81" s="2" t="s">
        <v>407</v>
      </c>
      <c r="W81" s="2" t="s">
        <v>406</v>
      </c>
      <c r="X81" s="2" t="s">
        <v>793</v>
      </c>
      <c r="Y81" s="2" t="s">
        <v>409</v>
      </c>
    </row>
    <row r="82" customFormat="false" ht="87.75" hidden="false" customHeight="true" outlineLevel="0" collapsed="false">
      <c r="A82" s="3" t="s">
        <v>806</v>
      </c>
      <c r="B82" s="2" t="s">
        <v>227</v>
      </c>
      <c r="C82" s="2" t="s">
        <v>288</v>
      </c>
      <c r="D82" s="2" t="s">
        <v>289</v>
      </c>
      <c r="E82" s="2" t="s">
        <v>807</v>
      </c>
      <c r="F82" s="2" t="s">
        <v>808</v>
      </c>
      <c r="G82" s="2" t="s">
        <v>396</v>
      </c>
      <c r="H82" s="5" t="n">
        <v>2</v>
      </c>
      <c r="I82" s="2" t="s">
        <v>809</v>
      </c>
      <c r="J82" s="2" t="s">
        <v>787</v>
      </c>
      <c r="K82" s="2" t="s">
        <v>229</v>
      </c>
      <c r="L82" s="2" t="s">
        <v>415</v>
      </c>
      <c r="M82" s="2" t="s">
        <v>400</v>
      </c>
      <c r="N82" s="2" t="s">
        <v>447</v>
      </c>
      <c r="O82" s="2" t="s">
        <v>491</v>
      </c>
      <c r="P82" s="2" t="s">
        <v>290</v>
      </c>
      <c r="Q82" s="2" t="s">
        <v>292</v>
      </c>
      <c r="R82" s="2" t="s">
        <v>403</v>
      </c>
      <c r="S82" s="2" t="s">
        <v>404</v>
      </c>
      <c r="T82" s="2" t="s">
        <v>405</v>
      </c>
      <c r="U82" s="2" t="s">
        <v>406</v>
      </c>
      <c r="V82" s="2" t="s">
        <v>407</v>
      </c>
      <c r="W82" s="2" t="s">
        <v>448</v>
      </c>
      <c r="X82" s="2" t="s">
        <v>810</v>
      </c>
      <c r="Y82" s="3" t="s">
        <v>225</v>
      </c>
    </row>
    <row r="83" customFormat="false" ht="87.75" hidden="false" customHeight="true" outlineLevel="0" collapsed="false">
      <c r="A83" s="3" t="s">
        <v>811</v>
      </c>
      <c r="B83" s="2" t="s">
        <v>227</v>
      </c>
      <c r="C83" s="2" t="s">
        <v>288</v>
      </c>
      <c r="D83" s="2" t="s">
        <v>289</v>
      </c>
      <c r="E83" s="2" t="s">
        <v>812</v>
      </c>
      <c r="F83" s="2" t="s">
        <v>813</v>
      </c>
      <c r="G83" s="2" t="s">
        <v>429</v>
      </c>
      <c r="H83" s="5" t="n">
        <v>1</v>
      </c>
      <c r="I83" s="2" t="s">
        <v>814</v>
      </c>
      <c r="J83" s="2" t="s">
        <v>608</v>
      </c>
      <c r="K83" s="2" t="s">
        <v>229</v>
      </c>
      <c r="L83" s="2" t="s">
        <v>415</v>
      </c>
      <c r="M83" s="2" t="s">
        <v>400</v>
      </c>
      <c r="N83" s="2" t="s">
        <v>431</v>
      </c>
      <c r="O83" s="2" t="s">
        <v>402</v>
      </c>
      <c r="P83" s="2" t="s">
        <v>290</v>
      </c>
      <c r="Q83" s="2" t="s">
        <v>292</v>
      </c>
      <c r="R83" s="2" t="s">
        <v>403</v>
      </c>
      <c r="S83" s="2" t="s">
        <v>432</v>
      </c>
      <c r="T83" s="2" t="s">
        <v>405</v>
      </c>
      <c r="U83" s="2" t="s">
        <v>406</v>
      </c>
      <c r="V83" s="2" t="s">
        <v>407</v>
      </c>
      <c r="W83" s="2" t="s">
        <v>502</v>
      </c>
      <c r="X83" s="2" t="s">
        <v>773</v>
      </c>
      <c r="Y83" s="3" t="s">
        <v>225</v>
      </c>
    </row>
    <row r="84" customFormat="false" ht="87.75" hidden="false" customHeight="true" outlineLevel="0" collapsed="false">
      <c r="A84" s="2" t="s">
        <v>815</v>
      </c>
      <c r="B84" s="2" t="s">
        <v>295</v>
      </c>
      <c r="C84" s="2" t="s">
        <v>294</v>
      </c>
      <c r="D84" s="2" t="s">
        <v>296</v>
      </c>
      <c r="E84" s="2" t="s">
        <v>816</v>
      </c>
      <c r="F84" s="2" t="s">
        <v>817</v>
      </c>
      <c r="G84" s="2" t="s">
        <v>396</v>
      </c>
      <c r="H84" s="5" t="n">
        <v>3</v>
      </c>
      <c r="I84" s="2" t="s">
        <v>818</v>
      </c>
      <c r="J84" s="2" t="s">
        <v>819</v>
      </c>
      <c r="K84" s="2" t="s">
        <v>276</v>
      </c>
      <c r="L84" s="2" t="s">
        <v>399</v>
      </c>
      <c r="M84" s="2" t="s">
        <v>400</v>
      </c>
      <c r="N84" s="2" t="s">
        <v>820</v>
      </c>
      <c r="O84" s="2" t="s">
        <v>402</v>
      </c>
      <c r="P84" s="2" t="s">
        <v>297</v>
      </c>
      <c r="Q84" s="2" t="s">
        <v>300</v>
      </c>
      <c r="R84" s="2" t="s">
        <v>403</v>
      </c>
      <c r="S84" s="2" t="s">
        <v>404</v>
      </c>
      <c r="T84" s="2" t="s">
        <v>405</v>
      </c>
      <c r="U84" s="2" t="s">
        <v>406</v>
      </c>
      <c r="V84" s="2" t="s">
        <v>407</v>
      </c>
      <c r="W84" s="2" t="s">
        <v>406</v>
      </c>
      <c r="X84" s="2" t="s">
        <v>712</v>
      </c>
      <c r="Y84" s="2" t="s">
        <v>409</v>
      </c>
    </row>
    <row r="85" customFormat="false" ht="87.75" hidden="false" customHeight="true" outlineLevel="0" collapsed="false">
      <c r="A85" s="6" t="s">
        <v>821</v>
      </c>
      <c r="B85" s="2" t="s">
        <v>295</v>
      </c>
      <c r="C85" s="2" t="s">
        <v>294</v>
      </c>
      <c r="D85" s="2" t="s">
        <v>296</v>
      </c>
      <c r="E85" s="2" t="s">
        <v>822</v>
      </c>
      <c r="F85" s="2" t="s">
        <v>823</v>
      </c>
      <c r="G85" s="2" t="s">
        <v>396</v>
      </c>
      <c r="H85" s="5" t="n">
        <v>3</v>
      </c>
      <c r="I85" s="2" t="s">
        <v>824</v>
      </c>
      <c r="J85" s="2" t="s">
        <v>638</v>
      </c>
      <c r="K85" s="2" t="s">
        <v>276</v>
      </c>
      <c r="L85" s="2" t="s">
        <v>399</v>
      </c>
      <c r="M85" s="2" t="s">
        <v>400</v>
      </c>
      <c r="N85" s="2" t="s">
        <v>820</v>
      </c>
      <c r="O85" s="2" t="s">
        <v>425</v>
      </c>
      <c r="P85" s="2" t="s">
        <v>297</v>
      </c>
      <c r="Q85" s="2" t="s">
        <v>300</v>
      </c>
      <c r="R85" s="2" t="s">
        <v>403</v>
      </c>
      <c r="S85" s="2" t="s">
        <v>404</v>
      </c>
      <c r="T85" s="2" t="s">
        <v>405</v>
      </c>
      <c r="U85" s="2" t="s">
        <v>406</v>
      </c>
      <c r="V85" s="2" t="s">
        <v>407</v>
      </c>
      <c r="W85" s="2" t="s">
        <v>448</v>
      </c>
      <c r="X85" s="2" t="s">
        <v>735</v>
      </c>
      <c r="Y85" s="6" t="s">
        <v>437</v>
      </c>
    </row>
    <row r="86" customFormat="false" ht="87.75" hidden="false" customHeight="true" outlineLevel="0" collapsed="false">
      <c r="A86" s="2" t="s">
        <v>825</v>
      </c>
      <c r="B86" s="2" t="s">
        <v>295</v>
      </c>
      <c r="C86" s="2" t="s">
        <v>294</v>
      </c>
      <c r="D86" s="2" t="s">
        <v>296</v>
      </c>
      <c r="E86" s="2" t="s">
        <v>826</v>
      </c>
      <c r="F86" s="2" t="s">
        <v>827</v>
      </c>
      <c r="G86" s="2" t="s">
        <v>396</v>
      </c>
      <c r="H86" s="5" t="n">
        <v>3</v>
      </c>
      <c r="I86" s="2" t="s">
        <v>828</v>
      </c>
      <c r="J86" s="2" t="s">
        <v>734</v>
      </c>
      <c r="K86" s="2" t="s">
        <v>276</v>
      </c>
      <c r="L86" s="2" t="s">
        <v>399</v>
      </c>
      <c r="M86" s="2" t="s">
        <v>400</v>
      </c>
      <c r="N86" s="2" t="s">
        <v>820</v>
      </c>
      <c r="O86" s="2" t="s">
        <v>425</v>
      </c>
      <c r="P86" s="2" t="s">
        <v>297</v>
      </c>
      <c r="Q86" s="2" t="s">
        <v>300</v>
      </c>
      <c r="R86" s="2" t="s">
        <v>403</v>
      </c>
      <c r="S86" s="2" t="s">
        <v>404</v>
      </c>
      <c r="T86" s="2" t="s">
        <v>405</v>
      </c>
      <c r="U86" s="2" t="s">
        <v>406</v>
      </c>
      <c r="V86" s="2" t="s">
        <v>407</v>
      </c>
      <c r="W86" s="2" t="s">
        <v>406</v>
      </c>
      <c r="X86" s="2" t="s">
        <v>712</v>
      </c>
      <c r="Y86" s="2" t="s">
        <v>409</v>
      </c>
    </row>
    <row r="87" customFormat="false" ht="87.75" hidden="false" customHeight="true" outlineLevel="0" collapsed="false">
      <c r="A87" s="2" t="s">
        <v>829</v>
      </c>
      <c r="B87" s="2" t="s">
        <v>295</v>
      </c>
      <c r="C87" s="2" t="s">
        <v>294</v>
      </c>
      <c r="D87" s="2" t="s">
        <v>296</v>
      </c>
      <c r="E87" s="2" t="s">
        <v>830</v>
      </c>
      <c r="F87" s="2" t="s">
        <v>827</v>
      </c>
      <c r="G87" s="2" t="s">
        <v>396</v>
      </c>
      <c r="H87" s="5" t="n">
        <v>2</v>
      </c>
      <c r="I87" s="2" t="s">
        <v>831</v>
      </c>
      <c r="J87" s="2" t="s">
        <v>734</v>
      </c>
      <c r="K87" s="2" t="s">
        <v>276</v>
      </c>
      <c r="L87" s="2" t="s">
        <v>415</v>
      </c>
      <c r="M87" s="2" t="s">
        <v>400</v>
      </c>
      <c r="N87" s="2" t="s">
        <v>820</v>
      </c>
      <c r="O87" s="2" t="s">
        <v>491</v>
      </c>
      <c r="P87" s="2" t="s">
        <v>297</v>
      </c>
      <c r="Q87" s="2" t="s">
        <v>300</v>
      </c>
      <c r="R87" s="2" t="s">
        <v>403</v>
      </c>
      <c r="S87" s="2" t="s">
        <v>404</v>
      </c>
      <c r="T87" s="2" t="s">
        <v>405</v>
      </c>
      <c r="U87" s="2" t="s">
        <v>406</v>
      </c>
      <c r="V87" s="2" t="s">
        <v>407</v>
      </c>
      <c r="W87" s="2" t="s">
        <v>406</v>
      </c>
      <c r="X87" s="2" t="s">
        <v>712</v>
      </c>
      <c r="Y87" s="2" t="s">
        <v>409</v>
      </c>
    </row>
    <row r="88" customFormat="false" ht="87.75" hidden="false" customHeight="true" outlineLevel="0" collapsed="false">
      <c r="A88" s="2" t="s">
        <v>832</v>
      </c>
      <c r="B88" s="2" t="s">
        <v>295</v>
      </c>
      <c r="C88" s="2" t="s">
        <v>294</v>
      </c>
      <c r="D88" s="2" t="s">
        <v>296</v>
      </c>
      <c r="E88" s="2" t="s">
        <v>833</v>
      </c>
      <c r="F88" s="2" t="s">
        <v>827</v>
      </c>
      <c r="G88" s="2" t="s">
        <v>396</v>
      </c>
      <c r="H88" s="5" t="n">
        <v>2</v>
      </c>
      <c r="I88" s="2" t="s">
        <v>834</v>
      </c>
      <c r="J88" s="2" t="s">
        <v>734</v>
      </c>
      <c r="K88" s="2" t="s">
        <v>276</v>
      </c>
      <c r="L88" s="2" t="s">
        <v>415</v>
      </c>
      <c r="M88" s="2" t="s">
        <v>400</v>
      </c>
      <c r="N88" s="2" t="s">
        <v>820</v>
      </c>
      <c r="O88" s="2" t="s">
        <v>402</v>
      </c>
      <c r="P88" s="2" t="s">
        <v>297</v>
      </c>
      <c r="Q88" s="2" t="s">
        <v>300</v>
      </c>
      <c r="R88" s="2" t="s">
        <v>403</v>
      </c>
      <c r="S88" s="2" t="s">
        <v>404</v>
      </c>
      <c r="T88" s="2" t="s">
        <v>405</v>
      </c>
      <c r="U88" s="2" t="s">
        <v>406</v>
      </c>
      <c r="V88" s="2" t="s">
        <v>407</v>
      </c>
      <c r="W88" s="2" t="s">
        <v>406</v>
      </c>
      <c r="X88" s="2" t="s">
        <v>712</v>
      </c>
      <c r="Y88" s="2" t="s">
        <v>409</v>
      </c>
    </row>
    <row r="89" customFormat="false" ht="87.75" hidden="false" customHeight="true" outlineLevel="0" collapsed="false">
      <c r="A89" s="2" t="s">
        <v>835</v>
      </c>
      <c r="B89" s="2" t="s">
        <v>295</v>
      </c>
      <c r="C89" s="2" t="s">
        <v>302</v>
      </c>
      <c r="D89" s="2" t="s">
        <v>303</v>
      </c>
      <c r="E89" s="2" t="s">
        <v>836</v>
      </c>
      <c r="F89" s="2" t="s">
        <v>837</v>
      </c>
      <c r="G89" s="2" t="s">
        <v>396</v>
      </c>
      <c r="H89" s="5" t="n">
        <v>3</v>
      </c>
      <c r="I89" s="2" t="s">
        <v>838</v>
      </c>
      <c r="J89" s="2" t="s">
        <v>839</v>
      </c>
      <c r="K89" s="2" t="s">
        <v>304</v>
      </c>
      <c r="L89" s="2" t="s">
        <v>520</v>
      </c>
      <c r="M89" s="2" t="s">
        <v>400</v>
      </c>
      <c r="N89" s="2" t="s">
        <v>820</v>
      </c>
      <c r="O89" s="2" t="s">
        <v>686</v>
      </c>
      <c r="P89" s="2" t="s">
        <v>305</v>
      </c>
      <c r="Q89" s="2" t="s">
        <v>307</v>
      </c>
      <c r="R89" s="2" t="s">
        <v>403</v>
      </c>
      <c r="S89" s="2" t="s">
        <v>404</v>
      </c>
      <c r="T89" s="2" t="s">
        <v>405</v>
      </c>
      <c r="U89" s="2" t="s">
        <v>406</v>
      </c>
      <c r="V89" s="2" t="s">
        <v>407</v>
      </c>
      <c r="W89" s="2" t="s">
        <v>406</v>
      </c>
      <c r="X89" s="2" t="s">
        <v>840</v>
      </c>
      <c r="Y89" s="2" t="s">
        <v>409</v>
      </c>
    </row>
    <row r="90" customFormat="false" ht="87.75" hidden="false" customHeight="true" outlineLevel="0" collapsed="false">
      <c r="A90" s="2" t="s">
        <v>841</v>
      </c>
      <c r="B90" s="2" t="s">
        <v>295</v>
      </c>
      <c r="C90" s="2" t="s">
        <v>302</v>
      </c>
      <c r="D90" s="2" t="s">
        <v>303</v>
      </c>
      <c r="E90" s="2" t="s">
        <v>842</v>
      </c>
      <c r="F90" s="2" t="s">
        <v>843</v>
      </c>
      <c r="G90" s="2" t="s">
        <v>396</v>
      </c>
      <c r="H90" s="5" t="n">
        <v>3</v>
      </c>
      <c r="I90" s="2" t="s">
        <v>844</v>
      </c>
      <c r="J90" s="2" t="s">
        <v>845</v>
      </c>
      <c r="K90" s="2" t="s">
        <v>304</v>
      </c>
      <c r="L90" s="2" t="s">
        <v>399</v>
      </c>
      <c r="M90" s="2" t="s">
        <v>400</v>
      </c>
      <c r="N90" s="2" t="s">
        <v>820</v>
      </c>
      <c r="O90" s="2" t="s">
        <v>402</v>
      </c>
      <c r="P90" s="2" t="s">
        <v>305</v>
      </c>
      <c r="Q90" s="2" t="s">
        <v>307</v>
      </c>
      <c r="R90" s="2" t="s">
        <v>403</v>
      </c>
      <c r="S90" s="2" t="s">
        <v>404</v>
      </c>
      <c r="T90" s="2" t="s">
        <v>405</v>
      </c>
      <c r="U90" s="2" t="s">
        <v>406</v>
      </c>
      <c r="V90" s="2" t="s">
        <v>407</v>
      </c>
      <c r="W90" s="2" t="s">
        <v>406</v>
      </c>
      <c r="X90" s="2" t="s">
        <v>840</v>
      </c>
      <c r="Y90" s="2" t="s">
        <v>409</v>
      </c>
    </row>
    <row r="91" customFormat="false" ht="87.75" hidden="false" customHeight="true" outlineLevel="0" collapsed="false">
      <c r="A91" s="2" t="s">
        <v>846</v>
      </c>
      <c r="B91" s="2" t="s">
        <v>295</v>
      </c>
      <c r="C91" s="2" t="s">
        <v>302</v>
      </c>
      <c r="D91" s="2" t="s">
        <v>303</v>
      </c>
      <c r="E91" s="2" t="s">
        <v>847</v>
      </c>
      <c r="F91" s="2" t="s">
        <v>848</v>
      </c>
      <c r="G91" s="2" t="s">
        <v>396</v>
      </c>
      <c r="H91" s="5" t="n">
        <v>3</v>
      </c>
      <c r="I91" s="2" t="s">
        <v>849</v>
      </c>
      <c r="J91" s="2" t="s">
        <v>845</v>
      </c>
      <c r="K91" s="2" t="s">
        <v>304</v>
      </c>
      <c r="L91" s="2" t="s">
        <v>520</v>
      </c>
      <c r="M91" s="2" t="s">
        <v>400</v>
      </c>
      <c r="N91" s="2" t="s">
        <v>820</v>
      </c>
      <c r="O91" s="2" t="s">
        <v>686</v>
      </c>
      <c r="P91" s="2" t="s">
        <v>305</v>
      </c>
      <c r="Q91" s="2" t="s">
        <v>307</v>
      </c>
      <c r="R91" s="2" t="s">
        <v>403</v>
      </c>
      <c r="S91" s="2" t="s">
        <v>404</v>
      </c>
      <c r="T91" s="2" t="s">
        <v>405</v>
      </c>
      <c r="U91" s="2" t="s">
        <v>406</v>
      </c>
      <c r="V91" s="2" t="s">
        <v>407</v>
      </c>
      <c r="W91" s="2" t="s">
        <v>406</v>
      </c>
      <c r="X91" s="2" t="s">
        <v>840</v>
      </c>
      <c r="Y91" s="2" t="s">
        <v>409</v>
      </c>
    </row>
    <row r="92" customFormat="false" ht="87.75" hidden="false" customHeight="true" outlineLevel="0" collapsed="false">
      <c r="A92" s="2" t="s">
        <v>850</v>
      </c>
      <c r="B92" s="2" t="s">
        <v>295</v>
      </c>
      <c r="C92" s="2" t="s">
        <v>302</v>
      </c>
      <c r="D92" s="2" t="s">
        <v>303</v>
      </c>
      <c r="E92" s="2" t="s">
        <v>851</v>
      </c>
      <c r="F92" s="2" t="s">
        <v>827</v>
      </c>
      <c r="G92" s="2" t="s">
        <v>429</v>
      </c>
      <c r="H92" s="5" t="n">
        <v>2</v>
      </c>
      <c r="I92" s="2" t="s">
        <v>852</v>
      </c>
      <c r="J92" s="2" t="s">
        <v>845</v>
      </c>
      <c r="K92" s="2" t="s">
        <v>304</v>
      </c>
      <c r="L92" s="2" t="s">
        <v>415</v>
      </c>
      <c r="M92" s="2" t="s">
        <v>400</v>
      </c>
      <c r="N92" s="2" t="s">
        <v>853</v>
      </c>
      <c r="O92" s="2" t="s">
        <v>402</v>
      </c>
      <c r="P92" s="2" t="s">
        <v>305</v>
      </c>
      <c r="Q92" s="2" t="s">
        <v>307</v>
      </c>
      <c r="R92" s="2" t="s">
        <v>403</v>
      </c>
      <c r="S92" s="2" t="s">
        <v>432</v>
      </c>
      <c r="T92" s="2" t="s">
        <v>405</v>
      </c>
      <c r="U92" s="2" t="s">
        <v>406</v>
      </c>
      <c r="V92" s="2" t="s">
        <v>407</v>
      </c>
      <c r="W92" s="2" t="s">
        <v>406</v>
      </c>
      <c r="X92" s="2" t="s">
        <v>840</v>
      </c>
      <c r="Y92" s="2" t="s">
        <v>409</v>
      </c>
    </row>
    <row r="93" customFormat="false" ht="87.75" hidden="false" customHeight="true" outlineLevel="0" collapsed="false">
      <c r="A93" s="2" t="s">
        <v>854</v>
      </c>
      <c r="B93" s="2" t="s">
        <v>295</v>
      </c>
      <c r="C93" s="2" t="s">
        <v>302</v>
      </c>
      <c r="D93" s="2" t="s">
        <v>303</v>
      </c>
      <c r="E93" s="2" t="s">
        <v>855</v>
      </c>
      <c r="F93" s="2" t="s">
        <v>856</v>
      </c>
      <c r="G93" s="2" t="s">
        <v>429</v>
      </c>
      <c r="H93" s="5" t="n">
        <v>1</v>
      </c>
      <c r="I93" s="2" t="s">
        <v>857</v>
      </c>
      <c r="J93" s="2" t="s">
        <v>845</v>
      </c>
      <c r="K93" s="2" t="s">
        <v>304</v>
      </c>
      <c r="L93" s="2" t="s">
        <v>415</v>
      </c>
      <c r="M93" s="2" t="s">
        <v>400</v>
      </c>
      <c r="N93" s="2" t="s">
        <v>853</v>
      </c>
      <c r="O93" s="2" t="s">
        <v>686</v>
      </c>
      <c r="P93" s="2" t="s">
        <v>305</v>
      </c>
      <c r="Q93" s="2" t="s">
        <v>307</v>
      </c>
      <c r="R93" s="2" t="s">
        <v>403</v>
      </c>
      <c r="S93" s="2" t="s">
        <v>432</v>
      </c>
      <c r="T93" s="2" t="s">
        <v>405</v>
      </c>
      <c r="U93" s="2" t="s">
        <v>406</v>
      </c>
      <c r="V93" s="2" t="s">
        <v>407</v>
      </c>
      <c r="W93" s="2" t="s">
        <v>406</v>
      </c>
      <c r="X93" s="2" t="s">
        <v>840</v>
      </c>
      <c r="Y93" s="2" t="s">
        <v>409</v>
      </c>
    </row>
    <row r="94" customFormat="false" ht="87.75" hidden="false" customHeight="true" outlineLevel="0" collapsed="false">
      <c r="A94" s="2" t="s">
        <v>858</v>
      </c>
      <c r="B94" s="2" t="s">
        <v>295</v>
      </c>
      <c r="C94" s="2" t="s">
        <v>302</v>
      </c>
      <c r="D94" s="2" t="s">
        <v>303</v>
      </c>
      <c r="E94" s="2" t="s">
        <v>859</v>
      </c>
      <c r="F94" s="2" t="s">
        <v>860</v>
      </c>
      <c r="G94" s="2" t="s">
        <v>429</v>
      </c>
      <c r="H94" s="5" t="n">
        <v>1</v>
      </c>
      <c r="I94" s="2" t="s">
        <v>861</v>
      </c>
      <c r="J94" s="2" t="s">
        <v>845</v>
      </c>
      <c r="K94" s="2" t="s">
        <v>304</v>
      </c>
      <c r="L94" s="2" t="s">
        <v>415</v>
      </c>
      <c r="M94" s="2" t="s">
        <v>400</v>
      </c>
      <c r="N94" s="2" t="s">
        <v>853</v>
      </c>
      <c r="O94" s="2" t="s">
        <v>402</v>
      </c>
      <c r="P94" s="2" t="s">
        <v>305</v>
      </c>
      <c r="Q94" s="2" t="s">
        <v>307</v>
      </c>
      <c r="R94" s="2" t="s">
        <v>403</v>
      </c>
      <c r="S94" s="2" t="s">
        <v>432</v>
      </c>
      <c r="T94" s="2" t="s">
        <v>405</v>
      </c>
      <c r="U94" s="2" t="s">
        <v>406</v>
      </c>
      <c r="V94" s="2" t="s">
        <v>407</v>
      </c>
      <c r="W94" s="2" t="s">
        <v>406</v>
      </c>
      <c r="X94" s="2" t="s">
        <v>840</v>
      </c>
      <c r="Y94" s="2" t="s">
        <v>409</v>
      </c>
    </row>
    <row r="95" customFormat="false" ht="87.75" hidden="false" customHeight="true" outlineLevel="0" collapsed="false">
      <c r="A95" s="2" t="s">
        <v>862</v>
      </c>
      <c r="B95" s="2" t="s">
        <v>295</v>
      </c>
      <c r="C95" s="2" t="s">
        <v>302</v>
      </c>
      <c r="D95" s="2" t="s">
        <v>303</v>
      </c>
      <c r="E95" s="2" t="s">
        <v>863</v>
      </c>
      <c r="F95" s="2" t="s">
        <v>864</v>
      </c>
      <c r="G95" s="2" t="s">
        <v>396</v>
      </c>
      <c r="H95" s="5" t="n">
        <v>2</v>
      </c>
      <c r="I95" s="2" t="s">
        <v>865</v>
      </c>
      <c r="J95" s="2" t="s">
        <v>866</v>
      </c>
      <c r="K95" s="2" t="s">
        <v>304</v>
      </c>
      <c r="L95" s="2" t="s">
        <v>561</v>
      </c>
      <c r="M95" s="2" t="s">
        <v>400</v>
      </c>
      <c r="N95" s="2" t="s">
        <v>820</v>
      </c>
      <c r="O95" s="2" t="s">
        <v>425</v>
      </c>
      <c r="P95" s="2" t="s">
        <v>305</v>
      </c>
      <c r="Q95" s="2" t="s">
        <v>307</v>
      </c>
      <c r="R95" s="2" t="s">
        <v>403</v>
      </c>
      <c r="S95" s="2" t="s">
        <v>404</v>
      </c>
      <c r="T95" s="2" t="s">
        <v>405</v>
      </c>
      <c r="U95" s="2" t="s">
        <v>406</v>
      </c>
      <c r="V95" s="2" t="s">
        <v>407</v>
      </c>
      <c r="W95" s="2" t="s">
        <v>406</v>
      </c>
      <c r="X95" s="2" t="s">
        <v>840</v>
      </c>
      <c r="Y95" s="2" t="s">
        <v>409</v>
      </c>
    </row>
    <row r="96" customFormat="false" ht="87.75" hidden="false" customHeight="true" outlineLevel="0" collapsed="false">
      <c r="A96" s="2" t="s">
        <v>867</v>
      </c>
      <c r="B96" s="2" t="s">
        <v>295</v>
      </c>
      <c r="C96" s="2" t="s">
        <v>309</v>
      </c>
      <c r="D96" s="2" t="s">
        <v>310</v>
      </c>
      <c r="E96" s="2" t="s">
        <v>868</v>
      </c>
      <c r="F96" s="2" t="s">
        <v>869</v>
      </c>
      <c r="G96" s="2" t="s">
        <v>396</v>
      </c>
      <c r="H96" s="5" t="n">
        <v>3</v>
      </c>
      <c r="I96" s="2" t="s">
        <v>870</v>
      </c>
      <c r="J96" s="2" t="s">
        <v>871</v>
      </c>
      <c r="K96" s="2" t="s">
        <v>304</v>
      </c>
      <c r="L96" s="2" t="s">
        <v>520</v>
      </c>
      <c r="M96" s="2" t="s">
        <v>400</v>
      </c>
      <c r="N96" s="2" t="s">
        <v>820</v>
      </c>
      <c r="O96" s="2" t="s">
        <v>402</v>
      </c>
      <c r="P96" s="2" t="s">
        <v>311</v>
      </c>
      <c r="Q96" s="2" t="s">
        <v>313</v>
      </c>
      <c r="R96" s="2" t="s">
        <v>403</v>
      </c>
      <c r="S96" s="2" t="s">
        <v>404</v>
      </c>
      <c r="T96" s="2" t="s">
        <v>405</v>
      </c>
      <c r="U96" s="2" t="s">
        <v>406</v>
      </c>
      <c r="V96" s="2" t="s">
        <v>407</v>
      </c>
      <c r="W96" s="2" t="s">
        <v>406</v>
      </c>
      <c r="X96" s="2" t="s">
        <v>633</v>
      </c>
      <c r="Y96" s="2" t="s">
        <v>409</v>
      </c>
    </row>
    <row r="97" customFormat="false" ht="87.75" hidden="false" customHeight="true" outlineLevel="0" collapsed="false">
      <c r="A97" s="2" t="s">
        <v>872</v>
      </c>
      <c r="B97" s="2" t="s">
        <v>295</v>
      </c>
      <c r="C97" s="2" t="s">
        <v>309</v>
      </c>
      <c r="D97" s="2" t="s">
        <v>310</v>
      </c>
      <c r="E97" s="2" t="s">
        <v>873</v>
      </c>
      <c r="F97" s="2" t="s">
        <v>874</v>
      </c>
      <c r="G97" s="2" t="s">
        <v>396</v>
      </c>
      <c r="H97" s="5" t="n">
        <v>2</v>
      </c>
      <c r="I97" s="2" t="s">
        <v>875</v>
      </c>
      <c r="J97" s="2" t="s">
        <v>362</v>
      </c>
      <c r="K97" s="2" t="s">
        <v>304</v>
      </c>
      <c r="L97" s="2" t="s">
        <v>520</v>
      </c>
      <c r="M97" s="2" t="s">
        <v>400</v>
      </c>
      <c r="N97" s="2" t="s">
        <v>820</v>
      </c>
      <c r="O97" s="2" t="s">
        <v>425</v>
      </c>
      <c r="P97" s="2" t="s">
        <v>311</v>
      </c>
      <c r="Q97" s="2" t="s">
        <v>313</v>
      </c>
      <c r="R97" s="2" t="s">
        <v>403</v>
      </c>
      <c r="S97" s="2" t="s">
        <v>404</v>
      </c>
      <c r="T97" s="2" t="s">
        <v>405</v>
      </c>
      <c r="U97" s="2" t="s">
        <v>406</v>
      </c>
      <c r="V97" s="2" t="s">
        <v>407</v>
      </c>
      <c r="W97" s="2" t="s">
        <v>406</v>
      </c>
      <c r="X97" s="2" t="s">
        <v>633</v>
      </c>
      <c r="Y97" s="2" t="s">
        <v>409</v>
      </c>
    </row>
    <row r="98" customFormat="false" ht="87.75" hidden="false" customHeight="true" outlineLevel="0" collapsed="false">
      <c r="A98" s="2" t="s">
        <v>876</v>
      </c>
      <c r="B98" s="2" t="s">
        <v>295</v>
      </c>
      <c r="C98" s="2" t="s">
        <v>309</v>
      </c>
      <c r="D98" s="2" t="s">
        <v>310</v>
      </c>
      <c r="E98" s="2" t="s">
        <v>877</v>
      </c>
      <c r="F98" s="2" t="s">
        <v>878</v>
      </c>
      <c r="G98" s="2" t="s">
        <v>429</v>
      </c>
      <c r="H98" s="5" t="n">
        <v>2</v>
      </c>
      <c r="I98" s="2" t="s">
        <v>879</v>
      </c>
      <c r="J98" s="2" t="s">
        <v>362</v>
      </c>
      <c r="K98" s="2" t="s">
        <v>304</v>
      </c>
      <c r="L98" s="2" t="s">
        <v>520</v>
      </c>
      <c r="M98" s="2" t="s">
        <v>400</v>
      </c>
      <c r="N98" s="2" t="s">
        <v>853</v>
      </c>
      <c r="O98" s="2" t="s">
        <v>402</v>
      </c>
      <c r="P98" s="2" t="s">
        <v>311</v>
      </c>
      <c r="Q98" s="2" t="s">
        <v>313</v>
      </c>
      <c r="R98" s="2" t="s">
        <v>403</v>
      </c>
      <c r="S98" s="2" t="s">
        <v>432</v>
      </c>
      <c r="T98" s="2" t="s">
        <v>405</v>
      </c>
      <c r="U98" s="2" t="s">
        <v>406</v>
      </c>
      <c r="V98" s="2" t="s">
        <v>407</v>
      </c>
      <c r="W98" s="2" t="s">
        <v>406</v>
      </c>
      <c r="X98" s="2" t="s">
        <v>880</v>
      </c>
      <c r="Y98" s="2" t="s">
        <v>409</v>
      </c>
    </row>
    <row r="99" customFormat="false" ht="87.75" hidden="false" customHeight="true" outlineLevel="0" collapsed="false">
      <c r="A99" s="2" t="s">
        <v>881</v>
      </c>
      <c r="B99" s="2" t="s">
        <v>295</v>
      </c>
      <c r="C99" s="2" t="s">
        <v>309</v>
      </c>
      <c r="D99" s="2" t="s">
        <v>310</v>
      </c>
      <c r="E99" s="2" t="s">
        <v>882</v>
      </c>
      <c r="F99" s="2" t="s">
        <v>827</v>
      </c>
      <c r="G99" s="2" t="s">
        <v>396</v>
      </c>
      <c r="H99" s="5" t="n">
        <v>2</v>
      </c>
      <c r="I99" s="2" t="s">
        <v>883</v>
      </c>
      <c r="J99" s="2" t="s">
        <v>362</v>
      </c>
      <c r="K99" s="2" t="s">
        <v>304</v>
      </c>
      <c r="L99" s="2" t="s">
        <v>543</v>
      </c>
      <c r="M99" s="2" t="s">
        <v>400</v>
      </c>
      <c r="N99" s="2" t="s">
        <v>820</v>
      </c>
      <c r="O99" s="2" t="s">
        <v>402</v>
      </c>
      <c r="P99" s="2" t="s">
        <v>311</v>
      </c>
      <c r="Q99" s="2" t="s">
        <v>313</v>
      </c>
      <c r="R99" s="2" t="s">
        <v>403</v>
      </c>
      <c r="S99" s="2" t="s">
        <v>404</v>
      </c>
      <c r="T99" s="2" t="s">
        <v>405</v>
      </c>
      <c r="U99" s="2" t="s">
        <v>406</v>
      </c>
      <c r="V99" s="2" t="s">
        <v>407</v>
      </c>
      <c r="W99" s="2" t="s">
        <v>406</v>
      </c>
      <c r="X99" s="2" t="s">
        <v>880</v>
      </c>
      <c r="Y99" s="2" t="s">
        <v>409</v>
      </c>
    </row>
    <row r="100" customFormat="false" ht="87.75" hidden="false" customHeight="true" outlineLevel="0" collapsed="false">
      <c r="A100" s="2" t="s">
        <v>884</v>
      </c>
      <c r="B100" s="2" t="s">
        <v>295</v>
      </c>
      <c r="C100" s="2" t="s">
        <v>309</v>
      </c>
      <c r="D100" s="2" t="s">
        <v>310</v>
      </c>
      <c r="E100" s="2" t="s">
        <v>885</v>
      </c>
      <c r="F100" s="2" t="s">
        <v>886</v>
      </c>
      <c r="G100" s="2" t="s">
        <v>429</v>
      </c>
      <c r="H100" s="5" t="n">
        <v>1</v>
      </c>
      <c r="I100" s="2" t="s">
        <v>887</v>
      </c>
      <c r="J100" s="2" t="s">
        <v>362</v>
      </c>
      <c r="K100" s="2" t="s">
        <v>304</v>
      </c>
      <c r="L100" s="2" t="s">
        <v>415</v>
      </c>
      <c r="M100" s="2" t="s">
        <v>400</v>
      </c>
      <c r="N100" s="2" t="s">
        <v>853</v>
      </c>
      <c r="O100" s="2" t="s">
        <v>491</v>
      </c>
      <c r="P100" s="2" t="s">
        <v>311</v>
      </c>
      <c r="Q100" s="2" t="s">
        <v>313</v>
      </c>
      <c r="R100" s="2" t="s">
        <v>403</v>
      </c>
      <c r="S100" s="2" t="s">
        <v>432</v>
      </c>
      <c r="T100" s="2" t="s">
        <v>405</v>
      </c>
      <c r="U100" s="2" t="s">
        <v>406</v>
      </c>
      <c r="V100" s="2" t="s">
        <v>407</v>
      </c>
      <c r="W100" s="2" t="s">
        <v>406</v>
      </c>
      <c r="X100" s="2" t="s">
        <v>880</v>
      </c>
      <c r="Y100" s="2" t="s">
        <v>409</v>
      </c>
    </row>
    <row r="101" customFormat="false" ht="87.75" hidden="false" customHeight="true" outlineLevel="0" collapsed="false">
      <c r="A101" s="2" t="s">
        <v>888</v>
      </c>
      <c r="B101" s="2" t="s">
        <v>295</v>
      </c>
      <c r="C101" s="2" t="s">
        <v>309</v>
      </c>
      <c r="D101" s="2" t="s">
        <v>310</v>
      </c>
      <c r="E101" s="2" t="s">
        <v>889</v>
      </c>
      <c r="F101" s="2" t="s">
        <v>860</v>
      </c>
      <c r="G101" s="2" t="s">
        <v>429</v>
      </c>
      <c r="H101" s="5" t="n">
        <v>1</v>
      </c>
      <c r="I101" s="2" t="s">
        <v>890</v>
      </c>
      <c r="J101" s="2" t="s">
        <v>362</v>
      </c>
      <c r="K101" s="2" t="s">
        <v>304</v>
      </c>
      <c r="L101" s="2" t="s">
        <v>415</v>
      </c>
      <c r="M101" s="2" t="s">
        <v>400</v>
      </c>
      <c r="N101" s="2" t="s">
        <v>853</v>
      </c>
      <c r="O101" s="2" t="s">
        <v>686</v>
      </c>
      <c r="P101" s="2" t="s">
        <v>311</v>
      </c>
      <c r="Q101" s="2" t="s">
        <v>313</v>
      </c>
      <c r="R101" s="2" t="s">
        <v>403</v>
      </c>
      <c r="S101" s="2" t="s">
        <v>432</v>
      </c>
      <c r="T101" s="2" t="s">
        <v>405</v>
      </c>
      <c r="U101" s="2" t="s">
        <v>406</v>
      </c>
      <c r="V101" s="2" t="s">
        <v>407</v>
      </c>
      <c r="W101" s="2" t="s">
        <v>406</v>
      </c>
      <c r="X101" s="2" t="s">
        <v>880</v>
      </c>
      <c r="Y101" s="2" t="s">
        <v>409</v>
      </c>
    </row>
    <row r="102" customFormat="false" ht="87.75" hidden="false" customHeight="true" outlineLevel="0" collapsed="false">
      <c r="A102" s="2" t="s">
        <v>891</v>
      </c>
      <c r="B102" s="2" t="s">
        <v>295</v>
      </c>
      <c r="C102" s="2" t="s">
        <v>315</v>
      </c>
      <c r="D102" s="2" t="s">
        <v>316</v>
      </c>
      <c r="E102" s="2" t="s">
        <v>892</v>
      </c>
      <c r="F102" s="2" t="s">
        <v>893</v>
      </c>
      <c r="G102" s="2" t="s">
        <v>396</v>
      </c>
      <c r="H102" s="5" t="n">
        <v>3</v>
      </c>
      <c r="I102" s="2" t="s">
        <v>894</v>
      </c>
      <c r="J102" s="2" t="s">
        <v>895</v>
      </c>
      <c r="K102" s="2" t="s">
        <v>276</v>
      </c>
      <c r="L102" s="2" t="s">
        <v>399</v>
      </c>
      <c r="M102" s="2" t="s">
        <v>400</v>
      </c>
      <c r="N102" s="2" t="s">
        <v>820</v>
      </c>
      <c r="O102" s="2" t="s">
        <v>454</v>
      </c>
      <c r="P102" s="2" t="s">
        <v>316</v>
      </c>
      <c r="Q102" s="2" t="s">
        <v>318</v>
      </c>
      <c r="R102" s="2" t="s">
        <v>403</v>
      </c>
      <c r="S102" s="2" t="s">
        <v>404</v>
      </c>
      <c r="T102" s="2" t="s">
        <v>405</v>
      </c>
      <c r="U102" s="2" t="s">
        <v>406</v>
      </c>
      <c r="V102" s="2" t="s">
        <v>407</v>
      </c>
      <c r="W102" s="2" t="s">
        <v>406</v>
      </c>
      <c r="X102" s="2" t="s">
        <v>712</v>
      </c>
      <c r="Y102" s="2" t="s">
        <v>409</v>
      </c>
    </row>
    <row r="103" customFormat="false" ht="87.75" hidden="false" customHeight="true" outlineLevel="0" collapsed="false">
      <c r="A103" s="2" t="s">
        <v>896</v>
      </c>
      <c r="B103" s="2" t="s">
        <v>295</v>
      </c>
      <c r="C103" s="2" t="s">
        <v>315</v>
      </c>
      <c r="D103" s="2" t="s">
        <v>316</v>
      </c>
      <c r="E103" s="2" t="s">
        <v>897</v>
      </c>
      <c r="F103" s="2" t="s">
        <v>827</v>
      </c>
      <c r="G103" s="2" t="s">
        <v>396</v>
      </c>
      <c r="H103" s="5" t="n">
        <v>3</v>
      </c>
      <c r="I103" s="2" t="s">
        <v>898</v>
      </c>
      <c r="J103" s="2" t="s">
        <v>653</v>
      </c>
      <c r="K103" s="2" t="s">
        <v>276</v>
      </c>
      <c r="L103" s="2" t="s">
        <v>399</v>
      </c>
      <c r="M103" s="2" t="s">
        <v>400</v>
      </c>
      <c r="N103" s="2" t="s">
        <v>820</v>
      </c>
      <c r="O103" s="2" t="s">
        <v>454</v>
      </c>
      <c r="P103" s="2" t="s">
        <v>316</v>
      </c>
      <c r="Q103" s="2" t="s">
        <v>318</v>
      </c>
      <c r="R103" s="2" t="s">
        <v>403</v>
      </c>
      <c r="S103" s="2" t="s">
        <v>404</v>
      </c>
      <c r="T103" s="2" t="s">
        <v>405</v>
      </c>
      <c r="U103" s="2" t="s">
        <v>406</v>
      </c>
      <c r="V103" s="2" t="s">
        <v>407</v>
      </c>
      <c r="W103" s="2" t="s">
        <v>406</v>
      </c>
      <c r="X103" s="2" t="s">
        <v>712</v>
      </c>
      <c r="Y103" s="2" t="s">
        <v>409</v>
      </c>
    </row>
    <row r="104" customFormat="false" ht="87.75" hidden="false" customHeight="true" outlineLevel="0" collapsed="false">
      <c r="A104" s="2" t="s">
        <v>899</v>
      </c>
      <c r="B104" s="2" t="s">
        <v>295</v>
      </c>
      <c r="C104" s="2" t="s">
        <v>315</v>
      </c>
      <c r="D104" s="2" t="s">
        <v>316</v>
      </c>
      <c r="E104" s="2" t="s">
        <v>900</v>
      </c>
      <c r="F104" s="2" t="s">
        <v>860</v>
      </c>
      <c r="G104" s="2" t="s">
        <v>396</v>
      </c>
      <c r="H104" s="5" t="n">
        <v>2</v>
      </c>
      <c r="I104" s="2" t="s">
        <v>901</v>
      </c>
      <c r="J104" s="2" t="s">
        <v>653</v>
      </c>
      <c r="K104" s="2" t="s">
        <v>276</v>
      </c>
      <c r="L104" s="2" t="s">
        <v>415</v>
      </c>
      <c r="M104" s="2" t="s">
        <v>400</v>
      </c>
      <c r="N104" s="2" t="s">
        <v>820</v>
      </c>
      <c r="O104" s="2" t="s">
        <v>425</v>
      </c>
      <c r="P104" s="2" t="s">
        <v>316</v>
      </c>
      <c r="Q104" s="2" t="s">
        <v>318</v>
      </c>
      <c r="R104" s="2" t="s">
        <v>403</v>
      </c>
      <c r="S104" s="2" t="s">
        <v>404</v>
      </c>
      <c r="T104" s="2" t="s">
        <v>405</v>
      </c>
      <c r="U104" s="2" t="s">
        <v>406</v>
      </c>
      <c r="V104" s="2" t="s">
        <v>407</v>
      </c>
      <c r="W104" s="2" t="s">
        <v>406</v>
      </c>
      <c r="X104" s="2" t="s">
        <v>902</v>
      </c>
      <c r="Y104" s="2" t="s">
        <v>409</v>
      </c>
    </row>
    <row r="105" customFormat="false" ht="87.75" hidden="false" customHeight="true" outlineLevel="0" collapsed="false">
      <c r="A105" s="2" t="s">
        <v>903</v>
      </c>
      <c r="B105" s="2" t="s">
        <v>295</v>
      </c>
      <c r="C105" s="2" t="s">
        <v>315</v>
      </c>
      <c r="D105" s="2" t="s">
        <v>316</v>
      </c>
      <c r="E105" s="2" t="s">
        <v>904</v>
      </c>
      <c r="F105" s="2" t="s">
        <v>905</v>
      </c>
      <c r="G105" s="2" t="s">
        <v>396</v>
      </c>
      <c r="H105" s="5" t="n">
        <v>2</v>
      </c>
      <c r="I105" s="2" t="s">
        <v>906</v>
      </c>
      <c r="J105" s="2" t="s">
        <v>653</v>
      </c>
      <c r="K105" s="2" t="s">
        <v>276</v>
      </c>
      <c r="L105" s="2" t="s">
        <v>415</v>
      </c>
      <c r="M105" s="2" t="s">
        <v>400</v>
      </c>
      <c r="N105" s="2" t="s">
        <v>820</v>
      </c>
      <c r="O105" s="2" t="s">
        <v>454</v>
      </c>
      <c r="P105" s="2" t="s">
        <v>316</v>
      </c>
      <c r="Q105" s="2" t="s">
        <v>318</v>
      </c>
      <c r="R105" s="2" t="s">
        <v>403</v>
      </c>
      <c r="S105" s="2" t="s">
        <v>404</v>
      </c>
      <c r="T105" s="2" t="s">
        <v>405</v>
      </c>
      <c r="U105" s="2" t="s">
        <v>406</v>
      </c>
      <c r="V105" s="2" t="s">
        <v>407</v>
      </c>
      <c r="W105" s="2" t="s">
        <v>406</v>
      </c>
      <c r="X105" s="2" t="s">
        <v>902</v>
      </c>
      <c r="Y105" s="2" t="s">
        <v>409</v>
      </c>
    </row>
    <row r="106" customFormat="false" ht="87.75" hidden="false" customHeight="true" outlineLevel="0" collapsed="false">
      <c r="A106" s="2" t="s">
        <v>907</v>
      </c>
      <c r="B106" s="2" t="s">
        <v>295</v>
      </c>
      <c r="C106" s="2" t="s">
        <v>315</v>
      </c>
      <c r="D106" s="2" t="s">
        <v>316</v>
      </c>
      <c r="E106" s="2" t="s">
        <v>908</v>
      </c>
      <c r="F106" s="2" t="s">
        <v>860</v>
      </c>
      <c r="G106" s="2" t="s">
        <v>429</v>
      </c>
      <c r="H106" s="5" t="n">
        <v>2</v>
      </c>
      <c r="I106" s="2" t="s">
        <v>909</v>
      </c>
      <c r="J106" s="2" t="s">
        <v>653</v>
      </c>
      <c r="K106" s="2" t="s">
        <v>276</v>
      </c>
      <c r="L106" s="2" t="s">
        <v>415</v>
      </c>
      <c r="M106" s="2" t="s">
        <v>400</v>
      </c>
      <c r="N106" s="2" t="s">
        <v>853</v>
      </c>
      <c r="O106" s="2" t="s">
        <v>454</v>
      </c>
      <c r="P106" s="2" t="s">
        <v>316</v>
      </c>
      <c r="Q106" s="2" t="s">
        <v>318</v>
      </c>
      <c r="R106" s="2" t="s">
        <v>403</v>
      </c>
      <c r="S106" s="2" t="s">
        <v>432</v>
      </c>
      <c r="T106" s="2" t="s">
        <v>405</v>
      </c>
      <c r="U106" s="2" t="s">
        <v>406</v>
      </c>
      <c r="V106" s="2" t="s">
        <v>407</v>
      </c>
      <c r="W106" s="2" t="s">
        <v>406</v>
      </c>
      <c r="X106" s="2" t="s">
        <v>902</v>
      </c>
      <c r="Y106" s="2" t="s">
        <v>409</v>
      </c>
    </row>
    <row r="107" customFormat="false" ht="87.75" hidden="false" customHeight="true" outlineLevel="0" collapsed="false">
      <c r="A107" s="2" t="s">
        <v>910</v>
      </c>
      <c r="B107" s="2" t="s">
        <v>295</v>
      </c>
      <c r="C107" s="2" t="s">
        <v>315</v>
      </c>
      <c r="D107" s="2" t="s">
        <v>316</v>
      </c>
      <c r="E107" s="2" t="s">
        <v>911</v>
      </c>
      <c r="F107" s="2" t="s">
        <v>912</v>
      </c>
      <c r="G107" s="2" t="s">
        <v>429</v>
      </c>
      <c r="H107" s="5" t="n">
        <v>1</v>
      </c>
      <c r="I107" s="2" t="s">
        <v>913</v>
      </c>
      <c r="J107" s="2" t="s">
        <v>653</v>
      </c>
      <c r="K107" s="2" t="s">
        <v>276</v>
      </c>
      <c r="L107" s="2" t="s">
        <v>415</v>
      </c>
      <c r="M107" s="2" t="s">
        <v>400</v>
      </c>
      <c r="N107" s="2" t="s">
        <v>853</v>
      </c>
      <c r="O107" s="2" t="s">
        <v>454</v>
      </c>
      <c r="P107" s="2" t="s">
        <v>316</v>
      </c>
      <c r="Q107" s="2" t="s">
        <v>318</v>
      </c>
      <c r="R107" s="2" t="s">
        <v>403</v>
      </c>
      <c r="S107" s="2" t="s">
        <v>432</v>
      </c>
      <c r="T107" s="2" t="s">
        <v>405</v>
      </c>
      <c r="U107" s="2" t="s">
        <v>406</v>
      </c>
      <c r="V107" s="2" t="s">
        <v>407</v>
      </c>
      <c r="W107" s="2" t="s">
        <v>406</v>
      </c>
      <c r="X107" s="2" t="s">
        <v>902</v>
      </c>
      <c r="Y107" s="2" t="s">
        <v>409</v>
      </c>
    </row>
    <row r="108" customFormat="false" ht="87.75" hidden="false" customHeight="true" outlineLevel="0" collapsed="false">
      <c r="A108" s="2" t="s">
        <v>914</v>
      </c>
      <c r="B108" s="2" t="s">
        <v>295</v>
      </c>
      <c r="C108" s="2" t="s">
        <v>320</v>
      </c>
      <c r="D108" s="2" t="s">
        <v>321</v>
      </c>
      <c r="E108" s="2" t="s">
        <v>915</v>
      </c>
      <c r="F108" s="2" t="s">
        <v>916</v>
      </c>
      <c r="G108" s="2" t="s">
        <v>396</v>
      </c>
      <c r="H108" s="5" t="n">
        <v>3</v>
      </c>
      <c r="I108" s="2" t="s">
        <v>917</v>
      </c>
      <c r="J108" s="2" t="s">
        <v>918</v>
      </c>
      <c r="K108" s="2" t="s">
        <v>322</v>
      </c>
      <c r="L108" s="2" t="s">
        <v>399</v>
      </c>
      <c r="M108" s="2" t="s">
        <v>400</v>
      </c>
      <c r="N108" s="2" t="s">
        <v>820</v>
      </c>
      <c r="O108" s="2" t="s">
        <v>491</v>
      </c>
      <c r="P108" s="2" t="s">
        <v>323</v>
      </c>
      <c r="Q108" s="2" t="s">
        <v>325</v>
      </c>
      <c r="R108" s="2" t="s">
        <v>403</v>
      </c>
      <c r="S108" s="2" t="s">
        <v>404</v>
      </c>
      <c r="T108" s="2" t="s">
        <v>405</v>
      </c>
      <c r="U108" s="2" t="s">
        <v>406</v>
      </c>
      <c r="V108" s="2" t="s">
        <v>407</v>
      </c>
      <c r="W108" s="2" t="s">
        <v>406</v>
      </c>
      <c r="X108" s="2" t="s">
        <v>919</v>
      </c>
      <c r="Y108" s="2" t="s">
        <v>409</v>
      </c>
    </row>
    <row r="109" customFormat="false" ht="87.75" hidden="false" customHeight="true" outlineLevel="0" collapsed="false">
      <c r="A109" s="2" t="s">
        <v>920</v>
      </c>
      <c r="B109" s="2" t="s">
        <v>295</v>
      </c>
      <c r="C109" s="2" t="s">
        <v>320</v>
      </c>
      <c r="D109" s="2" t="s">
        <v>321</v>
      </c>
      <c r="E109" s="2" t="s">
        <v>921</v>
      </c>
      <c r="F109" s="2" t="s">
        <v>922</v>
      </c>
      <c r="G109" s="2" t="s">
        <v>396</v>
      </c>
      <c r="H109" s="5" t="n">
        <v>3</v>
      </c>
      <c r="I109" s="2" t="s">
        <v>923</v>
      </c>
      <c r="J109" s="2" t="s">
        <v>924</v>
      </c>
      <c r="K109" s="2" t="s">
        <v>322</v>
      </c>
      <c r="L109" s="2" t="s">
        <v>538</v>
      </c>
      <c r="M109" s="2" t="s">
        <v>400</v>
      </c>
      <c r="N109" s="2" t="s">
        <v>820</v>
      </c>
      <c r="O109" s="2" t="s">
        <v>491</v>
      </c>
      <c r="P109" s="2" t="s">
        <v>323</v>
      </c>
      <c r="Q109" s="2" t="s">
        <v>325</v>
      </c>
      <c r="R109" s="2" t="s">
        <v>403</v>
      </c>
      <c r="S109" s="2" t="s">
        <v>404</v>
      </c>
      <c r="T109" s="2" t="s">
        <v>405</v>
      </c>
      <c r="U109" s="2" t="s">
        <v>406</v>
      </c>
      <c r="V109" s="2" t="s">
        <v>407</v>
      </c>
      <c r="W109" s="2" t="s">
        <v>406</v>
      </c>
      <c r="X109" s="2" t="s">
        <v>919</v>
      </c>
      <c r="Y109" s="2" t="s">
        <v>409</v>
      </c>
    </row>
    <row r="110" customFormat="false" ht="41.75" hidden="false" customHeight="false" outlineLevel="0" collapsed="false">
      <c r="A110" s="2" t="s">
        <v>925</v>
      </c>
      <c r="B110" s="2" t="s">
        <v>295</v>
      </c>
      <c r="C110" s="2" t="s">
        <v>320</v>
      </c>
      <c r="D110" s="2" t="s">
        <v>321</v>
      </c>
      <c r="E110" s="2" t="s">
        <v>926</v>
      </c>
      <c r="F110" s="2" t="s">
        <v>827</v>
      </c>
      <c r="G110" s="2" t="s">
        <v>429</v>
      </c>
      <c r="H110" s="5" t="n">
        <v>2</v>
      </c>
      <c r="I110" s="2" t="s">
        <v>927</v>
      </c>
      <c r="J110" s="2" t="s">
        <v>924</v>
      </c>
      <c r="K110" s="2" t="s">
        <v>322</v>
      </c>
      <c r="L110" s="2" t="s">
        <v>415</v>
      </c>
      <c r="M110" s="2" t="s">
        <v>400</v>
      </c>
      <c r="N110" s="2" t="s">
        <v>853</v>
      </c>
      <c r="O110" s="2" t="s">
        <v>491</v>
      </c>
      <c r="P110" s="2" t="s">
        <v>323</v>
      </c>
      <c r="Q110" s="2" t="s">
        <v>325</v>
      </c>
      <c r="R110" s="2" t="s">
        <v>403</v>
      </c>
      <c r="S110" s="2" t="s">
        <v>432</v>
      </c>
      <c r="T110" s="2" t="s">
        <v>405</v>
      </c>
      <c r="U110" s="2" t="s">
        <v>406</v>
      </c>
      <c r="V110" s="2" t="s">
        <v>407</v>
      </c>
      <c r="W110" s="2" t="s">
        <v>406</v>
      </c>
      <c r="X110" s="2" t="s">
        <v>919</v>
      </c>
      <c r="Y110" s="2" t="s">
        <v>409</v>
      </c>
    </row>
    <row r="111" customFormat="false" ht="41.75" hidden="false" customHeight="false" outlineLevel="0" collapsed="false">
      <c r="A111" s="2" t="s">
        <v>928</v>
      </c>
      <c r="B111" s="2" t="s">
        <v>295</v>
      </c>
      <c r="C111" s="2" t="s">
        <v>320</v>
      </c>
      <c r="D111" s="2" t="s">
        <v>321</v>
      </c>
      <c r="E111" s="2" t="s">
        <v>929</v>
      </c>
      <c r="F111" s="2" t="s">
        <v>930</v>
      </c>
      <c r="G111" s="2" t="s">
        <v>396</v>
      </c>
      <c r="H111" s="5" t="n">
        <v>2</v>
      </c>
      <c r="I111" s="2" t="s">
        <v>931</v>
      </c>
      <c r="J111" s="2" t="s">
        <v>924</v>
      </c>
      <c r="K111" s="2" t="s">
        <v>322</v>
      </c>
      <c r="L111" s="2" t="s">
        <v>415</v>
      </c>
      <c r="M111" s="2" t="s">
        <v>400</v>
      </c>
      <c r="N111" s="2" t="s">
        <v>820</v>
      </c>
      <c r="O111" s="2" t="s">
        <v>491</v>
      </c>
      <c r="P111" s="2" t="s">
        <v>323</v>
      </c>
      <c r="Q111" s="2" t="s">
        <v>325</v>
      </c>
      <c r="R111" s="2" t="s">
        <v>403</v>
      </c>
      <c r="S111" s="2" t="s">
        <v>404</v>
      </c>
      <c r="T111" s="2" t="s">
        <v>405</v>
      </c>
      <c r="U111" s="2" t="s">
        <v>406</v>
      </c>
      <c r="V111" s="2" t="s">
        <v>407</v>
      </c>
      <c r="W111" s="2" t="s">
        <v>406</v>
      </c>
      <c r="X111" s="2" t="s">
        <v>919</v>
      </c>
      <c r="Y111" s="2" t="s">
        <v>409</v>
      </c>
    </row>
    <row r="112" customFormat="false" ht="41.75" hidden="false" customHeight="false" outlineLevel="0" collapsed="false">
      <c r="A112" s="2" t="s">
        <v>932</v>
      </c>
      <c r="B112" s="2" t="s">
        <v>295</v>
      </c>
      <c r="C112" s="2" t="s">
        <v>320</v>
      </c>
      <c r="D112" s="2" t="s">
        <v>321</v>
      </c>
      <c r="E112" s="2" t="s">
        <v>933</v>
      </c>
      <c r="F112" s="2" t="s">
        <v>934</v>
      </c>
      <c r="G112" s="2" t="s">
        <v>396</v>
      </c>
      <c r="H112" s="5" t="n">
        <v>2</v>
      </c>
      <c r="I112" s="2" t="s">
        <v>935</v>
      </c>
      <c r="J112" s="2" t="s">
        <v>924</v>
      </c>
      <c r="K112" s="2" t="s">
        <v>322</v>
      </c>
      <c r="L112" s="2" t="s">
        <v>415</v>
      </c>
      <c r="M112" s="2" t="s">
        <v>400</v>
      </c>
      <c r="N112" s="2" t="s">
        <v>820</v>
      </c>
      <c r="O112" s="2" t="s">
        <v>491</v>
      </c>
      <c r="P112" s="2" t="s">
        <v>323</v>
      </c>
      <c r="Q112" s="2" t="s">
        <v>325</v>
      </c>
      <c r="R112" s="2" t="s">
        <v>403</v>
      </c>
      <c r="S112" s="2" t="s">
        <v>404</v>
      </c>
      <c r="T112" s="2" t="s">
        <v>405</v>
      </c>
      <c r="U112" s="2" t="s">
        <v>406</v>
      </c>
      <c r="V112" s="2" t="s">
        <v>407</v>
      </c>
      <c r="W112" s="2" t="s">
        <v>406</v>
      </c>
      <c r="X112" s="2" t="s">
        <v>919</v>
      </c>
      <c r="Y112" s="2" t="s">
        <v>409</v>
      </c>
    </row>
    <row r="113" customFormat="false" ht="41.75" hidden="false" customHeight="false" outlineLevel="0" collapsed="false">
      <c r="A113" s="2" t="s">
        <v>936</v>
      </c>
      <c r="B113" s="2" t="s">
        <v>295</v>
      </c>
      <c r="C113" s="2" t="s">
        <v>320</v>
      </c>
      <c r="D113" s="2" t="s">
        <v>321</v>
      </c>
      <c r="E113" s="2" t="s">
        <v>937</v>
      </c>
      <c r="F113" s="2" t="s">
        <v>938</v>
      </c>
      <c r="G113" s="2" t="s">
        <v>396</v>
      </c>
      <c r="H113" s="5" t="n">
        <v>2</v>
      </c>
      <c r="I113" s="2" t="s">
        <v>939</v>
      </c>
      <c r="J113" s="2" t="s">
        <v>924</v>
      </c>
      <c r="K113" s="2" t="s">
        <v>322</v>
      </c>
      <c r="L113" s="2" t="s">
        <v>415</v>
      </c>
      <c r="M113" s="2" t="s">
        <v>400</v>
      </c>
      <c r="N113" s="2" t="s">
        <v>820</v>
      </c>
      <c r="O113" s="2" t="s">
        <v>402</v>
      </c>
      <c r="P113" s="2" t="s">
        <v>323</v>
      </c>
      <c r="Q113" s="2" t="s">
        <v>325</v>
      </c>
      <c r="R113" s="2" t="s">
        <v>403</v>
      </c>
      <c r="S113" s="2" t="s">
        <v>404</v>
      </c>
      <c r="T113" s="2" t="s">
        <v>405</v>
      </c>
      <c r="U113" s="2" t="s">
        <v>406</v>
      </c>
      <c r="V113" s="2" t="s">
        <v>407</v>
      </c>
      <c r="W113" s="2" t="s">
        <v>406</v>
      </c>
      <c r="X113" s="2" t="s">
        <v>919</v>
      </c>
      <c r="Y113" s="2" t="s">
        <v>409</v>
      </c>
    </row>
    <row r="114" customFormat="false" ht="41.75" hidden="false" customHeight="false" outlineLevel="0" collapsed="false">
      <c r="A114" s="3" t="s">
        <v>940</v>
      </c>
      <c r="B114" s="2" t="s">
        <v>295</v>
      </c>
      <c r="C114" s="2" t="s">
        <v>320</v>
      </c>
      <c r="D114" s="2" t="s">
        <v>321</v>
      </c>
      <c r="E114" s="2" t="s">
        <v>941</v>
      </c>
      <c r="F114" s="2" t="s">
        <v>942</v>
      </c>
      <c r="G114" s="2" t="s">
        <v>429</v>
      </c>
      <c r="H114" s="5" t="n">
        <v>1</v>
      </c>
      <c r="I114" s="2" t="s">
        <v>943</v>
      </c>
      <c r="J114" s="2" t="s">
        <v>924</v>
      </c>
      <c r="K114" s="2" t="s">
        <v>322</v>
      </c>
      <c r="L114" s="2" t="s">
        <v>399</v>
      </c>
      <c r="M114" s="2" t="s">
        <v>400</v>
      </c>
      <c r="N114" s="2" t="s">
        <v>853</v>
      </c>
      <c r="O114" s="2" t="s">
        <v>491</v>
      </c>
      <c r="P114" s="2" t="s">
        <v>323</v>
      </c>
      <c r="Q114" s="2" t="s">
        <v>325</v>
      </c>
      <c r="R114" s="2" t="s">
        <v>403</v>
      </c>
      <c r="S114" s="2" t="s">
        <v>432</v>
      </c>
      <c r="T114" s="2" t="s">
        <v>405</v>
      </c>
      <c r="U114" s="2" t="s">
        <v>406</v>
      </c>
      <c r="V114" s="2" t="s">
        <v>407</v>
      </c>
      <c r="W114" s="2" t="s">
        <v>502</v>
      </c>
      <c r="X114" s="2" t="s">
        <v>944</v>
      </c>
      <c r="Y114" s="3" t="s">
        <v>225</v>
      </c>
    </row>
    <row r="115" customFormat="false" ht="41.75" hidden="false" customHeight="false" outlineLevel="0" collapsed="false">
      <c r="A115" s="2" t="s">
        <v>945</v>
      </c>
      <c r="B115" s="2" t="s">
        <v>295</v>
      </c>
      <c r="C115" s="2" t="s">
        <v>327</v>
      </c>
      <c r="D115" s="2" t="s">
        <v>328</v>
      </c>
      <c r="E115" s="2" t="s">
        <v>946</v>
      </c>
      <c r="F115" s="2" t="s">
        <v>947</v>
      </c>
      <c r="G115" s="2" t="s">
        <v>396</v>
      </c>
      <c r="H115" s="5" t="n">
        <v>3</v>
      </c>
      <c r="I115" s="2" t="s">
        <v>948</v>
      </c>
      <c r="J115" s="2" t="s">
        <v>949</v>
      </c>
      <c r="K115" s="2" t="s">
        <v>329</v>
      </c>
      <c r="L115" s="2" t="s">
        <v>399</v>
      </c>
      <c r="M115" s="2" t="s">
        <v>400</v>
      </c>
      <c r="N115" s="2" t="s">
        <v>820</v>
      </c>
      <c r="O115" s="2" t="s">
        <v>402</v>
      </c>
      <c r="P115" s="2" t="s">
        <v>330</v>
      </c>
      <c r="Q115" s="2" t="s">
        <v>332</v>
      </c>
      <c r="R115" s="2" t="s">
        <v>403</v>
      </c>
      <c r="S115" s="2" t="s">
        <v>404</v>
      </c>
      <c r="T115" s="2" t="s">
        <v>405</v>
      </c>
      <c r="U115" s="2" t="s">
        <v>406</v>
      </c>
      <c r="V115" s="2" t="s">
        <v>407</v>
      </c>
      <c r="W115" s="2" t="s">
        <v>406</v>
      </c>
      <c r="X115" s="2" t="s">
        <v>548</v>
      </c>
      <c r="Y115" s="2" t="s">
        <v>409</v>
      </c>
    </row>
    <row r="116" customFormat="false" ht="41.75" hidden="false" customHeight="false" outlineLevel="0" collapsed="false">
      <c r="A116" s="2" t="s">
        <v>950</v>
      </c>
      <c r="B116" s="2" t="s">
        <v>295</v>
      </c>
      <c r="C116" s="2" t="s">
        <v>327</v>
      </c>
      <c r="D116" s="2" t="s">
        <v>328</v>
      </c>
      <c r="E116" s="2" t="s">
        <v>951</v>
      </c>
      <c r="F116" s="2" t="s">
        <v>952</v>
      </c>
      <c r="G116" s="2" t="s">
        <v>396</v>
      </c>
      <c r="H116" s="5" t="n">
        <v>3</v>
      </c>
      <c r="I116" s="2" t="s">
        <v>953</v>
      </c>
      <c r="J116" s="2" t="s">
        <v>954</v>
      </c>
      <c r="K116" s="2" t="s">
        <v>329</v>
      </c>
      <c r="L116" s="2" t="s">
        <v>399</v>
      </c>
      <c r="M116" s="2" t="s">
        <v>400</v>
      </c>
      <c r="N116" s="2" t="s">
        <v>820</v>
      </c>
      <c r="O116" s="2" t="s">
        <v>402</v>
      </c>
      <c r="P116" s="2" t="s">
        <v>330</v>
      </c>
      <c r="Q116" s="2" t="s">
        <v>332</v>
      </c>
      <c r="R116" s="2" t="s">
        <v>403</v>
      </c>
      <c r="S116" s="2" t="s">
        <v>404</v>
      </c>
      <c r="T116" s="2" t="s">
        <v>405</v>
      </c>
      <c r="U116" s="2" t="s">
        <v>406</v>
      </c>
      <c r="V116" s="2" t="s">
        <v>407</v>
      </c>
      <c r="W116" s="2" t="s">
        <v>406</v>
      </c>
      <c r="X116" s="2" t="s">
        <v>548</v>
      </c>
      <c r="Y116" s="2" t="s">
        <v>409</v>
      </c>
    </row>
    <row r="117" customFormat="false" ht="41.75" hidden="false" customHeight="false" outlineLevel="0" collapsed="false">
      <c r="A117" s="2" t="s">
        <v>955</v>
      </c>
      <c r="B117" s="2" t="s">
        <v>295</v>
      </c>
      <c r="C117" s="2" t="s">
        <v>327</v>
      </c>
      <c r="D117" s="2" t="s">
        <v>328</v>
      </c>
      <c r="E117" s="2" t="s">
        <v>956</v>
      </c>
      <c r="F117" s="2" t="s">
        <v>957</v>
      </c>
      <c r="G117" s="2" t="s">
        <v>396</v>
      </c>
      <c r="H117" s="5" t="n">
        <v>2</v>
      </c>
      <c r="I117" s="2" t="s">
        <v>958</v>
      </c>
      <c r="J117" s="2" t="s">
        <v>954</v>
      </c>
      <c r="K117" s="2" t="s">
        <v>329</v>
      </c>
      <c r="L117" s="2" t="s">
        <v>543</v>
      </c>
      <c r="M117" s="2" t="s">
        <v>400</v>
      </c>
      <c r="N117" s="2" t="s">
        <v>820</v>
      </c>
      <c r="O117" s="2" t="s">
        <v>686</v>
      </c>
      <c r="P117" s="2" t="s">
        <v>330</v>
      </c>
      <c r="Q117" s="2" t="s">
        <v>332</v>
      </c>
      <c r="R117" s="2" t="s">
        <v>403</v>
      </c>
      <c r="S117" s="2" t="s">
        <v>404</v>
      </c>
      <c r="T117" s="2" t="s">
        <v>405</v>
      </c>
      <c r="U117" s="2" t="s">
        <v>406</v>
      </c>
      <c r="V117" s="2" t="s">
        <v>407</v>
      </c>
      <c r="W117" s="2" t="s">
        <v>406</v>
      </c>
      <c r="X117" s="2" t="s">
        <v>548</v>
      </c>
      <c r="Y117" s="2" t="s">
        <v>409</v>
      </c>
    </row>
    <row r="118" customFormat="false" ht="41.75" hidden="false" customHeight="false" outlineLevel="0" collapsed="false">
      <c r="A118" s="2" t="s">
        <v>959</v>
      </c>
      <c r="B118" s="2" t="s">
        <v>295</v>
      </c>
      <c r="C118" s="2" t="s">
        <v>327</v>
      </c>
      <c r="D118" s="2" t="s">
        <v>328</v>
      </c>
      <c r="E118" s="2" t="s">
        <v>960</v>
      </c>
      <c r="F118" s="2" t="s">
        <v>961</v>
      </c>
      <c r="G118" s="2" t="s">
        <v>429</v>
      </c>
      <c r="H118" s="5" t="n">
        <v>1</v>
      </c>
      <c r="I118" s="2" t="s">
        <v>962</v>
      </c>
      <c r="J118" s="2" t="s">
        <v>954</v>
      </c>
      <c r="K118" s="2" t="s">
        <v>329</v>
      </c>
      <c r="L118" s="2" t="s">
        <v>415</v>
      </c>
      <c r="M118" s="2" t="s">
        <v>400</v>
      </c>
      <c r="N118" s="2" t="s">
        <v>853</v>
      </c>
      <c r="O118" s="2" t="s">
        <v>425</v>
      </c>
      <c r="P118" s="2" t="s">
        <v>330</v>
      </c>
      <c r="Q118" s="2" t="s">
        <v>332</v>
      </c>
      <c r="R118" s="2" t="s">
        <v>403</v>
      </c>
      <c r="S118" s="2" t="s">
        <v>432</v>
      </c>
      <c r="T118" s="2" t="s">
        <v>405</v>
      </c>
      <c r="U118" s="2" t="s">
        <v>406</v>
      </c>
      <c r="V118" s="2" t="s">
        <v>407</v>
      </c>
      <c r="W118" s="2" t="s">
        <v>406</v>
      </c>
      <c r="X118" s="2" t="s">
        <v>548</v>
      </c>
      <c r="Y118" s="2" t="s">
        <v>409</v>
      </c>
    </row>
    <row r="119" customFormat="false" ht="41.75" hidden="false" customHeight="false" outlineLevel="0" collapsed="false">
      <c r="A119" s="2" t="s">
        <v>963</v>
      </c>
      <c r="B119" s="2" t="s">
        <v>295</v>
      </c>
      <c r="C119" s="2" t="s">
        <v>327</v>
      </c>
      <c r="D119" s="2" t="s">
        <v>328</v>
      </c>
      <c r="E119" s="2" t="s">
        <v>964</v>
      </c>
      <c r="F119" s="2" t="s">
        <v>965</v>
      </c>
      <c r="G119" s="2" t="s">
        <v>429</v>
      </c>
      <c r="H119" s="5" t="n">
        <v>2</v>
      </c>
      <c r="I119" s="2" t="s">
        <v>966</v>
      </c>
      <c r="J119" s="2" t="s">
        <v>954</v>
      </c>
      <c r="K119" s="2" t="s">
        <v>329</v>
      </c>
      <c r="L119" s="2" t="s">
        <v>415</v>
      </c>
      <c r="M119" s="2" t="s">
        <v>400</v>
      </c>
      <c r="N119" s="2" t="s">
        <v>853</v>
      </c>
      <c r="O119" s="2" t="s">
        <v>425</v>
      </c>
      <c r="P119" s="2" t="s">
        <v>330</v>
      </c>
      <c r="Q119" s="2" t="s">
        <v>332</v>
      </c>
      <c r="R119" s="2" t="s">
        <v>403</v>
      </c>
      <c r="S119" s="2" t="s">
        <v>432</v>
      </c>
      <c r="T119" s="2" t="s">
        <v>405</v>
      </c>
      <c r="U119" s="2" t="s">
        <v>406</v>
      </c>
      <c r="V119" s="2" t="s">
        <v>407</v>
      </c>
      <c r="W119" s="2" t="s">
        <v>406</v>
      </c>
      <c r="X119" s="2" t="s">
        <v>548</v>
      </c>
      <c r="Y119" s="2" t="s">
        <v>409</v>
      </c>
    </row>
    <row r="120" customFormat="false" ht="41.75" hidden="false" customHeight="false" outlineLevel="0" collapsed="false">
      <c r="A120" s="3" t="s">
        <v>967</v>
      </c>
      <c r="B120" s="2" t="s">
        <v>295</v>
      </c>
      <c r="C120" s="2" t="s">
        <v>327</v>
      </c>
      <c r="D120" s="2" t="s">
        <v>328</v>
      </c>
      <c r="E120" s="2" t="s">
        <v>968</v>
      </c>
      <c r="F120" s="2" t="s">
        <v>969</v>
      </c>
      <c r="G120" s="2" t="s">
        <v>429</v>
      </c>
      <c r="H120" s="5" t="n">
        <v>2</v>
      </c>
      <c r="I120" s="2" t="s">
        <v>970</v>
      </c>
      <c r="J120" s="2" t="s">
        <v>954</v>
      </c>
      <c r="K120" s="2" t="s">
        <v>329</v>
      </c>
      <c r="L120" s="2" t="s">
        <v>415</v>
      </c>
      <c r="M120" s="2" t="s">
        <v>400</v>
      </c>
      <c r="N120" s="2" t="s">
        <v>853</v>
      </c>
      <c r="O120" s="2" t="s">
        <v>686</v>
      </c>
      <c r="P120" s="2" t="s">
        <v>330</v>
      </c>
      <c r="Q120" s="2" t="s">
        <v>332</v>
      </c>
      <c r="R120" s="2" t="s">
        <v>403</v>
      </c>
      <c r="S120" s="2" t="s">
        <v>432</v>
      </c>
      <c r="T120" s="2" t="s">
        <v>405</v>
      </c>
      <c r="U120" s="2" t="s">
        <v>406</v>
      </c>
      <c r="V120" s="2" t="s">
        <v>407</v>
      </c>
      <c r="W120" s="2" t="s">
        <v>623</v>
      </c>
      <c r="X120" s="2" t="s">
        <v>971</v>
      </c>
      <c r="Y120" s="3" t="s">
        <v>225</v>
      </c>
    </row>
    <row r="121" customFormat="false" ht="41.75" hidden="false" customHeight="false" outlineLevel="0" collapsed="false">
      <c r="A121" s="2" t="s">
        <v>972</v>
      </c>
      <c r="B121" s="2" t="s">
        <v>295</v>
      </c>
      <c r="C121" s="2" t="s">
        <v>334</v>
      </c>
      <c r="D121" s="2" t="s">
        <v>335</v>
      </c>
      <c r="E121" s="2" t="s">
        <v>973</v>
      </c>
      <c r="F121" s="2" t="s">
        <v>827</v>
      </c>
      <c r="G121" s="2" t="s">
        <v>396</v>
      </c>
      <c r="H121" s="5" t="n">
        <v>3</v>
      </c>
      <c r="I121" s="2" t="s">
        <v>974</v>
      </c>
      <c r="J121" s="2" t="s">
        <v>975</v>
      </c>
      <c r="K121" s="2" t="s">
        <v>283</v>
      </c>
      <c r="L121" s="2" t="s">
        <v>399</v>
      </c>
      <c r="M121" s="2" t="s">
        <v>400</v>
      </c>
      <c r="N121" s="2" t="s">
        <v>820</v>
      </c>
      <c r="O121" s="2" t="s">
        <v>425</v>
      </c>
      <c r="P121" s="2" t="s">
        <v>336</v>
      </c>
      <c r="Q121" s="2" t="s">
        <v>338</v>
      </c>
      <c r="R121" s="2" t="s">
        <v>403</v>
      </c>
      <c r="S121" s="2" t="s">
        <v>404</v>
      </c>
      <c r="T121" s="2" t="s">
        <v>405</v>
      </c>
      <c r="U121" s="2" t="s">
        <v>406</v>
      </c>
      <c r="V121" s="2" t="s">
        <v>407</v>
      </c>
      <c r="W121" s="2" t="s">
        <v>406</v>
      </c>
      <c r="X121" s="2" t="s">
        <v>712</v>
      </c>
      <c r="Y121" s="2" t="s">
        <v>409</v>
      </c>
    </row>
    <row r="122" customFormat="false" ht="41.75" hidden="false" customHeight="false" outlineLevel="0" collapsed="false">
      <c r="A122" s="2" t="s">
        <v>976</v>
      </c>
      <c r="B122" s="2" t="s">
        <v>295</v>
      </c>
      <c r="C122" s="2" t="s">
        <v>334</v>
      </c>
      <c r="D122" s="2" t="s">
        <v>335</v>
      </c>
      <c r="E122" s="2" t="s">
        <v>977</v>
      </c>
      <c r="F122" s="2" t="s">
        <v>978</v>
      </c>
      <c r="G122" s="2" t="s">
        <v>396</v>
      </c>
      <c r="H122" s="5" t="n">
        <v>2</v>
      </c>
      <c r="I122" s="2" t="s">
        <v>979</v>
      </c>
      <c r="J122" s="2" t="s">
        <v>980</v>
      </c>
      <c r="K122" s="2" t="s">
        <v>283</v>
      </c>
      <c r="L122" s="2" t="s">
        <v>415</v>
      </c>
      <c r="M122" s="2" t="s">
        <v>400</v>
      </c>
      <c r="N122" s="2" t="s">
        <v>820</v>
      </c>
      <c r="O122" s="2" t="s">
        <v>479</v>
      </c>
      <c r="P122" s="2" t="s">
        <v>336</v>
      </c>
      <c r="Q122" s="2" t="s">
        <v>338</v>
      </c>
      <c r="R122" s="2" t="s">
        <v>403</v>
      </c>
      <c r="S122" s="2" t="s">
        <v>404</v>
      </c>
      <c r="T122" s="2" t="s">
        <v>405</v>
      </c>
      <c r="U122" s="2" t="s">
        <v>406</v>
      </c>
      <c r="V122" s="2" t="s">
        <v>407</v>
      </c>
      <c r="W122" s="2" t="s">
        <v>406</v>
      </c>
      <c r="X122" s="2" t="s">
        <v>667</v>
      </c>
      <c r="Y122" s="2" t="s">
        <v>409</v>
      </c>
    </row>
    <row r="123" customFormat="false" ht="41.75" hidden="false" customHeight="false" outlineLevel="0" collapsed="false">
      <c r="A123" s="2" t="s">
        <v>981</v>
      </c>
      <c r="B123" s="2" t="s">
        <v>295</v>
      </c>
      <c r="C123" s="2" t="s">
        <v>334</v>
      </c>
      <c r="D123" s="2" t="s">
        <v>335</v>
      </c>
      <c r="E123" s="2" t="s">
        <v>982</v>
      </c>
      <c r="F123" s="2" t="s">
        <v>983</v>
      </c>
      <c r="G123" s="2" t="s">
        <v>396</v>
      </c>
      <c r="H123" s="5" t="n">
        <v>2</v>
      </c>
      <c r="I123" s="2" t="s">
        <v>984</v>
      </c>
      <c r="J123" s="2" t="s">
        <v>985</v>
      </c>
      <c r="K123" s="2" t="s">
        <v>283</v>
      </c>
      <c r="L123" s="2" t="s">
        <v>520</v>
      </c>
      <c r="M123" s="2" t="s">
        <v>400</v>
      </c>
      <c r="N123" s="2" t="s">
        <v>820</v>
      </c>
      <c r="O123" s="2" t="s">
        <v>425</v>
      </c>
      <c r="P123" s="2" t="s">
        <v>336</v>
      </c>
      <c r="Q123" s="2" t="s">
        <v>338</v>
      </c>
      <c r="R123" s="2" t="s">
        <v>403</v>
      </c>
      <c r="S123" s="2" t="s">
        <v>404</v>
      </c>
      <c r="T123" s="2" t="s">
        <v>405</v>
      </c>
      <c r="U123" s="2" t="s">
        <v>406</v>
      </c>
      <c r="V123" s="2" t="s">
        <v>407</v>
      </c>
      <c r="W123" s="2" t="s">
        <v>406</v>
      </c>
      <c r="X123" s="2" t="s">
        <v>986</v>
      </c>
      <c r="Y123" s="2" t="s">
        <v>409</v>
      </c>
    </row>
    <row r="124" customFormat="false" ht="41.75" hidden="false" customHeight="false" outlineLevel="0" collapsed="false">
      <c r="A124" s="2" t="s">
        <v>987</v>
      </c>
      <c r="B124" s="2" t="s">
        <v>295</v>
      </c>
      <c r="C124" s="2" t="s">
        <v>334</v>
      </c>
      <c r="D124" s="2" t="s">
        <v>335</v>
      </c>
      <c r="E124" s="2" t="s">
        <v>988</v>
      </c>
      <c r="F124" s="2" t="s">
        <v>860</v>
      </c>
      <c r="G124" s="2" t="s">
        <v>429</v>
      </c>
      <c r="H124" s="5" t="n">
        <v>2</v>
      </c>
      <c r="I124" s="2" t="s">
        <v>989</v>
      </c>
      <c r="J124" s="2" t="s">
        <v>985</v>
      </c>
      <c r="K124" s="2" t="s">
        <v>283</v>
      </c>
      <c r="L124" s="2" t="s">
        <v>561</v>
      </c>
      <c r="M124" s="2" t="s">
        <v>400</v>
      </c>
      <c r="N124" s="2" t="s">
        <v>853</v>
      </c>
      <c r="O124" s="2" t="s">
        <v>425</v>
      </c>
      <c r="P124" s="2" t="s">
        <v>336</v>
      </c>
      <c r="Q124" s="2" t="s">
        <v>338</v>
      </c>
      <c r="R124" s="2" t="s">
        <v>403</v>
      </c>
      <c r="S124" s="2" t="s">
        <v>432</v>
      </c>
      <c r="T124" s="2" t="s">
        <v>405</v>
      </c>
      <c r="U124" s="2" t="s">
        <v>406</v>
      </c>
      <c r="V124" s="2" t="s">
        <v>407</v>
      </c>
      <c r="W124" s="2" t="s">
        <v>406</v>
      </c>
      <c r="X124" s="2" t="s">
        <v>986</v>
      </c>
      <c r="Y124" s="2" t="s">
        <v>409</v>
      </c>
    </row>
    <row r="125" customFormat="false" ht="41.75" hidden="false" customHeight="false" outlineLevel="0" collapsed="false">
      <c r="A125" s="2" t="s">
        <v>990</v>
      </c>
      <c r="B125" s="2" t="s">
        <v>295</v>
      </c>
      <c r="C125" s="2" t="s">
        <v>334</v>
      </c>
      <c r="D125" s="2" t="s">
        <v>335</v>
      </c>
      <c r="E125" s="2" t="s">
        <v>991</v>
      </c>
      <c r="F125" s="2" t="s">
        <v>530</v>
      </c>
      <c r="G125" s="2" t="s">
        <v>396</v>
      </c>
      <c r="H125" s="5" t="n">
        <v>2</v>
      </c>
      <c r="I125" s="2" t="s">
        <v>992</v>
      </c>
      <c r="J125" s="2" t="s">
        <v>993</v>
      </c>
      <c r="K125" s="2" t="s">
        <v>283</v>
      </c>
      <c r="L125" s="2" t="s">
        <v>415</v>
      </c>
      <c r="M125" s="2" t="s">
        <v>400</v>
      </c>
      <c r="N125" s="2" t="s">
        <v>820</v>
      </c>
      <c r="O125" s="2" t="s">
        <v>402</v>
      </c>
      <c r="P125" s="2" t="s">
        <v>336</v>
      </c>
      <c r="Q125" s="2" t="s">
        <v>338</v>
      </c>
      <c r="R125" s="2" t="s">
        <v>403</v>
      </c>
      <c r="S125" s="2" t="s">
        <v>404</v>
      </c>
      <c r="T125" s="2" t="s">
        <v>405</v>
      </c>
      <c r="U125" s="2" t="s">
        <v>406</v>
      </c>
      <c r="V125" s="2" t="s">
        <v>407</v>
      </c>
      <c r="W125" s="2" t="s">
        <v>406</v>
      </c>
      <c r="X125" s="2" t="s">
        <v>986</v>
      </c>
      <c r="Y125" s="2" t="s">
        <v>409</v>
      </c>
    </row>
    <row r="126" customFormat="false" ht="41.75" hidden="false" customHeight="false" outlineLevel="0" collapsed="false">
      <c r="A126" s="2" t="s">
        <v>994</v>
      </c>
      <c r="B126" s="2" t="s">
        <v>295</v>
      </c>
      <c r="C126" s="2" t="s">
        <v>334</v>
      </c>
      <c r="D126" s="2" t="s">
        <v>335</v>
      </c>
      <c r="E126" s="2" t="s">
        <v>995</v>
      </c>
      <c r="F126" s="2" t="s">
        <v>856</v>
      </c>
      <c r="G126" s="2" t="s">
        <v>429</v>
      </c>
      <c r="H126" s="5" t="n">
        <v>1</v>
      </c>
      <c r="I126" s="2" t="s">
        <v>996</v>
      </c>
      <c r="J126" s="2" t="s">
        <v>997</v>
      </c>
      <c r="K126" s="2" t="s">
        <v>283</v>
      </c>
      <c r="L126" s="2" t="s">
        <v>415</v>
      </c>
      <c r="M126" s="2" t="s">
        <v>400</v>
      </c>
      <c r="N126" s="2" t="s">
        <v>853</v>
      </c>
      <c r="O126" s="2" t="s">
        <v>686</v>
      </c>
      <c r="P126" s="2" t="s">
        <v>336</v>
      </c>
      <c r="Q126" s="2" t="s">
        <v>338</v>
      </c>
      <c r="R126" s="2" t="s">
        <v>403</v>
      </c>
      <c r="S126" s="2" t="s">
        <v>432</v>
      </c>
      <c r="T126" s="2" t="s">
        <v>405</v>
      </c>
      <c r="U126" s="2" t="s">
        <v>406</v>
      </c>
      <c r="V126" s="2" t="s">
        <v>407</v>
      </c>
      <c r="W126" s="2" t="s">
        <v>406</v>
      </c>
      <c r="X126" s="2" t="s">
        <v>986</v>
      </c>
      <c r="Y126" s="2" t="s">
        <v>409</v>
      </c>
    </row>
    <row r="127" customFormat="false" ht="55.2" hidden="false" customHeight="false" outlineLevel="0" collapsed="false">
      <c r="A127" s="3" t="s">
        <v>998</v>
      </c>
      <c r="B127" s="2" t="s">
        <v>341</v>
      </c>
      <c r="C127" s="2" t="s">
        <v>340</v>
      </c>
      <c r="D127" s="2" t="s">
        <v>342</v>
      </c>
      <c r="E127" s="2" t="s">
        <v>999</v>
      </c>
      <c r="F127" s="2" t="s">
        <v>1000</v>
      </c>
      <c r="G127" s="2" t="s">
        <v>429</v>
      </c>
      <c r="H127" s="5" t="n">
        <v>2</v>
      </c>
      <c r="I127" s="2" t="s">
        <v>1001</v>
      </c>
      <c r="J127" s="2" t="s">
        <v>514</v>
      </c>
      <c r="K127" s="2" t="s">
        <v>257</v>
      </c>
      <c r="L127" s="2" t="s">
        <v>415</v>
      </c>
      <c r="M127" s="2" t="s">
        <v>1002</v>
      </c>
      <c r="N127" s="2" t="s">
        <v>1003</v>
      </c>
      <c r="O127" s="2" t="s">
        <v>1004</v>
      </c>
      <c r="P127" s="2" t="s">
        <v>343</v>
      </c>
      <c r="Q127" s="2" t="s">
        <v>346</v>
      </c>
      <c r="R127" s="2" t="s">
        <v>403</v>
      </c>
      <c r="S127" s="2" t="s">
        <v>1005</v>
      </c>
      <c r="T127" s="2" t="s">
        <v>1006</v>
      </c>
      <c r="U127" s="2" t="s">
        <v>1007</v>
      </c>
      <c r="V127" s="2" t="s">
        <v>1008</v>
      </c>
      <c r="W127" s="2" t="s">
        <v>1009</v>
      </c>
      <c r="X127" s="2" t="s">
        <v>1010</v>
      </c>
      <c r="Y127" s="3" t="s">
        <v>1011</v>
      </c>
    </row>
    <row r="128" customFormat="false" ht="55.2" hidden="false" customHeight="false" outlineLevel="0" collapsed="false">
      <c r="A128" s="3" t="s">
        <v>1012</v>
      </c>
      <c r="B128" s="2" t="s">
        <v>341</v>
      </c>
      <c r="C128" s="2" t="s">
        <v>340</v>
      </c>
      <c r="D128" s="2" t="s">
        <v>342</v>
      </c>
      <c r="E128" s="2" t="s">
        <v>1013</v>
      </c>
      <c r="F128" s="2" t="s">
        <v>1014</v>
      </c>
      <c r="G128" s="2" t="s">
        <v>429</v>
      </c>
      <c r="H128" s="5" t="n">
        <v>1</v>
      </c>
      <c r="I128" s="2" t="s">
        <v>1015</v>
      </c>
      <c r="J128" s="2" t="s">
        <v>1016</v>
      </c>
      <c r="K128" s="2" t="s">
        <v>257</v>
      </c>
      <c r="L128" s="2" t="s">
        <v>415</v>
      </c>
      <c r="M128" s="2" t="s">
        <v>1002</v>
      </c>
      <c r="N128" s="2" t="s">
        <v>1003</v>
      </c>
      <c r="O128" s="2" t="s">
        <v>1004</v>
      </c>
      <c r="P128" s="2" t="s">
        <v>343</v>
      </c>
      <c r="Q128" s="2" t="s">
        <v>346</v>
      </c>
      <c r="R128" s="2" t="s">
        <v>403</v>
      </c>
      <c r="S128" s="2" t="s">
        <v>1005</v>
      </c>
      <c r="T128" s="2" t="s">
        <v>1006</v>
      </c>
      <c r="U128" s="2" t="s">
        <v>1017</v>
      </c>
      <c r="V128" s="2" t="s">
        <v>1008</v>
      </c>
      <c r="W128" s="2" t="s">
        <v>1009</v>
      </c>
      <c r="X128" s="2" t="s">
        <v>1010</v>
      </c>
      <c r="Y128" s="3" t="s">
        <v>1011</v>
      </c>
    </row>
    <row r="129" customFormat="false" ht="55.2" hidden="false" customHeight="false" outlineLevel="0" collapsed="false">
      <c r="A129" s="3" t="s">
        <v>1018</v>
      </c>
      <c r="B129" s="2" t="s">
        <v>341</v>
      </c>
      <c r="C129" s="2" t="s">
        <v>340</v>
      </c>
      <c r="D129" s="2" t="s">
        <v>342</v>
      </c>
      <c r="E129" s="2" t="s">
        <v>1019</v>
      </c>
      <c r="F129" s="2" t="s">
        <v>1020</v>
      </c>
      <c r="G129" s="2" t="s">
        <v>429</v>
      </c>
      <c r="H129" s="5" t="n">
        <v>1</v>
      </c>
      <c r="I129" s="2" t="s">
        <v>1021</v>
      </c>
      <c r="J129" s="2" t="s">
        <v>514</v>
      </c>
      <c r="K129" s="2" t="s">
        <v>257</v>
      </c>
      <c r="L129" s="2" t="s">
        <v>415</v>
      </c>
      <c r="M129" s="2" t="s">
        <v>1002</v>
      </c>
      <c r="N129" s="2" t="s">
        <v>1003</v>
      </c>
      <c r="O129" s="2" t="s">
        <v>1004</v>
      </c>
      <c r="P129" s="2" t="s">
        <v>343</v>
      </c>
      <c r="Q129" s="2" t="s">
        <v>346</v>
      </c>
      <c r="R129" s="2" t="s">
        <v>403</v>
      </c>
      <c r="S129" s="2" t="s">
        <v>1005</v>
      </c>
      <c r="T129" s="2" t="s">
        <v>1006</v>
      </c>
      <c r="U129" s="2" t="s">
        <v>1007</v>
      </c>
      <c r="V129" s="2" t="s">
        <v>1008</v>
      </c>
      <c r="W129" s="2" t="s">
        <v>1009</v>
      </c>
      <c r="X129" s="2" t="s">
        <v>1010</v>
      </c>
      <c r="Y129" s="3" t="s">
        <v>1011</v>
      </c>
    </row>
    <row r="130" customFormat="false" ht="55.2" hidden="false" customHeight="false" outlineLevel="0" collapsed="false">
      <c r="A130" s="3" t="s">
        <v>1022</v>
      </c>
      <c r="B130" s="2" t="s">
        <v>341</v>
      </c>
      <c r="C130" s="2" t="s">
        <v>340</v>
      </c>
      <c r="D130" s="2" t="s">
        <v>342</v>
      </c>
      <c r="E130" s="2" t="s">
        <v>1023</v>
      </c>
      <c r="F130" s="2" t="s">
        <v>1024</v>
      </c>
      <c r="G130" s="2" t="s">
        <v>429</v>
      </c>
      <c r="H130" s="5" t="n">
        <v>2</v>
      </c>
      <c r="I130" s="2" t="s">
        <v>1025</v>
      </c>
      <c r="J130" s="2" t="s">
        <v>514</v>
      </c>
      <c r="K130" s="2" t="s">
        <v>257</v>
      </c>
      <c r="L130" s="2" t="s">
        <v>415</v>
      </c>
      <c r="M130" s="2" t="s">
        <v>1002</v>
      </c>
      <c r="N130" s="2" t="s">
        <v>1003</v>
      </c>
      <c r="O130" s="2" t="s">
        <v>1004</v>
      </c>
      <c r="P130" s="2" t="s">
        <v>343</v>
      </c>
      <c r="Q130" s="2" t="s">
        <v>346</v>
      </c>
      <c r="R130" s="2" t="s">
        <v>403</v>
      </c>
      <c r="S130" s="2" t="s">
        <v>1005</v>
      </c>
      <c r="T130" s="2" t="s">
        <v>1006</v>
      </c>
      <c r="U130" s="2" t="s">
        <v>1026</v>
      </c>
      <c r="V130" s="2" t="s">
        <v>1008</v>
      </c>
      <c r="W130" s="2" t="s">
        <v>1009</v>
      </c>
      <c r="X130" s="2" t="s">
        <v>1010</v>
      </c>
      <c r="Y130" s="3" t="s">
        <v>1011</v>
      </c>
    </row>
    <row r="131" customFormat="false" ht="55.2" hidden="false" customHeight="false" outlineLevel="0" collapsed="false">
      <c r="A131" s="3" t="s">
        <v>1027</v>
      </c>
      <c r="B131" s="2" t="s">
        <v>341</v>
      </c>
      <c r="C131" s="2" t="s">
        <v>350</v>
      </c>
      <c r="D131" s="2" t="s">
        <v>351</v>
      </c>
      <c r="E131" s="2" t="s">
        <v>1028</v>
      </c>
      <c r="F131" s="2" t="s">
        <v>1029</v>
      </c>
      <c r="G131" s="2" t="s">
        <v>429</v>
      </c>
      <c r="H131" s="5" t="n">
        <v>3</v>
      </c>
      <c r="I131" s="2" t="s">
        <v>1030</v>
      </c>
      <c r="J131" s="2" t="s">
        <v>1031</v>
      </c>
      <c r="K131" s="2" t="s">
        <v>257</v>
      </c>
      <c r="L131" s="2" t="s">
        <v>399</v>
      </c>
      <c r="M131" s="2" t="s">
        <v>1002</v>
      </c>
      <c r="N131" s="2" t="s">
        <v>1003</v>
      </c>
      <c r="O131" s="2" t="s">
        <v>1004</v>
      </c>
      <c r="P131" s="2" t="s">
        <v>343</v>
      </c>
      <c r="Q131" s="2" t="s">
        <v>353</v>
      </c>
      <c r="R131" s="2" t="s">
        <v>403</v>
      </c>
      <c r="S131" s="2" t="s">
        <v>1005</v>
      </c>
      <c r="T131" s="2" t="s">
        <v>1006</v>
      </c>
      <c r="U131" s="2" t="s">
        <v>1032</v>
      </c>
      <c r="V131" s="2" t="s">
        <v>1008</v>
      </c>
      <c r="W131" s="2" t="s">
        <v>1033</v>
      </c>
      <c r="X131" s="2" t="s">
        <v>1034</v>
      </c>
      <c r="Y131" s="3" t="s">
        <v>1011</v>
      </c>
    </row>
    <row r="132" customFormat="false" ht="55.2" hidden="false" customHeight="false" outlineLevel="0" collapsed="false">
      <c r="A132" s="3" t="s">
        <v>1035</v>
      </c>
      <c r="B132" s="2" t="s">
        <v>341</v>
      </c>
      <c r="C132" s="2" t="s">
        <v>350</v>
      </c>
      <c r="D132" s="2" t="s">
        <v>351</v>
      </c>
      <c r="E132" s="2" t="s">
        <v>1036</v>
      </c>
      <c r="F132" s="2" t="s">
        <v>1037</v>
      </c>
      <c r="G132" s="2" t="s">
        <v>429</v>
      </c>
      <c r="H132" s="5" t="n">
        <v>2</v>
      </c>
      <c r="I132" s="2" t="s">
        <v>1038</v>
      </c>
      <c r="J132" s="2" t="s">
        <v>1039</v>
      </c>
      <c r="K132" s="2" t="s">
        <v>257</v>
      </c>
      <c r="L132" s="2" t="s">
        <v>415</v>
      </c>
      <c r="M132" s="2" t="s">
        <v>1002</v>
      </c>
      <c r="N132" s="2" t="s">
        <v>1003</v>
      </c>
      <c r="O132" s="2" t="s">
        <v>1004</v>
      </c>
      <c r="P132" s="2" t="s">
        <v>343</v>
      </c>
      <c r="Q132" s="2" t="s">
        <v>353</v>
      </c>
      <c r="R132" s="2" t="s">
        <v>403</v>
      </c>
      <c r="S132" s="2" t="s">
        <v>1005</v>
      </c>
      <c r="T132" s="2" t="s">
        <v>1006</v>
      </c>
      <c r="U132" s="2" t="s">
        <v>1040</v>
      </c>
      <c r="V132" s="2" t="s">
        <v>1008</v>
      </c>
      <c r="W132" s="2" t="s">
        <v>1033</v>
      </c>
      <c r="X132" s="2" t="s">
        <v>1034</v>
      </c>
      <c r="Y132" s="3" t="s">
        <v>1011</v>
      </c>
    </row>
    <row r="133" customFormat="false" ht="55.2" hidden="false" customHeight="false" outlineLevel="0" collapsed="false">
      <c r="A133" s="3" t="s">
        <v>1041</v>
      </c>
      <c r="B133" s="2" t="s">
        <v>341</v>
      </c>
      <c r="C133" s="2" t="s">
        <v>350</v>
      </c>
      <c r="D133" s="2" t="s">
        <v>351</v>
      </c>
      <c r="E133" s="2" t="s">
        <v>1042</v>
      </c>
      <c r="F133" s="2" t="s">
        <v>1043</v>
      </c>
      <c r="G133" s="2" t="s">
        <v>429</v>
      </c>
      <c r="H133" s="5" t="n">
        <v>2</v>
      </c>
      <c r="I133" s="2" t="s">
        <v>1044</v>
      </c>
      <c r="J133" s="2" t="s">
        <v>954</v>
      </c>
      <c r="K133" s="2" t="s">
        <v>257</v>
      </c>
      <c r="L133" s="2" t="s">
        <v>415</v>
      </c>
      <c r="M133" s="2" t="s">
        <v>1002</v>
      </c>
      <c r="N133" s="2" t="s">
        <v>1003</v>
      </c>
      <c r="O133" s="2" t="s">
        <v>1004</v>
      </c>
      <c r="P133" s="2" t="s">
        <v>343</v>
      </c>
      <c r="Q133" s="2" t="s">
        <v>353</v>
      </c>
      <c r="R133" s="2" t="s">
        <v>403</v>
      </c>
      <c r="S133" s="2" t="s">
        <v>1005</v>
      </c>
      <c r="T133" s="2" t="s">
        <v>1006</v>
      </c>
      <c r="U133" s="2" t="s">
        <v>1045</v>
      </c>
      <c r="V133" s="2" t="s">
        <v>1008</v>
      </c>
      <c r="W133" s="2" t="s">
        <v>1033</v>
      </c>
      <c r="X133" s="2" t="s">
        <v>1034</v>
      </c>
      <c r="Y133" s="3" t="s">
        <v>1011</v>
      </c>
    </row>
    <row r="134" customFormat="false" ht="55.2" hidden="false" customHeight="false" outlineLevel="0" collapsed="false">
      <c r="A134" s="3" t="s">
        <v>1046</v>
      </c>
      <c r="B134" s="2" t="s">
        <v>341</v>
      </c>
      <c r="C134" s="2" t="s">
        <v>355</v>
      </c>
      <c r="D134" s="2" t="s">
        <v>356</v>
      </c>
      <c r="E134" s="2" t="s">
        <v>1047</v>
      </c>
      <c r="F134" s="2" t="s">
        <v>1048</v>
      </c>
      <c r="G134" s="2" t="s">
        <v>429</v>
      </c>
      <c r="H134" s="5" t="n">
        <v>2</v>
      </c>
      <c r="I134" s="2" t="s">
        <v>1049</v>
      </c>
      <c r="J134" s="2" t="s">
        <v>514</v>
      </c>
      <c r="K134" s="2" t="s">
        <v>257</v>
      </c>
      <c r="L134" s="2" t="s">
        <v>415</v>
      </c>
      <c r="M134" s="2" t="s">
        <v>1002</v>
      </c>
      <c r="N134" s="2" t="s">
        <v>1003</v>
      </c>
      <c r="O134" s="2" t="s">
        <v>1004</v>
      </c>
      <c r="P134" s="2" t="s">
        <v>343</v>
      </c>
      <c r="Q134" s="2" t="s">
        <v>358</v>
      </c>
      <c r="R134" s="2" t="s">
        <v>403</v>
      </c>
      <c r="S134" s="2" t="s">
        <v>1005</v>
      </c>
      <c r="T134" s="2" t="s">
        <v>1006</v>
      </c>
      <c r="U134" s="2" t="s">
        <v>1050</v>
      </c>
      <c r="V134" s="2" t="s">
        <v>1008</v>
      </c>
      <c r="W134" s="2" t="s">
        <v>1009</v>
      </c>
      <c r="X134" s="2" t="s">
        <v>1010</v>
      </c>
      <c r="Y134" s="3" t="s">
        <v>1011</v>
      </c>
    </row>
    <row r="135" customFormat="false" ht="55.2" hidden="false" customHeight="false" outlineLevel="0" collapsed="false">
      <c r="A135" s="3" t="s">
        <v>1051</v>
      </c>
      <c r="B135" s="2" t="s">
        <v>341</v>
      </c>
      <c r="C135" s="2" t="s">
        <v>355</v>
      </c>
      <c r="D135" s="2" t="s">
        <v>356</v>
      </c>
      <c r="E135" s="2" t="s">
        <v>1052</v>
      </c>
      <c r="F135" s="2" t="s">
        <v>1053</v>
      </c>
      <c r="G135" s="2" t="s">
        <v>429</v>
      </c>
      <c r="H135" s="5" t="n">
        <v>1</v>
      </c>
      <c r="I135" s="2" t="s">
        <v>1054</v>
      </c>
      <c r="J135" s="2" t="s">
        <v>367</v>
      </c>
      <c r="K135" s="2" t="s">
        <v>257</v>
      </c>
      <c r="L135" s="2" t="s">
        <v>415</v>
      </c>
      <c r="M135" s="2" t="s">
        <v>1002</v>
      </c>
      <c r="N135" s="2" t="s">
        <v>1003</v>
      </c>
      <c r="O135" s="2" t="s">
        <v>1004</v>
      </c>
      <c r="P135" s="2" t="s">
        <v>343</v>
      </c>
      <c r="Q135" s="2" t="s">
        <v>358</v>
      </c>
      <c r="R135" s="2" t="s">
        <v>403</v>
      </c>
      <c r="S135" s="2" t="s">
        <v>1005</v>
      </c>
      <c r="T135" s="2" t="s">
        <v>1006</v>
      </c>
      <c r="U135" s="2" t="s">
        <v>1055</v>
      </c>
      <c r="V135" s="2" t="s">
        <v>1008</v>
      </c>
      <c r="W135" s="2" t="s">
        <v>1009</v>
      </c>
      <c r="X135" s="2" t="s">
        <v>1010</v>
      </c>
      <c r="Y135" s="3" t="s">
        <v>1011</v>
      </c>
    </row>
    <row r="136" customFormat="false" ht="55.2" hidden="false" customHeight="false" outlineLevel="0" collapsed="false">
      <c r="A136" s="3" t="s">
        <v>1056</v>
      </c>
      <c r="B136" s="2" t="s">
        <v>341</v>
      </c>
      <c r="C136" s="2" t="s">
        <v>355</v>
      </c>
      <c r="D136" s="2" t="s">
        <v>356</v>
      </c>
      <c r="E136" s="2" t="s">
        <v>1057</v>
      </c>
      <c r="F136" s="2" t="s">
        <v>1058</v>
      </c>
      <c r="G136" s="2" t="s">
        <v>429</v>
      </c>
      <c r="H136" s="5" t="n">
        <v>2</v>
      </c>
      <c r="I136" s="2" t="s">
        <v>1059</v>
      </c>
      <c r="J136" s="2" t="s">
        <v>734</v>
      </c>
      <c r="K136" s="2" t="s">
        <v>257</v>
      </c>
      <c r="L136" s="2" t="s">
        <v>415</v>
      </c>
      <c r="M136" s="2" t="s">
        <v>1002</v>
      </c>
      <c r="N136" s="2" t="s">
        <v>1003</v>
      </c>
      <c r="O136" s="2" t="s">
        <v>1004</v>
      </c>
      <c r="P136" s="2" t="s">
        <v>343</v>
      </c>
      <c r="Q136" s="2" t="s">
        <v>358</v>
      </c>
      <c r="R136" s="2" t="s">
        <v>403</v>
      </c>
      <c r="S136" s="2" t="s">
        <v>1005</v>
      </c>
      <c r="T136" s="2" t="s">
        <v>1006</v>
      </c>
      <c r="U136" s="2" t="s">
        <v>1060</v>
      </c>
      <c r="V136" s="2" t="s">
        <v>1008</v>
      </c>
      <c r="W136" s="2" t="s">
        <v>1061</v>
      </c>
      <c r="X136" s="2" t="s">
        <v>1062</v>
      </c>
      <c r="Y136" s="3" t="s">
        <v>1011</v>
      </c>
    </row>
    <row r="137" customFormat="false" ht="55.2" hidden="false" customHeight="false" outlineLevel="0" collapsed="false">
      <c r="A137" s="3" t="s">
        <v>1063</v>
      </c>
      <c r="B137" s="2" t="s">
        <v>341</v>
      </c>
      <c r="C137" s="2" t="s">
        <v>360</v>
      </c>
      <c r="D137" s="2" t="s">
        <v>361</v>
      </c>
      <c r="E137" s="2" t="s">
        <v>1064</v>
      </c>
      <c r="F137" s="2" t="s">
        <v>1065</v>
      </c>
      <c r="G137" s="2" t="s">
        <v>429</v>
      </c>
      <c r="H137" s="5" t="n">
        <v>3</v>
      </c>
      <c r="I137" s="2" t="s">
        <v>1066</v>
      </c>
      <c r="J137" s="2" t="s">
        <v>362</v>
      </c>
      <c r="K137" s="2" t="s">
        <v>276</v>
      </c>
      <c r="L137" s="2" t="s">
        <v>415</v>
      </c>
      <c r="M137" s="2" t="s">
        <v>1002</v>
      </c>
      <c r="N137" s="2" t="s">
        <v>1003</v>
      </c>
      <c r="O137" s="2" t="s">
        <v>1004</v>
      </c>
      <c r="P137" s="2" t="s">
        <v>343</v>
      </c>
      <c r="Q137" s="2" t="s">
        <v>363</v>
      </c>
      <c r="R137" s="2" t="s">
        <v>403</v>
      </c>
      <c r="S137" s="2" t="s">
        <v>1005</v>
      </c>
      <c r="T137" s="2" t="s">
        <v>1006</v>
      </c>
      <c r="U137" s="2" t="s">
        <v>1067</v>
      </c>
      <c r="V137" s="2" t="s">
        <v>1008</v>
      </c>
      <c r="W137" s="2" t="s">
        <v>1061</v>
      </c>
      <c r="X137" s="2" t="s">
        <v>1068</v>
      </c>
      <c r="Y137" s="3" t="s">
        <v>1011</v>
      </c>
    </row>
    <row r="138" customFormat="false" ht="55.2" hidden="false" customHeight="false" outlineLevel="0" collapsed="false">
      <c r="A138" s="3" t="s">
        <v>1069</v>
      </c>
      <c r="B138" s="2" t="s">
        <v>341</v>
      </c>
      <c r="C138" s="2" t="s">
        <v>360</v>
      </c>
      <c r="D138" s="2" t="s">
        <v>361</v>
      </c>
      <c r="E138" s="2" t="s">
        <v>1070</v>
      </c>
      <c r="F138" s="2" t="s">
        <v>1071</v>
      </c>
      <c r="G138" s="2" t="s">
        <v>429</v>
      </c>
      <c r="H138" s="5" t="n">
        <v>2</v>
      </c>
      <c r="I138" s="2" t="s">
        <v>1072</v>
      </c>
      <c r="J138" s="2" t="s">
        <v>362</v>
      </c>
      <c r="K138" s="2" t="s">
        <v>276</v>
      </c>
      <c r="L138" s="2" t="s">
        <v>415</v>
      </c>
      <c r="M138" s="2" t="s">
        <v>1002</v>
      </c>
      <c r="N138" s="2" t="s">
        <v>1003</v>
      </c>
      <c r="O138" s="2" t="s">
        <v>1004</v>
      </c>
      <c r="P138" s="2" t="s">
        <v>343</v>
      </c>
      <c r="Q138" s="2" t="s">
        <v>363</v>
      </c>
      <c r="R138" s="2" t="s">
        <v>403</v>
      </c>
      <c r="S138" s="2" t="s">
        <v>1005</v>
      </c>
      <c r="T138" s="2" t="s">
        <v>1006</v>
      </c>
      <c r="U138" s="2" t="s">
        <v>1073</v>
      </c>
      <c r="V138" s="2" t="s">
        <v>1008</v>
      </c>
      <c r="W138" s="2" t="s">
        <v>1061</v>
      </c>
      <c r="X138" s="2" t="s">
        <v>1068</v>
      </c>
      <c r="Y138" s="3" t="s">
        <v>1011</v>
      </c>
    </row>
    <row r="139" customFormat="false" ht="55.2" hidden="false" customHeight="false" outlineLevel="0" collapsed="false">
      <c r="A139" s="3" t="s">
        <v>1074</v>
      </c>
      <c r="B139" s="2" t="s">
        <v>341</v>
      </c>
      <c r="C139" s="2" t="s">
        <v>360</v>
      </c>
      <c r="D139" s="2" t="s">
        <v>361</v>
      </c>
      <c r="E139" s="2" t="s">
        <v>1075</v>
      </c>
      <c r="F139" s="2" t="s">
        <v>1076</v>
      </c>
      <c r="G139" s="2" t="s">
        <v>429</v>
      </c>
      <c r="H139" s="5" t="n">
        <v>2</v>
      </c>
      <c r="I139" s="2" t="s">
        <v>1077</v>
      </c>
      <c r="J139" s="2" t="s">
        <v>362</v>
      </c>
      <c r="K139" s="2" t="s">
        <v>276</v>
      </c>
      <c r="L139" s="2" t="s">
        <v>415</v>
      </c>
      <c r="M139" s="2" t="s">
        <v>1002</v>
      </c>
      <c r="N139" s="2" t="s">
        <v>1003</v>
      </c>
      <c r="O139" s="2" t="s">
        <v>1004</v>
      </c>
      <c r="P139" s="2" t="s">
        <v>343</v>
      </c>
      <c r="Q139" s="2" t="s">
        <v>363</v>
      </c>
      <c r="R139" s="2" t="s">
        <v>403</v>
      </c>
      <c r="S139" s="2" t="s">
        <v>1005</v>
      </c>
      <c r="T139" s="2" t="s">
        <v>1006</v>
      </c>
      <c r="U139" s="2" t="s">
        <v>1078</v>
      </c>
      <c r="V139" s="2" t="s">
        <v>1008</v>
      </c>
      <c r="W139" s="2" t="s">
        <v>1061</v>
      </c>
      <c r="X139" s="2" t="s">
        <v>1068</v>
      </c>
      <c r="Y139" s="3" t="s">
        <v>1011</v>
      </c>
    </row>
    <row r="140" customFormat="false" ht="55.2" hidden="false" customHeight="false" outlineLevel="0" collapsed="false">
      <c r="A140" s="3" t="s">
        <v>1079</v>
      </c>
      <c r="B140" s="2" t="s">
        <v>341</v>
      </c>
      <c r="C140" s="2" t="s">
        <v>360</v>
      </c>
      <c r="D140" s="2" t="s">
        <v>361</v>
      </c>
      <c r="E140" s="2" t="s">
        <v>1080</v>
      </c>
      <c r="F140" s="2" t="s">
        <v>1081</v>
      </c>
      <c r="G140" s="2" t="s">
        <v>429</v>
      </c>
      <c r="H140" s="5" t="n">
        <v>1</v>
      </c>
      <c r="I140" s="2" t="s">
        <v>1082</v>
      </c>
      <c r="J140" s="2" t="s">
        <v>362</v>
      </c>
      <c r="K140" s="2" t="s">
        <v>276</v>
      </c>
      <c r="L140" s="2" t="s">
        <v>415</v>
      </c>
      <c r="M140" s="2" t="s">
        <v>1002</v>
      </c>
      <c r="N140" s="2" t="s">
        <v>1003</v>
      </c>
      <c r="O140" s="2" t="s">
        <v>1004</v>
      </c>
      <c r="P140" s="2" t="s">
        <v>343</v>
      </c>
      <c r="Q140" s="2" t="s">
        <v>363</v>
      </c>
      <c r="R140" s="2" t="s">
        <v>403</v>
      </c>
      <c r="S140" s="2" t="s">
        <v>1005</v>
      </c>
      <c r="T140" s="2" t="s">
        <v>1006</v>
      </c>
      <c r="U140" s="2" t="s">
        <v>1083</v>
      </c>
      <c r="V140" s="2" t="s">
        <v>1008</v>
      </c>
      <c r="W140" s="2" t="s">
        <v>1061</v>
      </c>
      <c r="X140" s="2" t="s">
        <v>1068</v>
      </c>
      <c r="Y140" s="3" t="s">
        <v>1011</v>
      </c>
    </row>
    <row r="141" customFormat="false" ht="55.2" hidden="false" customHeight="false" outlineLevel="0" collapsed="false">
      <c r="A141" s="3" t="s">
        <v>1084</v>
      </c>
      <c r="B141" s="2" t="s">
        <v>341</v>
      </c>
      <c r="C141" s="2" t="s">
        <v>365</v>
      </c>
      <c r="D141" s="2" t="s">
        <v>366</v>
      </c>
      <c r="E141" s="2" t="s">
        <v>1085</v>
      </c>
      <c r="F141" s="2" t="s">
        <v>1086</v>
      </c>
      <c r="G141" s="2" t="s">
        <v>429</v>
      </c>
      <c r="H141" s="5" t="n">
        <v>1</v>
      </c>
      <c r="I141" s="2" t="s">
        <v>1087</v>
      </c>
      <c r="J141" s="2" t="s">
        <v>367</v>
      </c>
      <c r="K141" s="2" t="s">
        <v>244</v>
      </c>
      <c r="L141" s="2" t="s">
        <v>415</v>
      </c>
      <c r="M141" s="2" t="s">
        <v>1002</v>
      </c>
      <c r="N141" s="2" t="s">
        <v>1003</v>
      </c>
      <c r="O141" s="2" t="s">
        <v>1004</v>
      </c>
      <c r="P141" s="2" t="s">
        <v>343</v>
      </c>
      <c r="Q141" s="2" t="s">
        <v>368</v>
      </c>
      <c r="R141" s="2" t="s">
        <v>403</v>
      </c>
      <c r="S141" s="2" t="s">
        <v>1005</v>
      </c>
      <c r="T141" s="2" t="s">
        <v>1006</v>
      </c>
      <c r="U141" s="2" t="s">
        <v>1088</v>
      </c>
      <c r="V141" s="2" t="s">
        <v>1008</v>
      </c>
      <c r="W141" s="2" t="s">
        <v>1009</v>
      </c>
      <c r="X141" s="2" t="s">
        <v>1089</v>
      </c>
      <c r="Y141" s="3" t="s">
        <v>1011</v>
      </c>
    </row>
  </sheetData>
  <autoFilter ref="A1:T109"/>
  <conditionalFormatting sqref="H2:H141">
    <cfRule type="colorScale" priority="2">
      <colorScale>
        <cfvo type="num" val="1"/>
        <cfvo type="num" val="2"/>
        <cfvo type="num" val="3"/>
        <color rgb="FFE2F0D9"/>
        <color rgb="FFFFF2CC"/>
        <color rgb="FFF4CCCC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  <col collapsed="false" customWidth="true" hidden="false" outlineLevel="0" max="4" min="3" style="0" width="55"/>
  </cols>
  <sheetData>
    <row r="1" customFormat="false" ht="15" hidden="false" customHeight="false" outlineLevel="0" collapsed="false">
      <c r="A1" s="7" t="s">
        <v>1090</v>
      </c>
      <c r="B1" s="7" t="s">
        <v>1091</v>
      </c>
      <c r="C1" s="7" t="s">
        <v>1092</v>
      </c>
      <c r="D1" s="7" t="s">
        <v>1093</v>
      </c>
    </row>
    <row r="2" customFormat="false" ht="15" hidden="false" customHeight="false" outlineLevel="0" collapsed="false">
      <c r="A2" s="8" t="n">
        <v>0</v>
      </c>
      <c r="B2" s="8" t="s">
        <v>1094</v>
      </c>
      <c r="C2" s="8" t="s">
        <v>1095</v>
      </c>
      <c r="D2" s="8" t="s">
        <v>1096</v>
      </c>
    </row>
    <row r="3" customFormat="false" ht="15" hidden="false" customHeight="false" outlineLevel="0" collapsed="false">
      <c r="A3" s="8" t="n">
        <v>1</v>
      </c>
      <c r="B3" s="8" t="s">
        <v>1097</v>
      </c>
      <c r="C3" s="8" t="s">
        <v>1098</v>
      </c>
      <c r="D3" s="8" t="s">
        <v>1099</v>
      </c>
    </row>
    <row r="4" customFormat="false" ht="28.35" hidden="false" customHeight="false" outlineLevel="0" collapsed="false">
      <c r="A4" s="8" t="n">
        <v>2</v>
      </c>
      <c r="B4" s="8" t="s">
        <v>1100</v>
      </c>
      <c r="C4" s="8" t="s">
        <v>1101</v>
      </c>
      <c r="D4" s="8" t="s">
        <v>1102</v>
      </c>
    </row>
    <row r="5" customFormat="false" ht="28.35" hidden="false" customHeight="false" outlineLevel="0" collapsed="false">
      <c r="A5" s="8" t="n">
        <v>3</v>
      </c>
      <c r="B5" s="8" t="s">
        <v>1103</v>
      </c>
      <c r="C5" s="8" t="s">
        <v>1104</v>
      </c>
      <c r="D5" s="8" t="s">
        <v>1105</v>
      </c>
    </row>
    <row r="6" customFormat="false" ht="28.35" hidden="false" customHeight="false" outlineLevel="0" collapsed="false">
      <c r="A6" s="8" t="n">
        <v>4</v>
      </c>
      <c r="B6" s="8" t="s">
        <v>1106</v>
      </c>
      <c r="C6" s="8" t="s">
        <v>1107</v>
      </c>
      <c r="D6" s="8" t="s">
        <v>1108</v>
      </c>
    </row>
    <row r="7" customFormat="false" ht="15" hidden="false" customHeight="false" outlineLevel="0" collapsed="false">
      <c r="A7" s="8" t="s">
        <v>1109</v>
      </c>
      <c r="B7" s="8" t="s">
        <v>1110</v>
      </c>
      <c r="C7" s="8" t="s">
        <v>1111</v>
      </c>
      <c r="D7" s="8" t="s">
        <v>1112</v>
      </c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 t="s">
        <v>1113</v>
      </c>
      <c r="B9" s="8" t="s">
        <v>1114</v>
      </c>
      <c r="C9" s="8"/>
      <c r="D9" s="8"/>
    </row>
    <row r="10" customFormat="false" ht="28.35" hidden="false" customHeight="false" outlineLevel="0" collapsed="false">
      <c r="A10" s="8" t="s">
        <v>1115</v>
      </c>
      <c r="B10" s="8" t="s">
        <v>1116</v>
      </c>
      <c r="C10" s="8"/>
      <c r="D10" s="8"/>
    </row>
    <row r="11" customFormat="false" ht="15" hidden="false" customHeight="false" outlineLevel="0" collapsed="false">
      <c r="A11" s="8" t="s">
        <v>1117</v>
      </c>
      <c r="B11" s="8" t="s">
        <v>1118</v>
      </c>
      <c r="C11" s="8"/>
      <c r="D11" s="8"/>
    </row>
    <row r="12" customFormat="false" ht="15" hidden="false" customHeight="false" outlineLevel="0" collapsed="false">
      <c r="A12" s="8" t="s">
        <v>1119</v>
      </c>
      <c r="B12" s="8" t="s">
        <v>1120</v>
      </c>
      <c r="C12" s="8"/>
      <c r="D12" s="8"/>
    </row>
    <row r="13" customFormat="false" ht="15" hidden="false" customHeight="false" outlineLevel="0" collapsed="false">
      <c r="A13" s="8" t="s">
        <v>1121</v>
      </c>
      <c r="B13" s="8" t="s">
        <v>1122</v>
      </c>
      <c r="C13" s="8"/>
      <c r="D13" s="8"/>
    </row>
    <row r="14" customFormat="false" ht="15" hidden="false" customHeight="false" outlineLevel="0" collapsed="false">
      <c r="A14" s="8" t="s">
        <v>1123</v>
      </c>
      <c r="B14" s="8" t="s">
        <v>1124</v>
      </c>
      <c r="C14" s="8"/>
      <c r="D14" s="8"/>
    </row>
    <row r="15" customFormat="false" ht="15" hidden="false" customHeight="false" outlineLevel="0" collapsed="false">
      <c r="A15" s="8" t="s">
        <v>1125</v>
      </c>
      <c r="B15" s="8" t="s">
        <v>1126</v>
      </c>
      <c r="C15" s="8"/>
      <c r="D15" s="8"/>
    </row>
    <row r="16" customFormat="false" ht="28.35" hidden="false" customHeight="false" outlineLevel="0" collapsed="false">
      <c r="A16" s="8" t="s">
        <v>1127</v>
      </c>
      <c r="B16" s="8" t="s">
        <v>1128</v>
      </c>
    </row>
    <row r="17" customFormat="false" ht="15" hidden="false" customHeight="false" outlineLevel="0" collapsed="false">
      <c r="A17" s="8" t="s">
        <v>1129</v>
      </c>
      <c r="B17" s="8" t="s">
        <v>1130</v>
      </c>
    </row>
    <row r="18" customFormat="false" ht="15" hidden="false" customHeight="false" outlineLevel="0" collapsed="false">
      <c r="A18" s="8" t="s">
        <v>1131</v>
      </c>
      <c r="B18" s="8" t="s">
        <v>1132</v>
      </c>
    </row>
    <row r="19" customFormat="false" ht="15" hidden="false" customHeight="false" outlineLevel="0" collapsed="false">
      <c r="A19" s="8"/>
      <c r="B19" s="8"/>
      <c r="C19" s="8"/>
      <c r="D19" s="8"/>
    </row>
    <row r="20" customFormat="false" ht="41.75" hidden="false" customHeight="false" outlineLevel="0" collapsed="false">
      <c r="A20" s="8" t="s">
        <v>1133</v>
      </c>
      <c r="B20" s="8" t="s">
        <v>1134</v>
      </c>
      <c r="C20" s="8"/>
      <c r="D2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9" t="s">
        <v>1135</v>
      </c>
    </row>
    <row r="2" customFormat="false" ht="45" hidden="false" customHeight="true" outlineLevel="0" collapsed="false">
      <c r="A2" s="2" t="s">
        <v>1136</v>
      </c>
      <c r="B2" s="2"/>
      <c r="C2" s="2"/>
      <c r="D2" s="2"/>
      <c r="E2" s="2"/>
    </row>
    <row r="4" customFormat="false" ht="15" hidden="false" customHeight="false" outlineLevel="0" collapsed="false">
      <c r="A4" s="10" t="s">
        <v>1137</v>
      </c>
    </row>
    <row r="5" customFormat="false" ht="15" hidden="false" customHeight="false" outlineLevel="0" collapsed="false">
      <c r="A5" s="1" t="s">
        <v>1138</v>
      </c>
      <c r="B5" s="1" t="s">
        <v>1139</v>
      </c>
      <c r="C5" s="1" t="s">
        <v>1140</v>
      </c>
      <c r="D5" s="1" t="s">
        <v>1141</v>
      </c>
      <c r="E5" s="1" t="s">
        <v>1142</v>
      </c>
    </row>
    <row r="6" customFormat="false" ht="15" hidden="false" customHeight="false" outlineLevel="0" collapsed="false">
      <c r="A6" s="2" t="s">
        <v>1143</v>
      </c>
      <c r="B6" s="2" t="s">
        <v>1144</v>
      </c>
      <c r="C6" s="2" t="s">
        <v>1145</v>
      </c>
      <c r="D6" s="2" t="s">
        <v>998</v>
      </c>
    </row>
    <row r="7" customFormat="false" ht="15" hidden="false" customHeight="false" outlineLevel="0" collapsed="false">
      <c r="A7" s="2" t="s">
        <v>1146</v>
      </c>
      <c r="B7" s="2" t="s">
        <v>1147</v>
      </c>
      <c r="C7" s="2" t="s">
        <v>1148</v>
      </c>
      <c r="D7" s="2" t="s">
        <v>1149</v>
      </c>
      <c r="E7" s="2" t="s">
        <v>1150</v>
      </c>
    </row>
    <row r="8" customFormat="false" ht="15" hidden="false" customHeight="false" outlineLevel="0" collapsed="false">
      <c r="A8" s="2" t="s">
        <v>1151</v>
      </c>
      <c r="B8" s="2" t="s">
        <v>1152</v>
      </c>
      <c r="C8" s="2" t="s">
        <v>1153</v>
      </c>
      <c r="D8" s="2" t="s">
        <v>789</v>
      </c>
      <c r="E8" s="2" t="s">
        <v>1154</v>
      </c>
    </row>
    <row r="9" customFormat="false" ht="15" hidden="false" customHeight="false" outlineLevel="0" collapsed="false">
      <c r="A9" s="2" t="s">
        <v>1155</v>
      </c>
      <c r="B9" s="2" t="s">
        <v>1156</v>
      </c>
      <c r="C9" s="2" t="s">
        <v>1153</v>
      </c>
      <c r="D9" s="2" t="s">
        <v>1157</v>
      </c>
    </row>
    <row r="10" customFormat="false" ht="15" hidden="false" customHeight="false" outlineLevel="0" collapsed="false">
      <c r="A10" s="2" t="s">
        <v>1158</v>
      </c>
      <c r="B10" s="2" t="s">
        <v>1159</v>
      </c>
      <c r="C10" s="2" t="s">
        <v>1153</v>
      </c>
      <c r="D10" s="2" t="s">
        <v>1160</v>
      </c>
    </row>
    <row r="11" customFormat="false" ht="15" hidden="false" customHeight="false" outlineLevel="0" collapsed="false">
      <c r="A11" s="2" t="s">
        <v>1161</v>
      </c>
      <c r="B11" s="2" t="s">
        <v>1162</v>
      </c>
      <c r="C11" s="2" t="s">
        <v>1153</v>
      </c>
      <c r="D11" s="2" t="s">
        <v>1163</v>
      </c>
    </row>
    <row r="12" customFormat="false" ht="15" hidden="false" customHeight="false" outlineLevel="0" collapsed="false">
      <c r="A12" s="2" t="s">
        <v>1164</v>
      </c>
      <c r="B12" s="2" t="s">
        <v>1165</v>
      </c>
      <c r="C12" s="2" t="s">
        <v>1166</v>
      </c>
      <c r="D12" s="2" t="s">
        <v>967</v>
      </c>
    </row>
    <row r="13" customFormat="false" ht="15" hidden="false" customHeight="false" outlineLevel="0" collapsed="false">
      <c r="A13" s="2" t="s">
        <v>1167</v>
      </c>
      <c r="B13" s="2" t="s">
        <v>1168</v>
      </c>
      <c r="C13" s="2" t="s">
        <v>1145</v>
      </c>
      <c r="D13" s="2" t="s">
        <v>1012</v>
      </c>
    </row>
    <row r="14" customFormat="false" ht="15" hidden="false" customHeight="false" outlineLevel="0" collapsed="false">
      <c r="A14" s="2" t="s">
        <v>1169</v>
      </c>
      <c r="B14" s="2" t="s">
        <v>1170</v>
      </c>
      <c r="C14" s="2" t="s">
        <v>1166</v>
      </c>
      <c r="D14" s="2" t="s">
        <v>614</v>
      </c>
    </row>
    <row r="15" customFormat="false" ht="15" hidden="false" customHeight="false" outlineLevel="0" collapsed="false">
      <c r="A15" s="2" t="s">
        <v>1171</v>
      </c>
      <c r="B15" s="2" t="s">
        <v>1172</v>
      </c>
      <c r="C15" s="2" t="s">
        <v>1153</v>
      </c>
      <c r="D15" s="2" t="s">
        <v>585</v>
      </c>
    </row>
    <row r="16" customFormat="false" ht="15" hidden="false" customHeight="false" outlineLevel="0" collapsed="false">
      <c r="A16" s="2" t="s">
        <v>1173</v>
      </c>
      <c r="B16" s="2" t="s">
        <v>1174</v>
      </c>
      <c r="C16" s="2" t="s">
        <v>1153</v>
      </c>
      <c r="D16" s="2" t="s">
        <v>591</v>
      </c>
    </row>
    <row r="17" customFormat="false" ht="15" hidden="false" customHeight="false" outlineLevel="0" collapsed="false">
      <c r="A17" s="2" t="s">
        <v>1175</v>
      </c>
      <c r="B17" s="2" t="s">
        <v>1176</v>
      </c>
      <c r="C17" s="2" t="s">
        <v>1145</v>
      </c>
      <c r="D17" s="2" t="s">
        <v>1018</v>
      </c>
    </row>
    <row r="18" customFormat="false" ht="15" hidden="false" customHeight="false" outlineLevel="0" collapsed="false">
      <c r="A18" s="2" t="s">
        <v>1177</v>
      </c>
      <c r="B18" s="2" t="s">
        <v>1178</v>
      </c>
      <c r="C18" s="2" t="s">
        <v>1166</v>
      </c>
      <c r="D18" s="2" t="s">
        <v>619</v>
      </c>
    </row>
    <row r="19" customFormat="false" ht="15" hidden="false" customHeight="false" outlineLevel="0" collapsed="false">
      <c r="A19" s="2" t="s">
        <v>1179</v>
      </c>
      <c r="B19" s="2" t="s">
        <v>1180</v>
      </c>
      <c r="C19" s="2" t="s">
        <v>1181</v>
      </c>
      <c r="D19" s="2" t="s">
        <v>1182</v>
      </c>
      <c r="E19" s="2" t="s">
        <v>1183</v>
      </c>
    </row>
    <row r="20" customFormat="false" ht="15" hidden="false" customHeight="false" outlineLevel="0" collapsed="false">
      <c r="A20" s="2" t="s">
        <v>1184</v>
      </c>
      <c r="B20" s="2" t="s">
        <v>1185</v>
      </c>
      <c r="C20" s="2" t="s">
        <v>1166</v>
      </c>
      <c r="D20" s="2" t="s">
        <v>625</v>
      </c>
    </row>
    <row r="21" customFormat="false" ht="15" hidden="false" customHeight="false" outlineLevel="0" collapsed="false">
      <c r="A21" s="2" t="s">
        <v>1186</v>
      </c>
      <c r="B21" s="2" t="s">
        <v>1187</v>
      </c>
      <c r="C21" s="2" t="s">
        <v>1148</v>
      </c>
      <c r="D21" s="2" t="s">
        <v>1149</v>
      </c>
      <c r="E21" s="2" t="s">
        <v>1188</v>
      </c>
    </row>
    <row r="22" customFormat="false" ht="15" hidden="false" customHeight="false" outlineLevel="0" collapsed="false">
      <c r="A22" s="2" t="s">
        <v>1189</v>
      </c>
      <c r="B22" s="2" t="s">
        <v>1190</v>
      </c>
      <c r="C22" s="2" t="s">
        <v>1191</v>
      </c>
      <c r="D22" s="2" t="s">
        <v>528</v>
      </c>
      <c r="E22" s="2" t="s">
        <v>1192</v>
      </c>
    </row>
    <row r="23" customFormat="false" ht="15" hidden="false" customHeight="false" outlineLevel="0" collapsed="false">
      <c r="A23" s="2" t="s">
        <v>1193</v>
      </c>
      <c r="B23" s="2" t="s">
        <v>1194</v>
      </c>
      <c r="C23" s="2" t="s">
        <v>1148</v>
      </c>
      <c r="D23" s="2" t="s">
        <v>1149</v>
      </c>
      <c r="E23" s="2" t="s">
        <v>1195</v>
      </c>
    </row>
    <row r="24" customFormat="false" ht="15" hidden="false" customHeight="false" outlineLevel="0" collapsed="false">
      <c r="A24" s="2" t="s">
        <v>1196</v>
      </c>
      <c r="B24" s="2" t="s">
        <v>1197</v>
      </c>
      <c r="C24" s="2" t="s">
        <v>1198</v>
      </c>
      <c r="D24" s="2" t="s">
        <v>1199</v>
      </c>
    </row>
    <row r="25" customFormat="false" ht="15" hidden="false" customHeight="false" outlineLevel="0" collapsed="false">
      <c r="A25" s="2" t="s">
        <v>1200</v>
      </c>
      <c r="B25" s="2" t="s">
        <v>1201</v>
      </c>
      <c r="C25" s="2" t="s">
        <v>1166</v>
      </c>
      <c r="D25" s="2" t="s">
        <v>580</v>
      </c>
    </row>
    <row r="26" customFormat="false" ht="15" hidden="false" customHeight="false" outlineLevel="0" collapsed="false">
      <c r="A26" s="2" t="s">
        <v>1202</v>
      </c>
      <c r="B26" s="2" t="s">
        <v>1203</v>
      </c>
      <c r="C26" s="2" t="s">
        <v>1148</v>
      </c>
      <c r="D26" s="2" t="s">
        <v>1149</v>
      </c>
      <c r="E26" s="2" t="s">
        <v>1204</v>
      </c>
    </row>
    <row r="27" customFormat="false" ht="15" hidden="false" customHeight="false" outlineLevel="0" collapsed="false">
      <c r="A27" s="2" t="s">
        <v>1205</v>
      </c>
      <c r="B27" s="2" t="s">
        <v>1206</v>
      </c>
      <c r="C27" s="2" t="s">
        <v>1153</v>
      </c>
      <c r="D27" s="2" t="s">
        <v>572</v>
      </c>
      <c r="E27" s="2" t="s">
        <v>1207</v>
      </c>
    </row>
    <row r="28" customFormat="false" ht="15" hidden="false" customHeight="false" outlineLevel="0" collapsed="false">
      <c r="A28" s="2" t="s">
        <v>1208</v>
      </c>
      <c r="B28" s="2" t="s">
        <v>1209</v>
      </c>
      <c r="C28" s="2" t="s">
        <v>1148</v>
      </c>
      <c r="D28" s="2" t="s">
        <v>1149</v>
      </c>
      <c r="E28" s="2" t="s">
        <v>1210</v>
      </c>
    </row>
    <row r="29" customFormat="false" ht="15" hidden="false" customHeight="false" outlineLevel="0" collapsed="false">
      <c r="A29" s="2" t="s">
        <v>1211</v>
      </c>
      <c r="B29" s="2" t="s">
        <v>1212</v>
      </c>
      <c r="C29" s="2" t="s">
        <v>1148</v>
      </c>
      <c r="D29" s="2" t="s">
        <v>1149</v>
      </c>
      <c r="E29" s="2" t="s">
        <v>1213</v>
      </c>
    </row>
    <row r="30" customFormat="false" ht="15" hidden="false" customHeight="false" outlineLevel="0" collapsed="false">
      <c r="A30" s="2" t="s">
        <v>1214</v>
      </c>
      <c r="B30" s="2" t="s">
        <v>1215</v>
      </c>
      <c r="C30" s="2" t="s">
        <v>1148</v>
      </c>
      <c r="D30" s="2" t="s">
        <v>1149</v>
      </c>
    </row>
    <row r="31" customFormat="false" ht="15" hidden="false" customHeight="false" outlineLevel="0" collapsed="false">
      <c r="A31" s="2" t="s">
        <v>1216</v>
      </c>
      <c r="B31" s="2" t="s">
        <v>1217</v>
      </c>
      <c r="C31" s="2" t="s">
        <v>1218</v>
      </c>
      <c r="D31" s="2" t="s">
        <v>1027</v>
      </c>
      <c r="E31" s="2" t="s">
        <v>1219</v>
      </c>
    </row>
    <row r="32" customFormat="false" ht="15" hidden="false" customHeight="false" outlineLevel="0" collapsed="false">
      <c r="A32" s="2" t="s">
        <v>1220</v>
      </c>
      <c r="B32" s="2" t="s">
        <v>1221</v>
      </c>
      <c r="C32" s="2" t="s">
        <v>1148</v>
      </c>
      <c r="D32" s="2" t="s">
        <v>1149</v>
      </c>
      <c r="E32" s="2" t="s">
        <v>1222</v>
      </c>
    </row>
    <row r="33" customFormat="false" ht="15" hidden="false" customHeight="false" outlineLevel="0" collapsed="false">
      <c r="A33" s="2" t="s">
        <v>1223</v>
      </c>
      <c r="B33" s="2" t="s">
        <v>1224</v>
      </c>
      <c r="C33" s="2" t="s">
        <v>1148</v>
      </c>
      <c r="D33" s="2" t="s">
        <v>1149</v>
      </c>
    </row>
    <row r="34" customFormat="false" ht="15" hidden="false" customHeight="false" outlineLevel="0" collapsed="false">
      <c r="A34" s="2" t="s">
        <v>1225</v>
      </c>
      <c r="B34" s="2" t="s">
        <v>1226</v>
      </c>
      <c r="C34" s="2" t="s">
        <v>1148</v>
      </c>
      <c r="D34" s="2" t="s">
        <v>1149</v>
      </c>
      <c r="E34" s="2" t="s">
        <v>1227</v>
      </c>
    </row>
    <row r="35" customFormat="false" ht="15" hidden="false" customHeight="false" outlineLevel="0" collapsed="false">
      <c r="A35" s="2" t="s">
        <v>1228</v>
      </c>
      <c r="B35" s="2" t="s">
        <v>1229</v>
      </c>
      <c r="C35" s="2" t="s">
        <v>1218</v>
      </c>
      <c r="D35" s="2" t="s">
        <v>1027</v>
      </c>
      <c r="E35" s="2" t="s">
        <v>1219</v>
      </c>
    </row>
    <row r="36" customFormat="false" ht="15" hidden="false" customHeight="false" outlineLevel="0" collapsed="false">
      <c r="A36" s="2" t="s">
        <v>1230</v>
      </c>
      <c r="B36" s="2" t="s">
        <v>1231</v>
      </c>
      <c r="C36" s="2" t="s">
        <v>1145</v>
      </c>
      <c r="D36" s="2" t="s">
        <v>1046</v>
      </c>
    </row>
    <row r="37" customFormat="false" ht="15" hidden="false" customHeight="false" outlineLevel="0" collapsed="false">
      <c r="A37" s="2" t="s">
        <v>1232</v>
      </c>
      <c r="B37" s="2" t="s">
        <v>1233</v>
      </c>
      <c r="C37" s="2" t="s">
        <v>1148</v>
      </c>
      <c r="D37" s="2" t="s">
        <v>1149</v>
      </c>
      <c r="E37" s="2" t="s">
        <v>1234</v>
      </c>
    </row>
    <row r="38" customFormat="false" ht="15" hidden="false" customHeight="false" outlineLevel="0" collapsed="false">
      <c r="A38" s="2" t="s">
        <v>1235</v>
      </c>
      <c r="B38" s="2" t="s">
        <v>1236</v>
      </c>
      <c r="C38" s="2" t="s">
        <v>1148</v>
      </c>
      <c r="D38" s="2" t="s">
        <v>1149</v>
      </c>
    </row>
    <row r="39" customFormat="false" ht="15" hidden="false" customHeight="false" outlineLevel="0" collapsed="false">
      <c r="A39" s="2" t="s">
        <v>1237</v>
      </c>
      <c r="B39" s="2" t="s">
        <v>1238</v>
      </c>
      <c r="C39" s="2" t="s">
        <v>1148</v>
      </c>
      <c r="D39" s="2" t="s">
        <v>1149</v>
      </c>
    </row>
    <row r="40" customFormat="false" ht="15" hidden="false" customHeight="false" outlineLevel="0" collapsed="false">
      <c r="A40" s="2" t="s">
        <v>1239</v>
      </c>
      <c r="B40" s="2" t="s">
        <v>1240</v>
      </c>
      <c r="C40" s="2" t="s">
        <v>1145</v>
      </c>
      <c r="D40" s="2" t="s">
        <v>1051</v>
      </c>
    </row>
    <row r="41" customFormat="false" ht="15" hidden="false" customHeight="false" outlineLevel="0" collapsed="false">
      <c r="A41" s="2" t="s">
        <v>1241</v>
      </c>
      <c r="B41" s="2" t="s">
        <v>1242</v>
      </c>
      <c r="C41" s="2" t="s">
        <v>1166</v>
      </c>
      <c r="D41" s="2" t="s">
        <v>498</v>
      </c>
    </row>
    <row r="42" customFormat="false" ht="15" hidden="false" customHeight="false" outlineLevel="0" collapsed="false">
      <c r="A42" s="2" t="s">
        <v>1243</v>
      </c>
      <c r="B42" s="2" t="s">
        <v>1244</v>
      </c>
      <c r="C42" s="2" t="s">
        <v>1245</v>
      </c>
      <c r="D42" s="2" t="s">
        <v>779</v>
      </c>
    </row>
    <row r="43" customFormat="false" ht="15" hidden="false" customHeight="false" outlineLevel="0" collapsed="false">
      <c r="A43" s="2" t="s">
        <v>1246</v>
      </c>
      <c r="B43" s="2" t="s">
        <v>1247</v>
      </c>
      <c r="C43" s="2" t="s">
        <v>1148</v>
      </c>
      <c r="D43" s="2" t="s">
        <v>1149</v>
      </c>
    </row>
    <row r="44" customFormat="false" ht="15" hidden="false" customHeight="false" outlineLevel="0" collapsed="false">
      <c r="A44" s="2" t="s">
        <v>1248</v>
      </c>
      <c r="B44" s="2" t="s">
        <v>1249</v>
      </c>
      <c r="C44" s="2" t="s">
        <v>1245</v>
      </c>
      <c r="D44" s="2" t="s">
        <v>1250</v>
      </c>
    </row>
    <row r="45" customFormat="false" ht="15" hidden="false" customHeight="false" outlineLevel="0" collapsed="false">
      <c r="A45" s="2" t="s">
        <v>1251</v>
      </c>
      <c r="B45" s="2" t="s">
        <v>1252</v>
      </c>
      <c r="C45" s="2" t="s">
        <v>1153</v>
      </c>
      <c r="D45" s="2" t="s">
        <v>654</v>
      </c>
    </row>
    <row r="46" customFormat="false" ht="15" hidden="false" customHeight="false" outlineLevel="0" collapsed="false">
      <c r="A46" s="2" t="s">
        <v>1253</v>
      </c>
      <c r="B46" s="2" t="s">
        <v>1254</v>
      </c>
      <c r="C46" s="2" t="s">
        <v>1148</v>
      </c>
      <c r="D46" s="2" t="s">
        <v>1149</v>
      </c>
      <c r="E46" s="2" t="s">
        <v>1255</v>
      </c>
    </row>
    <row r="47" customFormat="false" ht="15" hidden="false" customHeight="false" outlineLevel="0" collapsed="false">
      <c r="A47" s="2" t="s">
        <v>1256</v>
      </c>
      <c r="B47" s="2" t="s">
        <v>1257</v>
      </c>
      <c r="C47" s="2" t="s">
        <v>1166</v>
      </c>
      <c r="D47" s="2" t="s">
        <v>614</v>
      </c>
    </row>
    <row r="48" customFormat="false" ht="15" hidden="false" customHeight="false" outlineLevel="0" collapsed="false">
      <c r="A48" s="2" t="s">
        <v>1258</v>
      </c>
      <c r="B48" s="2" t="s">
        <v>1259</v>
      </c>
      <c r="C48" s="2" t="s">
        <v>1153</v>
      </c>
      <c r="D48" s="2" t="s">
        <v>1260</v>
      </c>
    </row>
    <row r="49" customFormat="false" ht="15" hidden="false" customHeight="false" outlineLevel="0" collapsed="false">
      <c r="A49" s="2" t="s">
        <v>1261</v>
      </c>
      <c r="B49" s="2" t="s">
        <v>1262</v>
      </c>
      <c r="C49" s="2" t="s">
        <v>1148</v>
      </c>
      <c r="D49" s="2" t="s">
        <v>1149</v>
      </c>
      <c r="E49" s="2" t="s">
        <v>1263</v>
      </c>
    </row>
    <row r="50" customFormat="false" ht="15" hidden="false" customHeight="false" outlineLevel="0" collapsed="false">
      <c r="A50" s="2" t="s">
        <v>1264</v>
      </c>
      <c r="B50" s="2" t="s">
        <v>1265</v>
      </c>
      <c r="C50" s="2" t="s">
        <v>1166</v>
      </c>
      <c r="D50" s="2" t="s">
        <v>698</v>
      </c>
    </row>
    <row r="51" customFormat="false" ht="15" hidden="false" customHeight="false" outlineLevel="0" collapsed="false">
      <c r="A51" s="2" t="s">
        <v>1266</v>
      </c>
      <c r="B51" s="2" t="s">
        <v>1267</v>
      </c>
      <c r="C51" s="2" t="s">
        <v>1153</v>
      </c>
      <c r="D51" s="2" t="s">
        <v>645</v>
      </c>
    </row>
    <row r="52" customFormat="false" ht="15" hidden="false" customHeight="false" outlineLevel="0" collapsed="false">
      <c r="A52" s="2" t="s">
        <v>1268</v>
      </c>
      <c r="B52" s="2" t="s">
        <v>1269</v>
      </c>
      <c r="C52" s="2" t="s">
        <v>1166</v>
      </c>
      <c r="D52" s="2" t="s">
        <v>811</v>
      </c>
    </row>
    <row r="53" customFormat="false" ht="15" hidden="false" customHeight="false" outlineLevel="0" collapsed="false">
      <c r="A53" s="2" t="s">
        <v>1270</v>
      </c>
      <c r="B53" s="2" t="s">
        <v>1271</v>
      </c>
      <c r="C53" s="2" t="s">
        <v>1153</v>
      </c>
      <c r="D53" s="2" t="s">
        <v>1272</v>
      </c>
    </row>
    <row r="54" customFormat="false" ht="15" hidden="false" customHeight="false" outlineLevel="0" collapsed="false">
      <c r="A54" s="2" t="s">
        <v>1273</v>
      </c>
      <c r="B54" s="2" t="s">
        <v>1274</v>
      </c>
      <c r="C54" s="2" t="s">
        <v>1166</v>
      </c>
      <c r="D54" s="2" t="s">
        <v>703</v>
      </c>
    </row>
    <row r="55" customFormat="false" ht="15" hidden="false" customHeight="false" outlineLevel="0" collapsed="false">
      <c r="A55" s="2" t="s">
        <v>1275</v>
      </c>
      <c r="B55" s="2" t="s">
        <v>1276</v>
      </c>
      <c r="C55" s="2" t="s">
        <v>1245</v>
      </c>
      <c r="D55" s="2" t="s">
        <v>688</v>
      </c>
    </row>
    <row r="56" customFormat="false" ht="15" hidden="false" customHeight="false" outlineLevel="0" collapsed="false">
      <c r="A56" s="2" t="s">
        <v>1277</v>
      </c>
      <c r="B56" s="2" t="s">
        <v>1278</v>
      </c>
      <c r="C56" s="2" t="s">
        <v>1148</v>
      </c>
      <c r="D56" s="2" t="s">
        <v>1149</v>
      </c>
      <c r="E56" s="2" t="s">
        <v>1279</v>
      </c>
    </row>
    <row r="57" customFormat="false" ht="15" hidden="false" customHeight="false" outlineLevel="0" collapsed="false">
      <c r="A57" s="2" t="s">
        <v>1280</v>
      </c>
      <c r="B57" s="2" t="s">
        <v>1281</v>
      </c>
      <c r="C57" s="2" t="s">
        <v>1145</v>
      </c>
      <c r="D57" s="2" t="s">
        <v>1084</v>
      </c>
      <c r="E57" s="2" t="s">
        <v>1282</v>
      </c>
    </row>
    <row r="58" customFormat="false" ht="15" hidden="false" customHeight="false" outlineLevel="0" collapsed="false">
      <c r="A58" s="2" t="s">
        <v>1283</v>
      </c>
      <c r="B58" s="2" t="s">
        <v>1284</v>
      </c>
      <c r="C58" s="2" t="s">
        <v>1148</v>
      </c>
      <c r="D58" s="2" t="s">
        <v>1149</v>
      </c>
      <c r="E58" s="2" t="s">
        <v>1255</v>
      </c>
    </row>
    <row r="59" customFormat="false" ht="15" hidden="false" customHeight="false" outlineLevel="0" collapsed="false">
      <c r="A59" s="2" t="s">
        <v>1285</v>
      </c>
      <c r="B59" s="2" t="s">
        <v>1286</v>
      </c>
      <c r="C59" s="2" t="s">
        <v>1166</v>
      </c>
      <c r="D59" s="2" t="s">
        <v>940</v>
      </c>
    </row>
    <row r="60" customFormat="false" ht="15" hidden="false" customHeight="false" outlineLevel="0" collapsed="false">
      <c r="A60" s="2" t="s">
        <v>1287</v>
      </c>
      <c r="B60" s="2" t="s">
        <v>1288</v>
      </c>
      <c r="C60" s="2" t="s">
        <v>1181</v>
      </c>
      <c r="D60" s="2" t="s">
        <v>1289</v>
      </c>
      <c r="E60" s="2" t="s">
        <v>1290</v>
      </c>
    </row>
    <row r="61" customFormat="false" ht="15" hidden="false" customHeight="false" outlineLevel="0" collapsed="false">
      <c r="A61" s="2" t="s">
        <v>1291</v>
      </c>
      <c r="B61" s="2" t="s">
        <v>1292</v>
      </c>
      <c r="C61" s="2" t="s">
        <v>1153</v>
      </c>
      <c r="D61" s="2" t="s">
        <v>1293</v>
      </c>
    </row>
    <row r="62" customFormat="false" ht="15" hidden="false" customHeight="false" outlineLevel="0" collapsed="false">
      <c r="A62" s="2" t="s">
        <v>1294</v>
      </c>
      <c r="B62" s="2" t="s">
        <v>1295</v>
      </c>
      <c r="C62" s="2" t="s">
        <v>1198</v>
      </c>
      <c r="D62" s="2" t="s">
        <v>1296</v>
      </c>
    </row>
    <row r="64" customFormat="false" ht="15" hidden="false" customHeight="false" outlineLevel="0" collapsed="false">
      <c r="A64" s="10" t="s">
        <v>1297</v>
      </c>
    </row>
    <row r="65" customFormat="false" ht="15" hidden="false" customHeight="false" outlineLevel="0" collapsed="false">
      <c r="A65" s="1" t="s">
        <v>1298</v>
      </c>
      <c r="B65" s="1" t="s">
        <v>1139</v>
      </c>
      <c r="C65" s="1" t="s">
        <v>1140</v>
      </c>
      <c r="D65" s="1" t="s">
        <v>1141</v>
      </c>
    </row>
    <row r="66" customFormat="false" ht="28.35" hidden="false" customHeight="false" outlineLevel="0" collapsed="false">
      <c r="A66" s="2" t="s">
        <v>1299</v>
      </c>
      <c r="B66" s="2" t="s">
        <v>1300</v>
      </c>
      <c r="C66" s="2" t="s">
        <v>1245</v>
      </c>
      <c r="D66" s="2" t="s">
        <v>634</v>
      </c>
    </row>
    <row r="67" customFormat="false" ht="15" hidden="false" customHeight="false" outlineLevel="0" collapsed="false">
      <c r="A67" s="2" t="s">
        <v>1301</v>
      </c>
      <c r="B67" s="2" t="s">
        <v>1302</v>
      </c>
      <c r="C67" s="2" t="s">
        <v>1245</v>
      </c>
      <c r="D67" s="2" t="s">
        <v>730</v>
      </c>
    </row>
    <row r="68" customFormat="false" ht="28.35" hidden="false" customHeight="false" outlineLevel="0" collapsed="false">
      <c r="A68" s="2" t="s">
        <v>1303</v>
      </c>
      <c r="B68" s="2" t="s">
        <v>1304</v>
      </c>
      <c r="C68" s="2" t="s">
        <v>1166</v>
      </c>
      <c r="D68" s="2" t="s">
        <v>442</v>
      </c>
    </row>
    <row r="69" customFormat="false" ht="28.35" hidden="false" customHeight="false" outlineLevel="0" collapsed="false">
      <c r="A69" s="2" t="s">
        <v>1305</v>
      </c>
      <c r="B69" s="2" t="s">
        <v>1306</v>
      </c>
      <c r="C69" s="2" t="s">
        <v>1307</v>
      </c>
      <c r="D69" s="2" t="s">
        <v>1308</v>
      </c>
    </row>
    <row r="70" customFormat="false" ht="15" hidden="false" customHeight="false" outlineLevel="0" collapsed="false">
      <c r="A70" s="2" t="s">
        <v>1309</v>
      </c>
      <c r="B70" s="2" t="s">
        <v>1310</v>
      </c>
      <c r="C70" s="2" t="s">
        <v>1166</v>
      </c>
      <c r="D70" s="2" t="s">
        <v>658</v>
      </c>
    </row>
    <row r="71" customFormat="false" ht="28.35" hidden="false" customHeight="false" outlineLevel="0" collapsed="false">
      <c r="A71" s="2" t="s">
        <v>1311</v>
      </c>
      <c r="B71" s="2" t="s">
        <v>1312</v>
      </c>
      <c r="C71" s="2" t="s">
        <v>1166</v>
      </c>
      <c r="D71" s="2" t="s">
        <v>1313</v>
      </c>
    </row>
    <row r="72" customFormat="false" ht="15" hidden="false" customHeight="false" outlineLevel="0" collapsed="false">
      <c r="A72" s="2" t="s">
        <v>1314</v>
      </c>
      <c r="B72" s="2" t="s">
        <v>1315</v>
      </c>
      <c r="C72" s="2" t="s">
        <v>1245</v>
      </c>
      <c r="D72" s="2" t="s">
        <v>486</v>
      </c>
    </row>
    <row r="73" customFormat="false" ht="15" hidden="false" customHeight="false" outlineLevel="0" collapsed="false">
      <c r="A73" s="2" t="s">
        <v>1316</v>
      </c>
      <c r="B73" s="2" t="s">
        <v>1317</v>
      </c>
      <c r="C73" s="2" t="s">
        <v>1166</v>
      </c>
      <c r="D73" s="2" t="s">
        <v>746</v>
      </c>
    </row>
    <row r="74" customFormat="false" ht="15" hidden="false" customHeight="false" outlineLevel="0" collapsed="false">
      <c r="A74" s="2" t="s">
        <v>1318</v>
      </c>
      <c r="B74" s="2" t="s">
        <v>1319</v>
      </c>
      <c r="C74" s="2" t="s">
        <v>1145</v>
      </c>
      <c r="D74" s="2" t="s">
        <v>1074</v>
      </c>
    </row>
    <row r="75" customFormat="false" ht="15" hidden="false" customHeight="false" outlineLevel="0" collapsed="false">
      <c r="A75" s="2" t="s">
        <v>1320</v>
      </c>
      <c r="B75" s="2" t="s">
        <v>1321</v>
      </c>
      <c r="C75" s="2" t="s">
        <v>1145</v>
      </c>
      <c r="D75" s="2" t="s">
        <v>1063</v>
      </c>
    </row>
    <row r="76" customFormat="false" ht="15" hidden="false" customHeight="false" outlineLevel="0" collapsed="false">
      <c r="A76" s="2" t="s">
        <v>1322</v>
      </c>
      <c r="B76" s="2" t="s">
        <v>1323</v>
      </c>
      <c r="C76" s="2" t="s">
        <v>1145</v>
      </c>
      <c r="D76" s="2" t="s">
        <v>1324</v>
      </c>
    </row>
    <row r="77" customFormat="false" ht="28.35" hidden="false" customHeight="false" outlineLevel="0" collapsed="false">
      <c r="A77" s="2" t="s">
        <v>1325</v>
      </c>
      <c r="B77" s="2" t="s">
        <v>1326</v>
      </c>
      <c r="C77" s="2" t="s">
        <v>1245</v>
      </c>
      <c r="D77" s="2" t="s">
        <v>567</v>
      </c>
    </row>
    <row r="78" customFormat="false" ht="15" hidden="false" customHeight="false" outlineLevel="0" collapsed="false">
      <c r="A78" s="2" t="s">
        <v>1327</v>
      </c>
      <c r="B78" s="2" t="s">
        <v>1328</v>
      </c>
      <c r="C78" s="2" t="s">
        <v>1166</v>
      </c>
      <c r="D78" s="2" t="s">
        <v>806</v>
      </c>
    </row>
    <row r="79" customFormat="false" ht="15" hidden="false" customHeight="false" outlineLevel="0" collapsed="false">
      <c r="A79" s="2" t="s">
        <v>1329</v>
      </c>
      <c r="B79" s="2" t="s">
        <v>1330</v>
      </c>
      <c r="C79" s="2" t="s">
        <v>1166</v>
      </c>
      <c r="D79" s="2" t="s">
        <v>493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7" t="s">
        <v>1331</v>
      </c>
      <c r="B1" s="7" t="s">
        <v>1332</v>
      </c>
    </row>
    <row r="2" customFormat="false" ht="15" hidden="false" customHeight="false" outlineLevel="0" collapsed="false">
      <c r="A2" s="8" t="s">
        <v>1333</v>
      </c>
      <c r="B2" s="8" t="s">
        <v>1334</v>
      </c>
    </row>
    <row r="3" customFormat="false" ht="28.35" hidden="false" customHeight="false" outlineLevel="0" collapsed="false">
      <c r="A3" s="8" t="s">
        <v>1335</v>
      </c>
      <c r="B3" s="8" t="s">
        <v>1336</v>
      </c>
    </row>
    <row r="4" customFormat="false" ht="15" hidden="false" customHeight="false" outlineLevel="0" collapsed="false">
      <c r="A4" s="8" t="s">
        <v>1337</v>
      </c>
      <c r="B4" s="8" t="s">
        <v>1338</v>
      </c>
    </row>
    <row r="5" customFormat="false" ht="28.35" hidden="false" customHeight="false" outlineLevel="0" collapsed="false">
      <c r="A5" s="8" t="s">
        <v>1339</v>
      </c>
      <c r="B5" s="8" t="s">
        <v>1340</v>
      </c>
    </row>
    <row r="6" customFormat="false" ht="15" hidden="false" customHeight="false" outlineLevel="0" collapsed="false">
      <c r="A6" s="8" t="s">
        <v>1341</v>
      </c>
      <c r="B6" s="8" t="n">
        <f aca="false">COUNTA(Indicator_Data_Dictionary!A2:A141)</f>
        <v>140</v>
      </c>
    </row>
    <row r="7" customFormat="false" ht="15" hidden="false" customHeight="false" outlineLevel="0" collapsed="false">
      <c r="A7" s="8" t="s">
        <v>1342</v>
      </c>
      <c r="B7" s="8" t="n">
        <f aca="false">COUNTIF(Indicator_Data_Dictionary!B2:B141,"A")</f>
        <v>82</v>
      </c>
    </row>
    <row r="8" customFormat="false" ht="15" hidden="false" customHeight="false" outlineLevel="0" collapsed="false">
      <c r="A8" s="8" t="s">
        <v>1343</v>
      </c>
      <c r="B8" s="8" t="n">
        <f aca="false">COUNTIF(Indicator_Data_Dictionary!B2:B141,"B")</f>
        <v>43</v>
      </c>
    </row>
    <row r="9" customFormat="false" ht="15" hidden="false" customHeight="false" outlineLevel="0" collapsed="false">
      <c r="A9" s="8" t="s">
        <v>1344</v>
      </c>
      <c r="B9" s="8" t="n">
        <f aca="false">COUNTIF(Indicator_Data_Dictionary!B2:B141,"C")</f>
        <v>15</v>
      </c>
    </row>
    <row r="10" customFormat="false" ht="15" hidden="false" customHeight="false" outlineLevel="0" collapsed="false">
      <c r="A10" s="8" t="s">
        <v>1345</v>
      </c>
      <c r="B10" s="8" t="n">
        <f aca="false">COUNTIF(Indicator_Data_Dictionary!G2:G141,"M")</f>
        <v>79</v>
      </c>
    </row>
    <row r="11" customFormat="false" ht="15" hidden="false" customHeight="false" outlineLevel="0" collapsed="false">
      <c r="A11" s="8" t="s">
        <v>1346</v>
      </c>
      <c r="B11" s="8" t="n">
        <f aca="false">COUNTIFS(Indicator_Data_Dictionary!G2:G141,"GP",Indicator_Data_Dictionary!B2:B141,"&lt;&gt;C")</f>
        <v>46</v>
      </c>
    </row>
    <row r="12" customFormat="false" ht="15" hidden="false" customHeight="false" outlineLevel="0" collapsed="false">
      <c r="A12" s="8" t="s">
        <v>1347</v>
      </c>
      <c r="B12" s="8" t="n">
        <f aca="false">COUNTIF(Indicator_Data_Dictionary!Y2:Y141,"Unchanged")</f>
        <v>100</v>
      </c>
    </row>
    <row r="13" customFormat="false" ht="15" hidden="false" customHeight="false" outlineLevel="0" collapsed="false">
      <c r="A13" s="8" t="s">
        <v>437</v>
      </c>
      <c r="B13" s="8" t="n">
        <f aca="false">COUNTIF(Indicator_Data_Dictionary!Y2:Y141,"Revised*")</f>
        <v>8</v>
      </c>
    </row>
    <row r="14" customFormat="false" ht="15" hidden="false" customHeight="false" outlineLevel="0" collapsed="false">
      <c r="A14" s="8" t="s">
        <v>225</v>
      </c>
      <c r="B14" s="8" t="n">
        <f aca="false">COUNTIF(Indicator_Data_Dictionary!Y2:Y141,"Added*")</f>
        <v>32</v>
      </c>
    </row>
    <row r="15" customFormat="false" ht="15" hidden="false" customHeight="false" outlineLevel="0" collapsed="false">
      <c r="A15" s="8" t="s">
        <v>1348</v>
      </c>
      <c r="B15" s="8" t="n">
        <v>0</v>
      </c>
    </row>
    <row r="16" customFormat="false" ht="28.35" hidden="false" customHeight="false" outlineLevel="0" collapsed="false">
      <c r="A16" s="8" t="s">
        <v>1349</v>
      </c>
      <c r="B16" s="8" t="s">
        <v>1350</v>
      </c>
    </row>
    <row r="17" customFormat="false" ht="15" hidden="false" customHeight="false" outlineLevel="0" collapsed="false">
      <c r="A17" s="8" t="s">
        <v>1351</v>
      </c>
      <c r="B17" s="8" t="s">
        <v>1352</v>
      </c>
    </row>
    <row r="18" customFormat="false" ht="41.75" hidden="false" customHeight="false" outlineLevel="0" collapsed="false">
      <c r="A18" s="8" t="s">
        <v>1353</v>
      </c>
      <c r="B18" s="8" t="s">
        <v>1354</v>
      </c>
    </row>
    <row r="19" customFormat="false" ht="28.35" hidden="false" customHeight="false" outlineLevel="0" collapsed="false">
      <c r="A19" s="8" t="s">
        <v>1355</v>
      </c>
      <c r="B19" s="8" t="s">
        <v>1356</v>
      </c>
    </row>
    <row r="20" customFormat="false" ht="15" hidden="false" customHeight="false" outlineLevel="0" collapsed="false">
      <c r="A20" s="8" t="s">
        <v>1357</v>
      </c>
      <c r="B20" s="8" t="s">
        <v>1358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5" min="4" style="0" width="6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1359</v>
      </c>
      <c r="B1" s="1" t="s">
        <v>1360</v>
      </c>
      <c r="C1" s="1" t="s">
        <v>1361</v>
      </c>
      <c r="D1" s="1" t="s">
        <v>1362</v>
      </c>
      <c r="E1" s="1" t="s">
        <v>1363</v>
      </c>
      <c r="F1" s="1" t="s">
        <v>1364</v>
      </c>
    </row>
    <row r="2" customFormat="false" ht="82.05" hidden="false" customHeight="false" outlineLevel="0" collapsed="false">
      <c r="A2" s="2" t="s">
        <v>433</v>
      </c>
      <c r="B2" s="2" t="s">
        <v>1365</v>
      </c>
      <c r="C2" s="2" t="s">
        <v>1366</v>
      </c>
      <c r="D2" s="2" t="s">
        <v>1367</v>
      </c>
      <c r="E2" s="2" t="s">
        <v>1368</v>
      </c>
      <c r="F2" s="2" t="s">
        <v>1369</v>
      </c>
    </row>
    <row r="3" customFormat="false" ht="82.05" hidden="false" customHeight="false" outlineLevel="0" collapsed="false">
      <c r="A3" s="2" t="s">
        <v>442</v>
      </c>
      <c r="B3" s="2" t="s">
        <v>1370</v>
      </c>
      <c r="C3" s="2" t="s">
        <v>1371</v>
      </c>
      <c r="D3" s="2" t="s">
        <v>406</v>
      </c>
      <c r="E3" s="2" t="s">
        <v>443</v>
      </c>
      <c r="F3" s="2" t="s">
        <v>448</v>
      </c>
    </row>
    <row r="4" customFormat="false" ht="15" hidden="false" customHeight="false" outlineLevel="0" collapsed="false">
      <c r="A4" s="2" t="s">
        <v>450</v>
      </c>
      <c r="B4" s="2" t="s">
        <v>1372</v>
      </c>
      <c r="C4" s="2" t="s">
        <v>382</v>
      </c>
      <c r="D4" s="2" t="s">
        <v>479</v>
      </c>
      <c r="E4" s="2" t="s">
        <v>454</v>
      </c>
      <c r="F4" s="2" t="s">
        <v>1373</v>
      </c>
    </row>
    <row r="5" customFormat="false" ht="68.65" hidden="false" customHeight="false" outlineLevel="0" collapsed="false">
      <c r="A5" s="2" t="s">
        <v>486</v>
      </c>
      <c r="B5" s="2" t="s">
        <v>1365</v>
      </c>
      <c r="C5" s="2" t="s">
        <v>1374</v>
      </c>
      <c r="D5" s="2" t="s">
        <v>1375</v>
      </c>
      <c r="E5" s="2" t="s">
        <v>1376</v>
      </c>
      <c r="F5" s="2" t="s">
        <v>1369</v>
      </c>
    </row>
    <row r="6" customFormat="false" ht="41.75" hidden="false" customHeight="false" outlineLevel="0" collapsed="false">
      <c r="A6" s="2" t="s">
        <v>493</v>
      </c>
      <c r="B6" s="2" t="s">
        <v>1370</v>
      </c>
      <c r="C6" s="2" t="s">
        <v>1371</v>
      </c>
      <c r="D6" s="2" t="s">
        <v>406</v>
      </c>
      <c r="E6" s="2" t="s">
        <v>494</v>
      </c>
      <c r="F6" s="2" t="s">
        <v>448</v>
      </c>
    </row>
    <row r="7" customFormat="false" ht="41.75" hidden="false" customHeight="false" outlineLevel="0" collapsed="false">
      <c r="A7" s="2" t="s">
        <v>498</v>
      </c>
      <c r="B7" s="2" t="s">
        <v>1370</v>
      </c>
      <c r="C7" s="2" t="s">
        <v>1371</v>
      </c>
      <c r="D7" s="2" t="s">
        <v>406</v>
      </c>
      <c r="E7" s="2" t="s">
        <v>499</v>
      </c>
      <c r="F7" s="2" t="s">
        <v>502</v>
      </c>
    </row>
    <row r="8" customFormat="false" ht="122.35" hidden="false" customHeight="false" outlineLevel="0" collapsed="false">
      <c r="A8" s="2" t="s">
        <v>567</v>
      </c>
      <c r="B8" s="2" t="s">
        <v>1365</v>
      </c>
      <c r="C8" s="2" t="s">
        <v>1377</v>
      </c>
      <c r="D8" s="2" t="s">
        <v>1378</v>
      </c>
      <c r="E8" s="2" t="s">
        <v>1379</v>
      </c>
      <c r="F8" s="2" t="s">
        <v>1369</v>
      </c>
    </row>
    <row r="9" customFormat="false" ht="41.75" hidden="false" customHeight="false" outlineLevel="0" collapsed="false">
      <c r="A9" s="2" t="s">
        <v>580</v>
      </c>
      <c r="B9" s="2" t="s">
        <v>1370</v>
      </c>
      <c r="C9" s="2" t="s">
        <v>1371</v>
      </c>
      <c r="D9" s="2" t="s">
        <v>406</v>
      </c>
      <c r="E9" s="2" t="s">
        <v>581</v>
      </c>
      <c r="F9" s="2" t="s">
        <v>502</v>
      </c>
    </row>
    <row r="10" customFormat="false" ht="41.75" hidden="false" customHeight="false" outlineLevel="0" collapsed="false">
      <c r="A10" s="2" t="s">
        <v>614</v>
      </c>
      <c r="B10" s="2" t="s">
        <v>1370</v>
      </c>
      <c r="C10" s="2" t="s">
        <v>1371</v>
      </c>
      <c r="D10" s="2" t="s">
        <v>406</v>
      </c>
      <c r="E10" s="2" t="s">
        <v>615</v>
      </c>
      <c r="F10" s="2" t="s">
        <v>502</v>
      </c>
    </row>
    <row r="11" customFormat="false" ht="41.75" hidden="false" customHeight="false" outlineLevel="0" collapsed="false">
      <c r="A11" s="2" t="s">
        <v>619</v>
      </c>
      <c r="B11" s="2" t="s">
        <v>1370</v>
      </c>
      <c r="C11" s="2" t="s">
        <v>1371</v>
      </c>
      <c r="D11" s="2" t="s">
        <v>406</v>
      </c>
      <c r="E11" s="2" t="s">
        <v>620</v>
      </c>
      <c r="F11" s="2" t="s">
        <v>623</v>
      </c>
    </row>
    <row r="12" customFormat="false" ht="28.35" hidden="false" customHeight="false" outlineLevel="0" collapsed="false">
      <c r="A12" s="2" t="s">
        <v>625</v>
      </c>
      <c r="B12" s="2" t="s">
        <v>1370</v>
      </c>
      <c r="C12" s="2" t="s">
        <v>1371</v>
      </c>
      <c r="D12" s="2" t="s">
        <v>406</v>
      </c>
      <c r="E12" s="2" t="s">
        <v>626</v>
      </c>
      <c r="F12" s="2" t="s">
        <v>502</v>
      </c>
    </row>
    <row r="13" customFormat="false" ht="82.05" hidden="false" customHeight="false" outlineLevel="0" collapsed="false">
      <c r="A13" s="2" t="s">
        <v>634</v>
      </c>
      <c r="B13" s="2" t="s">
        <v>1365</v>
      </c>
      <c r="C13" s="2" t="s">
        <v>1374</v>
      </c>
      <c r="D13" s="2" t="s">
        <v>1380</v>
      </c>
      <c r="E13" s="2" t="s">
        <v>1381</v>
      </c>
      <c r="F13" s="2" t="s">
        <v>1369</v>
      </c>
    </row>
    <row r="14" customFormat="false" ht="55.2" hidden="false" customHeight="false" outlineLevel="0" collapsed="false">
      <c r="A14" s="2" t="s">
        <v>658</v>
      </c>
      <c r="B14" s="2" t="s">
        <v>1370</v>
      </c>
      <c r="C14" s="2" t="s">
        <v>1371</v>
      </c>
      <c r="D14" s="2" t="s">
        <v>406</v>
      </c>
      <c r="E14" s="2" t="s">
        <v>659</v>
      </c>
      <c r="F14" s="2" t="s">
        <v>448</v>
      </c>
    </row>
    <row r="15" customFormat="false" ht="95.5" hidden="false" customHeight="false" outlineLevel="0" collapsed="false">
      <c r="A15" s="2" t="s">
        <v>688</v>
      </c>
      <c r="B15" s="2" t="s">
        <v>1365</v>
      </c>
      <c r="C15" s="2" t="s">
        <v>1377</v>
      </c>
      <c r="D15" s="2" t="s">
        <v>1382</v>
      </c>
      <c r="E15" s="2" t="s">
        <v>1383</v>
      </c>
      <c r="F15" s="2" t="s">
        <v>1369</v>
      </c>
    </row>
    <row r="16" customFormat="false" ht="28.35" hidden="false" customHeight="false" outlineLevel="0" collapsed="false">
      <c r="A16" s="2" t="s">
        <v>698</v>
      </c>
      <c r="B16" s="2" t="s">
        <v>1370</v>
      </c>
      <c r="C16" s="2" t="s">
        <v>1371</v>
      </c>
      <c r="D16" s="2" t="s">
        <v>406</v>
      </c>
      <c r="E16" s="2" t="s">
        <v>699</v>
      </c>
      <c r="F16" s="2" t="s">
        <v>502</v>
      </c>
    </row>
    <row r="17" customFormat="false" ht="28.35" hidden="false" customHeight="false" outlineLevel="0" collapsed="false">
      <c r="A17" s="2" t="s">
        <v>703</v>
      </c>
      <c r="B17" s="2" t="s">
        <v>1370</v>
      </c>
      <c r="C17" s="2" t="s">
        <v>1371</v>
      </c>
      <c r="D17" s="2" t="s">
        <v>406</v>
      </c>
      <c r="E17" s="2" t="s">
        <v>704</v>
      </c>
      <c r="F17" s="2" t="s">
        <v>502</v>
      </c>
    </row>
    <row r="18" customFormat="false" ht="15" hidden="false" customHeight="false" outlineLevel="0" collapsed="false">
      <c r="A18" s="2" t="s">
        <v>726</v>
      </c>
      <c r="B18" s="2" t="s">
        <v>1372</v>
      </c>
      <c r="C18" s="2" t="s">
        <v>382</v>
      </c>
      <c r="D18" s="2" t="s">
        <v>491</v>
      </c>
      <c r="E18" s="2" t="s">
        <v>454</v>
      </c>
      <c r="F18" s="2" t="s">
        <v>1373</v>
      </c>
    </row>
    <row r="19" customFormat="false" ht="28.35" hidden="false" customHeight="false" outlineLevel="0" collapsed="false">
      <c r="A19" s="2" t="s">
        <v>730</v>
      </c>
      <c r="B19" s="2" t="s">
        <v>1365</v>
      </c>
      <c r="C19" s="2" t="s">
        <v>374</v>
      </c>
      <c r="D19" s="2" t="s">
        <v>1384</v>
      </c>
      <c r="E19" s="2" t="s">
        <v>1385</v>
      </c>
      <c r="F19" s="2" t="s">
        <v>1369</v>
      </c>
    </row>
    <row r="20" customFormat="false" ht="82.05" hidden="false" customHeight="false" outlineLevel="0" collapsed="false">
      <c r="A20" s="2" t="s">
        <v>740</v>
      </c>
      <c r="B20" s="2" t="s">
        <v>1370</v>
      </c>
      <c r="C20" s="2" t="s">
        <v>1371</v>
      </c>
      <c r="D20" s="2" t="s">
        <v>406</v>
      </c>
      <c r="E20" s="2" t="s">
        <v>741</v>
      </c>
      <c r="F20" s="2" t="s">
        <v>448</v>
      </c>
    </row>
    <row r="21" customFormat="false" ht="55.2" hidden="false" customHeight="false" outlineLevel="0" collapsed="false">
      <c r="A21" s="2" t="s">
        <v>746</v>
      </c>
      <c r="B21" s="2" t="s">
        <v>1370</v>
      </c>
      <c r="C21" s="2" t="s">
        <v>1371</v>
      </c>
      <c r="D21" s="2" t="s">
        <v>406</v>
      </c>
      <c r="E21" s="2" t="s">
        <v>747</v>
      </c>
      <c r="F21" s="2" t="s">
        <v>448</v>
      </c>
    </row>
    <row r="22" customFormat="false" ht="41.75" hidden="false" customHeight="false" outlineLevel="0" collapsed="false">
      <c r="A22" s="2" t="s">
        <v>769</v>
      </c>
      <c r="B22" s="2" t="s">
        <v>1370</v>
      </c>
      <c r="C22" s="2" t="s">
        <v>1371</v>
      </c>
      <c r="D22" s="2" t="s">
        <v>406</v>
      </c>
      <c r="E22" s="2" t="s">
        <v>770</v>
      </c>
      <c r="F22" s="2" t="s">
        <v>502</v>
      </c>
    </row>
    <row r="23" customFormat="false" ht="82.05" hidden="false" customHeight="false" outlineLevel="0" collapsed="false">
      <c r="A23" s="2" t="s">
        <v>779</v>
      </c>
      <c r="B23" s="2" t="s">
        <v>1365</v>
      </c>
      <c r="C23" s="2" t="s">
        <v>1377</v>
      </c>
      <c r="D23" s="2" t="s">
        <v>1386</v>
      </c>
      <c r="E23" s="2" t="s">
        <v>1387</v>
      </c>
      <c r="F23" s="2" t="s">
        <v>1369</v>
      </c>
    </row>
    <row r="24" customFormat="false" ht="41.75" hidden="false" customHeight="false" outlineLevel="0" collapsed="false">
      <c r="A24" s="2" t="s">
        <v>806</v>
      </c>
      <c r="B24" s="2" t="s">
        <v>1370</v>
      </c>
      <c r="C24" s="2" t="s">
        <v>1371</v>
      </c>
      <c r="D24" s="2" t="s">
        <v>406</v>
      </c>
      <c r="E24" s="2" t="s">
        <v>807</v>
      </c>
      <c r="F24" s="2" t="s">
        <v>448</v>
      </c>
    </row>
    <row r="25" customFormat="false" ht="28.35" hidden="false" customHeight="false" outlineLevel="0" collapsed="false">
      <c r="A25" s="2" t="s">
        <v>811</v>
      </c>
      <c r="B25" s="2" t="s">
        <v>1370</v>
      </c>
      <c r="C25" s="2" t="s">
        <v>1371</v>
      </c>
      <c r="D25" s="2" t="s">
        <v>406</v>
      </c>
      <c r="E25" s="2" t="s">
        <v>812</v>
      </c>
      <c r="F25" s="2" t="s">
        <v>502</v>
      </c>
    </row>
    <row r="26" customFormat="false" ht="68.65" hidden="false" customHeight="false" outlineLevel="0" collapsed="false">
      <c r="A26" s="2" t="s">
        <v>821</v>
      </c>
      <c r="B26" s="2" t="s">
        <v>1365</v>
      </c>
      <c r="C26" s="2" t="s">
        <v>1374</v>
      </c>
      <c r="D26" s="2" t="s">
        <v>1388</v>
      </c>
      <c r="E26" s="2" t="s">
        <v>1389</v>
      </c>
      <c r="F26" s="2" t="s">
        <v>1369</v>
      </c>
    </row>
    <row r="27" customFormat="false" ht="15" hidden="false" customHeight="false" outlineLevel="0" collapsed="false">
      <c r="A27" s="2" t="s">
        <v>854</v>
      </c>
      <c r="B27" s="2" t="s">
        <v>1372</v>
      </c>
      <c r="C27" s="2" t="s">
        <v>382</v>
      </c>
      <c r="D27" s="2" t="s">
        <v>454</v>
      </c>
      <c r="E27" s="2" t="s">
        <v>686</v>
      </c>
      <c r="F27" s="2" t="s">
        <v>1373</v>
      </c>
    </row>
    <row r="28" customFormat="false" ht="15" hidden="false" customHeight="false" outlineLevel="0" collapsed="false">
      <c r="A28" s="2" t="s">
        <v>891</v>
      </c>
      <c r="B28" s="2" t="s">
        <v>1372</v>
      </c>
      <c r="C28" s="2" t="s">
        <v>382</v>
      </c>
      <c r="D28" s="2" t="s">
        <v>491</v>
      </c>
      <c r="E28" s="2" t="s">
        <v>454</v>
      </c>
      <c r="F28" s="2" t="s">
        <v>1373</v>
      </c>
    </row>
    <row r="29" customFormat="false" ht="28.35" hidden="false" customHeight="false" outlineLevel="0" collapsed="false">
      <c r="A29" s="2" t="s">
        <v>940</v>
      </c>
      <c r="B29" s="2" t="s">
        <v>1370</v>
      </c>
      <c r="C29" s="2" t="s">
        <v>1371</v>
      </c>
      <c r="D29" s="2" t="s">
        <v>406</v>
      </c>
      <c r="E29" s="2" t="s">
        <v>941</v>
      </c>
      <c r="F29" s="2" t="s">
        <v>502</v>
      </c>
    </row>
    <row r="30" customFormat="false" ht="41.75" hidden="false" customHeight="false" outlineLevel="0" collapsed="false">
      <c r="A30" s="2" t="s">
        <v>967</v>
      </c>
      <c r="B30" s="2" t="s">
        <v>1370</v>
      </c>
      <c r="C30" s="2" t="s">
        <v>1371</v>
      </c>
      <c r="D30" s="2" t="s">
        <v>406</v>
      </c>
      <c r="E30" s="2" t="s">
        <v>968</v>
      </c>
      <c r="F30" s="2" t="s">
        <v>623</v>
      </c>
    </row>
    <row r="31" customFormat="false" ht="15" hidden="false" customHeight="false" outlineLevel="0" collapsed="false">
      <c r="A31" s="2" t="s">
        <v>976</v>
      </c>
      <c r="B31" s="2" t="s">
        <v>1372</v>
      </c>
      <c r="C31" s="2" t="s">
        <v>382</v>
      </c>
      <c r="D31" s="2" t="s">
        <v>454</v>
      </c>
      <c r="E31" s="2" t="s">
        <v>479</v>
      </c>
      <c r="F31" s="2" t="s">
        <v>1373</v>
      </c>
    </row>
    <row r="32" customFormat="false" ht="28.35" hidden="false" customHeight="false" outlineLevel="0" collapsed="false">
      <c r="A32" s="2" t="s">
        <v>998</v>
      </c>
      <c r="B32" s="2" t="s">
        <v>1370</v>
      </c>
      <c r="C32" s="2" t="s">
        <v>1371</v>
      </c>
      <c r="D32" s="2" t="s">
        <v>406</v>
      </c>
      <c r="E32" s="2" t="s">
        <v>999</v>
      </c>
      <c r="F32" s="2" t="s">
        <v>1009</v>
      </c>
    </row>
    <row r="33" customFormat="false" ht="15" hidden="false" customHeight="false" outlineLevel="0" collapsed="false">
      <c r="A33" s="2" t="s">
        <v>1012</v>
      </c>
      <c r="B33" s="2" t="s">
        <v>1370</v>
      </c>
      <c r="C33" s="2" t="s">
        <v>1371</v>
      </c>
      <c r="D33" s="2" t="s">
        <v>406</v>
      </c>
      <c r="E33" s="2" t="s">
        <v>1013</v>
      </c>
      <c r="F33" s="2" t="s">
        <v>1009</v>
      </c>
    </row>
    <row r="34" customFormat="false" ht="28.35" hidden="false" customHeight="false" outlineLevel="0" collapsed="false">
      <c r="A34" s="2" t="s">
        <v>1018</v>
      </c>
      <c r="B34" s="2" t="s">
        <v>1370</v>
      </c>
      <c r="C34" s="2" t="s">
        <v>1371</v>
      </c>
      <c r="D34" s="2" t="s">
        <v>406</v>
      </c>
      <c r="E34" s="2" t="s">
        <v>1019</v>
      </c>
      <c r="F34" s="2" t="s">
        <v>1009</v>
      </c>
    </row>
    <row r="35" customFormat="false" ht="28.35" hidden="false" customHeight="false" outlineLevel="0" collapsed="false">
      <c r="A35" s="2" t="s">
        <v>1022</v>
      </c>
      <c r="B35" s="2" t="s">
        <v>1370</v>
      </c>
      <c r="C35" s="2" t="s">
        <v>1371</v>
      </c>
      <c r="D35" s="2" t="s">
        <v>406</v>
      </c>
      <c r="E35" s="2" t="s">
        <v>1023</v>
      </c>
      <c r="F35" s="2" t="s">
        <v>1009</v>
      </c>
    </row>
    <row r="36" customFormat="false" ht="41.75" hidden="false" customHeight="false" outlineLevel="0" collapsed="false">
      <c r="A36" s="2" t="s">
        <v>1027</v>
      </c>
      <c r="B36" s="2" t="s">
        <v>1370</v>
      </c>
      <c r="C36" s="2" t="s">
        <v>1371</v>
      </c>
      <c r="D36" s="2" t="s">
        <v>406</v>
      </c>
      <c r="E36" s="2" t="s">
        <v>1028</v>
      </c>
      <c r="F36" s="2" t="s">
        <v>1033</v>
      </c>
    </row>
    <row r="37" customFormat="false" ht="41.75" hidden="false" customHeight="false" outlineLevel="0" collapsed="false">
      <c r="A37" s="2" t="s">
        <v>1035</v>
      </c>
      <c r="B37" s="2" t="s">
        <v>1370</v>
      </c>
      <c r="C37" s="2" t="s">
        <v>1371</v>
      </c>
      <c r="D37" s="2" t="s">
        <v>406</v>
      </c>
      <c r="E37" s="2" t="s">
        <v>1036</v>
      </c>
      <c r="F37" s="2" t="s">
        <v>1033</v>
      </c>
    </row>
    <row r="38" customFormat="false" ht="41.75" hidden="false" customHeight="false" outlineLevel="0" collapsed="false">
      <c r="A38" s="2" t="s">
        <v>1041</v>
      </c>
      <c r="B38" s="2" t="s">
        <v>1370</v>
      </c>
      <c r="C38" s="2" t="s">
        <v>1371</v>
      </c>
      <c r="D38" s="2" t="s">
        <v>406</v>
      </c>
      <c r="E38" s="2" t="s">
        <v>1042</v>
      </c>
      <c r="F38" s="2" t="s">
        <v>1033</v>
      </c>
    </row>
    <row r="39" customFormat="false" ht="41.75" hidden="false" customHeight="false" outlineLevel="0" collapsed="false">
      <c r="A39" s="2" t="s">
        <v>1046</v>
      </c>
      <c r="B39" s="2" t="s">
        <v>1370</v>
      </c>
      <c r="C39" s="2" t="s">
        <v>1371</v>
      </c>
      <c r="D39" s="2" t="s">
        <v>406</v>
      </c>
      <c r="E39" s="2" t="s">
        <v>1047</v>
      </c>
      <c r="F39" s="2" t="s">
        <v>1009</v>
      </c>
    </row>
    <row r="40" customFormat="false" ht="28.35" hidden="false" customHeight="false" outlineLevel="0" collapsed="false">
      <c r="A40" s="2" t="s">
        <v>1051</v>
      </c>
      <c r="B40" s="2" t="s">
        <v>1370</v>
      </c>
      <c r="C40" s="2" t="s">
        <v>1371</v>
      </c>
      <c r="D40" s="2" t="s">
        <v>406</v>
      </c>
      <c r="E40" s="2" t="s">
        <v>1052</v>
      </c>
      <c r="F40" s="2" t="s">
        <v>1009</v>
      </c>
    </row>
    <row r="41" customFormat="false" ht="28.35" hidden="false" customHeight="false" outlineLevel="0" collapsed="false">
      <c r="A41" s="2" t="s">
        <v>1056</v>
      </c>
      <c r="B41" s="2" t="s">
        <v>1370</v>
      </c>
      <c r="C41" s="2" t="s">
        <v>1371</v>
      </c>
      <c r="D41" s="2" t="s">
        <v>406</v>
      </c>
      <c r="E41" s="2" t="s">
        <v>1057</v>
      </c>
      <c r="F41" s="2" t="s">
        <v>1061</v>
      </c>
    </row>
    <row r="42" customFormat="false" ht="41.75" hidden="false" customHeight="false" outlineLevel="0" collapsed="false">
      <c r="A42" s="2" t="s">
        <v>1063</v>
      </c>
      <c r="B42" s="2" t="s">
        <v>1370</v>
      </c>
      <c r="C42" s="2" t="s">
        <v>1371</v>
      </c>
      <c r="D42" s="2" t="s">
        <v>406</v>
      </c>
      <c r="E42" s="2" t="s">
        <v>1064</v>
      </c>
      <c r="F42" s="2" t="s">
        <v>1061</v>
      </c>
    </row>
    <row r="43" customFormat="false" ht="28.35" hidden="false" customHeight="false" outlineLevel="0" collapsed="false">
      <c r="A43" s="2" t="s">
        <v>1069</v>
      </c>
      <c r="B43" s="2" t="s">
        <v>1370</v>
      </c>
      <c r="C43" s="2" t="s">
        <v>1371</v>
      </c>
      <c r="D43" s="2" t="s">
        <v>406</v>
      </c>
      <c r="E43" s="2" t="s">
        <v>1070</v>
      </c>
      <c r="F43" s="2" t="s">
        <v>1061</v>
      </c>
    </row>
    <row r="44" customFormat="false" ht="28.35" hidden="false" customHeight="false" outlineLevel="0" collapsed="false">
      <c r="A44" s="2" t="s">
        <v>1074</v>
      </c>
      <c r="B44" s="2" t="s">
        <v>1370</v>
      </c>
      <c r="C44" s="2" t="s">
        <v>1371</v>
      </c>
      <c r="D44" s="2" t="s">
        <v>406</v>
      </c>
      <c r="E44" s="2" t="s">
        <v>1075</v>
      </c>
      <c r="F44" s="2" t="s">
        <v>1061</v>
      </c>
    </row>
    <row r="45" customFormat="false" ht="15" hidden="false" customHeight="false" outlineLevel="0" collapsed="false">
      <c r="A45" s="2" t="s">
        <v>1079</v>
      </c>
      <c r="B45" s="2" t="s">
        <v>1370</v>
      </c>
      <c r="C45" s="2" t="s">
        <v>1371</v>
      </c>
      <c r="D45" s="2" t="s">
        <v>406</v>
      </c>
      <c r="E45" s="2" t="s">
        <v>1080</v>
      </c>
      <c r="F45" s="2" t="s">
        <v>1061</v>
      </c>
    </row>
    <row r="46" customFormat="false" ht="28.35" hidden="false" customHeight="false" outlineLevel="0" collapsed="false">
      <c r="A46" s="2" t="s">
        <v>1084</v>
      </c>
      <c r="B46" s="2" t="s">
        <v>1370</v>
      </c>
      <c r="C46" s="2" t="s">
        <v>1371</v>
      </c>
      <c r="D46" s="2" t="s">
        <v>406</v>
      </c>
      <c r="E46" s="2" t="s">
        <v>1085</v>
      </c>
      <c r="F46" s="2" t="s">
        <v>1009</v>
      </c>
    </row>
    <row r="47" customFormat="false" ht="41.75" hidden="false" customHeight="false" outlineLevel="0" collapsed="false">
      <c r="A47" s="2" t="s">
        <v>1390</v>
      </c>
      <c r="B47" s="2" t="s">
        <v>1391</v>
      </c>
      <c r="C47" s="2" t="s">
        <v>1392</v>
      </c>
      <c r="D47" s="2" t="s">
        <v>1393</v>
      </c>
      <c r="E47" s="2" t="s">
        <v>1394</v>
      </c>
      <c r="F47" s="2" t="s">
        <v>1395</v>
      </c>
    </row>
    <row r="48" customFormat="false" ht="28.35" hidden="false" customHeight="false" outlineLevel="0" collapsed="false">
      <c r="A48" s="2" t="s">
        <v>1390</v>
      </c>
      <c r="B48" s="2" t="s">
        <v>1396</v>
      </c>
      <c r="C48" s="2" t="s">
        <v>1397</v>
      </c>
      <c r="D48" s="2" t="s">
        <v>1398</v>
      </c>
      <c r="E48" s="2" t="s">
        <v>1399</v>
      </c>
      <c r="F48" s="2" t="s">
        <v>1400</v>
      </c>
    </row>
    <row r="49" customFormat="false" ht="28.35" hidden="false" customHeight="false" outlineLevel="0" collapsed="false">
      <c r="A49" s="2" t="s">
        <v>58</v>
      </c>
      <c r="B49" s="2" t="s">
        <v>1401</v>
      </c>
      <c r="C49" s="2" t="s">
        <v>4</v>
      </c>
      <c r="D49" s="2" t="s">
        <v>1402</v>
      </c>
      <c r="E49" s="2" t="s">
        <v>1403</v>
      </c>
      <c r="F49" s="2" t="s">
        <v>1404</v>
      </c>
    </row>
    <row r="50" customFormat="false" ht="15" hidden="false" customHeight="false" outlineLevel="0" collapsed="false">
      <c r="A50" s="2" t="s">
        <v>177</v>
      </c>
      <c r="B50" s="2" t="s">
        <v>1405</v>
      </c>
      <c r="C50" s="2" t="s">
        <v>1406</v>
      </c>
      <c r="D50" s="2" t="s">
        <v>406</v>
      </c>
      <c r="E50" s="2" t="s">
        <v>1407</v>
      </c>
      <c r="F50" s="2" t="s">
        <v>1408</v>
      </c>
    </row>
    <row r="51" customFormat="false" ht="15" hidden="false" customHeight="false" outlineLevel="0" collapsed="false">
      <c r="A51" s="2" t="s">
        <v>188</v>
      </c>
      <c r="B51" s="2" t="s">
        <v>1405</v>
      </c>
      <c r="C51" s="2" t="s">
        <v>1406</v>
      </c>
      <c r="D51" s="2" t="s">
        <v>406</v>
      </c>
      <c r="E51" s="2" t="s">
        <v>189</v>
      </c>
      <c r="F51" s="2" t="s">
        <v>1409</v>
      </c>
    </row>
    <row r="52" customFormat="false" ht="15" hidden="false" customHeight="false" outlineLevel="0" collapsed="false">
      <c r="A52" s="2" t="s">
        <v>199</v>
      </c>
      <c r="B52" s="2" t="s">
        <v>1405</v>
      </c>
      <c r="C52" s="2" t="s">
        <v>1406</v>
      </c>
      <c r="D52" s="2" t="s">
        <v>406</v>
      </c>
      <c r="E52" s="2" t="s">
        <v>1410</v>
      </c>
      <c r="F52" s="2" t="s">
        <v>1411</v>
      </c>
    </row>
    <row r="53" customFormat="false" ht="28.35" hidden="false" customHeight="false" outlineLevel="0" collapsed="false">
      <c r="A53" s="2" t="s">
        <v>1412</v>
      </c>
      <c r="B53" s="2" t="s">
        <v>1413</v>
      </c>
      <c r="C53" s="2" t="s">
        <v>1414</v>
      </c>
      <c r="D53" s="2" t="s">
        <v>406</v>
      </c>
      <c r="E53" s="2" t="s">
        <v>1415</v>
      </c>
      <c r="F53" s="2" t="s">
        <v>1416</v>
      </c>
    </row>
    <row r="54" customFormat="false" ht="28.35" hidden="false" customHeight="false" outlineLevel="0" collapsed="false">
      <c r="A54" s="2" t="s">
        <v>1412</v>
      </c>
      <c r="B54" s="2" t="s">
        <v>1396</v>
      </c>
      <c r="C54" s="2" t="s">
        <v>381</v>
      </c>
      <c r="D54" s="2" t="s">
        <v>1417</v>
      </c>
      <c r="E54" s="2" t="s">
        <v>1418</v>
      </c>
      <c r="F54" s="2" t="s">
        <v>1419</v>
      </c>
    </row>
    <row r="55" customFormat="false" ht="41.75" hidden="false" customHeight="false" outlineLevel="0" collapsed="false">
      <c r="A55" s="2" t="s">
        <v>1420</v>
      </c>
      <c r="B55" s="2" t="s">
        <v>1396</v>
      </c>
      <c r="C55" s="2" t="s">
        <v>1421</v>
      </c>
      <c r="D55" s="2" t="s">
        <v>1422</v>
      </c>
      <c r="E55" s="2" t="s">
        <v>1423</v>
      </c>
      <c r="F55" s="2" t="s">
        <v>1400</v>
      </c>
    </row>
    <row r="56" customFormat="false" ht="15" hidden="false" customHeight="false" outlineLevel="0" collapsed="false">
      <c r="A56" s="2" t="s">
        <v>1424</v>
      </c>
      <c r="B56" s="2" t="s">
        <v>1396</v>
      </c>
      <c r="C56" s="2" t="s">
        <v>1425</v>
      </c>
      <c r="D56" s="2" t="s">
        <v>406</v>
      </c>
      <c r="E56" s="2" t="s">
        <v>1426</v>
      </c>
      <c r="F56" s="2" t="s">
        <v>1427</v>
      </c>
    </row>
    <row r="57" customFormat="false" ht="15" hidden="false" customHeight="false" outlineLevel="0" collapsed="false">
      <c r="A57" s="2" t="s">
        <v>1428</v>
      </c>
      <c r="B57" s="2" t="s">
        <v>1405</v>
      </c>
      <c r="C57" s="2" t="s">
        <v>1429</v>
      </c>
      <c r="D57" s="2" t="s">
        <v>406</v>
      </c>
      <c r="E57" s="2" t="s">
        <v>1430</v>
      </c>
      <c r="F57" s="2" t="s">
        <v>1431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2026-10-05T09:36:15Z</dcterms:created>
  <dc:creator>OpenAI – structured from the supplied Ormoc City IAT source</dc:creator>
  <dc:description/>
  <dc:language>en-US</dc:language>
  <cp:lastModifiedBy/>
  <dcterms:modified xsi:type="dcterms:W3CDTF">2026-10-15T10:19:26Z</dcterms:modified>
  <cp:revision>0</cp:revision>
  <dc:subject>Situational Analysis Report, Draft MOO and future Digital Institutional Assessment Platform</dc:subject>
  <dc:title>Ormoc City CDRRMO/EOC Master Requirements, Traceability Matrix &amp; 108-Indicator Data Dictionary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